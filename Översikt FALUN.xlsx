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45718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45718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45718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45718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45718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45718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45718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45718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45718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45718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45718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45718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45718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45718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45718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45718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45718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45718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45718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45718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45718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45718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45718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45718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45718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45718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45718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45718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45718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45718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45718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45718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45718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45718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45718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45718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45718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45718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45718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45718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45718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45718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45718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45718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45718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45718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45718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45718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45718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45718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45718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45718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45718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45718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45718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45718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45718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45718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45718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45718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45718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45718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45718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45718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45718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45718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45718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45718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45718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45718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45718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45718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45718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45718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45718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45718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45718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45718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45718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56138-2024</t>
        </is>
      </c>
      <c r="B81" s="1" t="n">
        <v>45624</v>
      </c>
      <c r="C81" s="1" t="n">
        <v>45718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Citronporing</t>
        </is>
      </c>
      <c r="S81">
        <f>HYPERLINK("https://klasma.github.io/Logging_2080/artfynd/A 56138-2024 artfynd.xlsx", "A 56138-2024")</f>
        <v/>
      </c>
      <c r="T81">
        <f>HYPERLINK("https://klasma.github.io/Logging_2080/kartor/A 56138-2024 karta.png", "A 56138-2024")</f>
        <v/>
      </c>
      <c r="V81">
        <f>HYPERLINK("https://klasma.github.io/Logging_2080/klagomål/A 56138-2024 FSC-klagomål.docx", "A 56138-2024")</f>
        <v/>
      </c>
      <c r="W81">
        <f>HYPERLINK("https://klasma.github.io/Logging_2080/klagomålsmail/A 56138-2024 FSC-klagomål mail.docx", "A 56138-2024")</f>
        <v/>
      </c>
      <c r="X81">
        <f>HYPERLINK("https://klasma.github.io/Logging_2080/tillsyn/A 56138-2024 tillsynsbegäran.docx", "A 56138-2024")</f>
        <v/>
      </c>
      <c r="Y81">
        <f>HYPERLINK("https://klasma.github.io/Logging_2080/tillsynsmail/A 56138-2024 tillsynsbegäran mail.docx", "A 56138-2024")</f>
        <v/>
      </c>
    </row>
    <row r="82" ht="15" customHeight="1">
      <c r="A82" t="inlineStr">
        <is>
          <t>A 61661-2024</t>
        </is>
      </c>
      <c r="B82" s="1" t="n">
        <v>45646</v>
      </c>
      <c r="C82" s="1" t="n">
        <v>45718</v>
      </c>
      <c r="D82" t="inlineStr">
        <is>
          <t>DALARNAS LÄN</t>
        </is>
      </c>
      <c r="E82" t="inlineStr">
        <is>
          <t>FALUN</t>
        </is>
      </c>
      <c r="G82" t="n">
        <v>9.300000000000001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HYPERLINK("https://klasma.github.io/Logging_2080/artfynd/A 61661-2024 artfynd.xlsx", "A 61661-2024")</f>
        <v/>
      </c>
      <c r="T82">
        <f>HYPERLINK("https://klasma.github.io/Logging_2080/kartor/A 61661-2024 karta.png", "A 61661-2024")</f>
        <v/>
      </c>
      <c r="V82">
        <f>HYPERLINK("https://klasma.github.io/Logging_2080/klagomål/A 61661-2024 FSC-klagomål.docx", "A 61661-2024")</f>
        <v/>
      </c>
      <c r="W82">
        <f>HYPERLINK("https://klasma.github.io/Logging_2080/klagomålsmail/A 61661-2024 FSC-klagomål mail.docx", "A 61661-2024")</f>
        <v/>
      </c>
      <c r="X82">
        <f>HYPERLINK("https://klasma.github.io/Logging_2080/tillsyn/A 61661-2024 tillsynsbegäran.docx", "A 61661-2024")</f>
        <v/>
      </c>
      <c r="Y82">
        <f>HYPERLINK("https://klasma.github.io/Logging_2080/tillsynsmail/A 61661-2024 tillsynsbegäran mail.docx", "A 61661-2024")</f>
        <v/>
      </c>
    </row>
    <row r="83" ht="15" customHeight="1">
      <c r="A83" t="inlineStr">
        <is>
          <t>A 18114-2019</t>
        </is>
      </c>
      <c r="B83" s="1" t="n">
        <v>43558</v>
      </c>
      <c r="C83" s="1" t="n">
        <v>45718</v>
      </c>
      <c r="D83" t="inlineStr">
        <is>
          <t>DALARNAS LÄN</t>
        </is>
      </c>
      <c r="E83" t="inlineStr">
        <is>
          <t>FALUN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18199-2019</t>
        </is>
      </c>
      <c r="B84" s="1" t="n">
        <v>43558</v>
      </c>
      <c r="C84" s="1" t="n">
        <v>45718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18250-2019</t>
        </is>
      </c>
      <c r="B85" s="1" t="n">
        <v>43558</v>
      </c>
      <c r="C85" s="1" t="n">
        <v>45718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18766-2019</t>
        </is>
      </c>
      <c r="B86" s="1" t="n">
        <v>43560</v>
      </c>
      <c r="C86" s="1" t="n">
        <v>45718</v>
      </c>
      <c r="D86" t="inlineStr">
        <is>
          <t>DALARNAS LÄN</t>
        </is>
      </c>
      <c r="E86" t="inlineStr">
        <is>
          <t>FALUN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20399-2019</t>
        </is>
      </c>
      <c r="B87" s="1" t="n">
        <v>43571</v>
      </c>
      <c r="C87" s="1" t="n">
        <v>45718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20398-2019</t>
        </is>
      </c>
      <c r="B88" s="1" t="n">
        <v>43571</v>
      </c>
      <c r="C88" s="1" t="n">
        <v>45718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20394-2019</t>
        </is>
      </c>
      <c r="B89" s="1" t="n">
        <v>43571</v>
      </c>
      <c r="C89" s="1" t="n">
        <v>45718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20391-2019</t>
        </is>
      </c>
      <c r="B90" s="1" t="n">
        <v>43571</v>
      </c>
      <c r="C90" s="1" t="n">
        <v>45718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20392-2019</t>
        </is>
      </c>
      <c r="B91" s="1" t="n">
        <v>43571</v>
      </c>
      <c r="C91" s="1" t="n">
        <v>45718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21248-2019</t>
        </is>
      </c>
      <c r="B92" s="1" t="n">
        <v>43579</v>
      </c>
      <c r="C92" s="1" t="n">
        <v>45718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21964-2019</t>
        </is>
      </c>
      <c r="B93" s="1" t="n">
        <v>43584</v>
      </c>
      <c r="C93" s="1" t="n">
        <v>45718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21998-2019</t>
        </is>
      </c>
      <c r="B94" s="1" t="n">
        <v>43584</v>
      </c>
      <c r="C94" s="1" t="n">
        <v>45718</v>
      </c>
      <c r="D94" t="inlineStr">
        <is>
          <t>DALARNAS LÄN</t>
        </is>
      </c>
      <c r="E94" t="inlineStr">
        <is>
          <t>FALUN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22551-2019</t>
        </is>
      </c>
      <c r="B95" s="1" t="n">
        <v>43587</v>
      </c>
      <c r="C95" s="1" t="n">
        <v>45718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23005-2019</t>
        </is>
      </c>
      <c r="B96" s="1" t="n">
        <v>43591</v>
      </c>
      <c r="C96" s="1" t="n">
        <v>45718</v>
      </c>
      <c r="D96" t="inlineStr">
        <is>
          <t>DALARNAS LÄN</t>
        </is>
      </c>
      <c r="E96" t="inlineStr">
        <is>
          <t>FALUN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23324-2019</t>
        </is>
      </c>
      <c r="B97" s="1" t="n">
        <v>43591</v>
      </c>
      <c r="C97" s="1" t="n">
        <v>45718</v>
      </c>
      <c r="D97" t="inlineStr">
        <is>
          <t>DALARNAS LÄN</t>
        </is>
      </c>
      <c r="E97" t="inlineStr">
        <is>
          <t>FALUN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25110-2019</t>
        </is>
      </c>
      <c r="B98" s="1" t="n">
        <v>43605</v>
      </c>
      <c r="C98" s="1" t="n">
        <v>45718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25197-2019</t>
        </is>
      </c>
      <c r="B99" s="1" t="n">
        <v>43605</v>
      </c>
      <c r="C99" s="1" t="n">
        <v>45718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25102-2019</t>
        </is>
      </c>
      <c r="B100" s="1" t="n">
        <v>43605</v>
      </c>
      <c r="C100" s="1" t="n">
        <v>45718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25496-2019</t>
        </is>
      </c>
      <c r="B101" s="1" t="n">
        <v>43606</v>
      </c>
      <c r="C101" s="1" t="n">
        <v>45718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25494-2019</t>
        </is>
      </c>
      <c r="B102" s="1" t="n">
        <v>43606</v>
      </c>
      <c r="C102" s="1" t="n">
        <v>45718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25851-2019</t>
        </is>
      </c>
      <c r="B103" s="1" t="n">
        <v>43608</v>
      </c>
      <c r="C103" s="1" t="n">
        <v>45718</v>
      </c>
      <c r="D103" t="inlineStr">
        <is>
          <t>DALARNAS LÄN</t>
        </is>
      </c>
      <c r="E103" t="inlineStr">
        <is>
          <t>FALUN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26342-2019</t>
        </is>
      </c>
      <c r="B104" s="1" t="n">
        <v>43612</v>
      </c>
      <c r="C104" s="1" t="n">
        <v>45718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26504-2019</t>
        </is>
      </c>
      <c r="B105" s="1" t="n">
        <v>43612</v>
      </c>
      <c r="C105" s="1" t="n">
        <v>45718</v>
      </c>
      <c r="D105" t="inlineStr">
        <is>
          <t>DALARNAS LÄN</t>
        </is>
      </c>
      <c r="E105" t="inlineStr">
        <is>
          <t>FALUN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26524-2019</t>
        </is>
      </c>
      <c r="B106" s="1" t="n">
        <v>43612</v>
      </c>
      <c r="C106" s="1" t="n">
        <v>45718</v>
      </c>
      <c r="D106" t="inlineStr">
        <is>
          <t>DALARNAS LÄN</t>
        </is>
      </c>
      <c r="E106" t="inlineStr">
        <is>
          <t>FALUN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26619-2019</t>
        </is>
      </c>
      <c r="B107" s="1" t="n">
        <v>43612</v>
      </c>
      <c r="C107" s="1" t="n">
        <v>45718</v>
      </c>
      <c r="D107" t="inlineStr">
        <is>
          <t>DALARNAS LÄN</t>
        </is>
      </c>
      <c r="E107" t="inlineStr">
        <is>
          <t>FALUN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26680-2019</t>
        </is>
      </c>
      <c r="B108" s="1" t="n">
        <v>43613</v>
      </c>
      <c r="C108" s="1" t="n">
        <v>45718</v>
      </c>
      <c r="D108" t="inlineStr">
        <is>
          <t>DALARNAS LÄN</t>
        </is>
      </c>
      <c r="E108" t="inlineStr">
        <is>
          <t>FALUN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27278-2019</t>
        </is>
      </c>
      <c r="B109" s="1" t="n">
        <v>43615</v>
      </c>
      <c r="C109" s="1" t="n">
        <v>45718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27662-2019</t>
        </is>
      </c>
      <c r="B110" s="1" t="n">
        <v>43619</v>
      </c>
      <c r="C110" s="1" t="n">
        <v>45718</v>
      </c>
      <c r="D110" t="inlineStr">
        <is>
          <t>DALARNAS LÄN</t>
        </is>
      </c>
      <c r="E110" t="inlineStr">
        <is>
          <t>FALUN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27699-2019</t>
        </is>
      </c>
      <c r="B111" s="1" t="n">
        <v>43619</v>
      </c>
      <c r="C111" s="1" t="n">
        <v>45718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28813-2019</t>
        </is>
      </c>
      <c r="B112" s="1" t="n">
        <v>43627</v>
      </c>
      <c r="C112" s="1" t="n">
        <v>45718</v>
      </c>
      <c r="D112" t="inlineStr">
        <is>
          <t>DALARNAS LÄN</t>
        </is>
      </c>
      <c r="E112" t="inlineStr">
        <is>
          <t>FALUN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29399-2019</t>
        </is>
      </c>
      <c r="B113" s="1" t="n">
        <v>43629</v>
      </c>
      <c r="C113" s="1" t="n">
        <v>45718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30203-2019</t>
        </is>
      </c>
      <c r="B114" s="1" t="n">
        <v>43634</v>
      </c>
      <c r="C114" s="1" t="n">
        <v>45718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30666-2019</t>
        </is>
      </c>
      <c r="B115" s="1" t="n">
        <v>43636</v>
      </c>
      <c r="C115" s="1" t="n">
        <v>45718</v>
      </c>
      <c r="D115" t="inlineStr">
        <is>
          <t>DALARNAS LÄN</t>
        </is>
      </c>
      <c r="E115" t="inlineStr">
        <is>
          <t>FALUN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30680-2019</t>
        </is>
      </c>
      <c r="B116" s="1" t="n">
        <v>43636</v>
      </c>
      <c r="C116" s="1" t="n">
        <v>45718</v>
      </c>
      <c r="D116" t="inlineStr">
        <is>
          <t>DALARNAS LÄN</t>
        </is>
      </c>
      <c r="E116" t="inlineStr">
        <is>
          <t>FALUN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31143-2019</t>
        </is>
      </c>
      <c r="B117" s="1" t="n">
        <v>43640</v>
      </c>
      <c r="C117" s="1" t="n">
        <v>45718</v>
      </c>
      <c r="D117" t="inlineStr">
        <is>
          <t>DALARNAS LÄN</t>
        </is>
      </c>
      <c r="E117" t="inlineStr">
        <is>
          <t>FALUN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31160-2019</t>
        </is>
      </c>
      <c r="B118" s="1" t="n">
        <v>43640</v>
      </c>
      <c r="C118" s="1" t="n">
        <v>45718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31478-2019</t>
        </is>
      </c>
      <c r="B119" s="1" t="n">
        <v>43641</v>
      </c>
      <c r="C119" s="1" t="n">
        <v>45718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31472-2019</t>
        </is>
      </c>
      <c r="B120" s="1" t="n">
        <v>43641</v>
      </c>
      <c r="C120" s="1" t="n">
        <v>45718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31847-2019</t>
        </is>
      </c>
      <c r="B121" s="1" t="n">
        <v>43642</v>
      </c>
      <c r="C121" s="1" t="n">
        <v>45718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31850-2019</t>
        </is>
      </c>
      <c r="B122" s="1" t="n">
        <v>43642</v>
      </c>
      <c r="C122" s="1" t="n">
        <v>45718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34081-2019</t>
        </is>
      </c>
      <c r="B123" s="1" t="n">
        <v>43654</v>
      </c>
      <c r="C123" s="1" t="n">
        <v>45718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34142-2019</t>
        </is>
      </c>
      <c r="B124" s="1" t="n">
        <v>43655</v>
      </c>
      <c r="C124" s="1" t="n">
        <v>45718</v>
      </c>
      <c r="D124" t="inlineStr">
        <is>
          <t>DALARNAS LÄN</t>
        </is>
      </c>
      <c r="E124" t="inlineStr">
        <is>
          <t>FALUN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35496-2019</t>
        </is>
      </c>
      <c r="B125" s="1" t="n">
        <v>43663</v>
      </c>
      <c r="C125" s="1" t="n">
        <v>45718</v>
      </c>
      <c r="D125" t="inlineStr">
        <is>
          <t>DALARNAS LÄN</t>
        </is>
      </c>
      <c r="E125" t="inlineStr">
        <is>
          <t>FALUN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36079-2019</t>
        </is>
      </c>
      <c r="B126" s="1" t="n">
        <v>43668</v>
      </c>
      <c r="C126" s="1" t="n">
        <v>45718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36381-2019</t>
        </is>
      </c>
      <c r="B127" s="1" t="n">
        <v>43670</v>
      </c>
      <c r="C127" s="1" t="n">
        <v>45718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36625-2019</t>
        </is>
      </c>
      <c r="B128" s="1" t="n">
        <v>43671</v>
      </c>
      <c r="C128" s="1" t="n">
        <v>45718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36729-2019</t>
        </is>
      </c>
      <c r="B129" s="1" t="n">
        <v>43672</v>
      </c>
      <c r="C129" s="1" t="n">
        <v>45718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36726-2019</t>
        </is>
      </c>
      <c r="B130" s="1" t="n">
        <v>43672</v>
      </c>
      <c r="C130" s="1" t="n">
        <v>45718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37055-2019</t>
        </is>
      </c>
      <c r="B131" s="1" t="n">
        <v>43676</v>
      </c>
      <c r="C131" s="1" t="n">
        <v>45718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38050-2019</t>
        </is>
      </c>
      <c r="B132" s="1" t="n">
        <v>43683</v>
      </c>
      <c r="C132" s="1" t="n">
        <v>45718</v>
      </c>
      <c r="D132" t="inlineStr">
        <is>
          <t>DALARNAS LÄN</t>
        </is>
      </c>
      <c r="E132" t="inlineStr">
        <is>
          <t>FALUN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39708-2019</t>
        </is>
      </c>
      <c r="B133" s="1" t="n">
        <v>43689</v>
      </c>
      <c r="C133" s="1" t="n">
        <v>45718</v>
      </c>
      <c r="D133" t="inlineStr">
        <is>
          <t>DALARNAS LÄN</t>
        </is>
      </c>
      <c r="E133" t="inlineStr">
        <is>
          <t>FALUN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39012-2019</t>
        </is>
      </c>
      <c r="B134" s="1" t="n">
        <v>43689</v>
      </c>
      <c r="C134" s="1" t="n">
        <v>45718</v>
      </c>
      <c r="D134" t="inlineStr">
        <is>
          <t>DALARNAS LÄN</t>
        </is>
      </c>
      <c r="E134" t="inlineStr">
        <is>
          <t>FALUN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39032-2019</t>
        </is>
      </c>
      <c r="B135" s="1" t="n">
        <v>43689</v>
      </c>
      <c r="C135" s="1" t="n">
        <v>45718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39221-2019</t>
        </is>
      </c>
      <c r="B136" s="1" t="n">
        <v>43690</v>
      </c>
      <c r="C136" s="1" t="n">
        <v>45718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42601-2019</t>
        </is>
      </c>
      <c r="B137" s="1" t="n">
        <v>43704</v>
      </c>
      <c r="C137" s="1" t="n">
        <v>45718</v>
      </c>
      <c r="D137" t="inlineStr">
        <is>
          <t>DALARNAS LÄN</t>
        </is>
      </c>
      <c r="E137" t="inlineStr">
        <is>
          <t>FALUN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44092-2019</t>
        </is>
      </c>
      <c r="B138" s="1" t="n">
        <v>43710</v>
      </c>
      <c r="C138" s="1" t="n">
        <v>45718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44944-2019</t>
        </is>
      </c>
      <c r="B139" s="1" t="n">
        <v>43713</v>
      </c>
      <c r="C139" s="1" t="n">
        <v>45718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44937-2019</t>
        </is>
      </c>
      <c r="B140" s="1" t="n">
        <v>43713</v>
      </c>
      <c r="C140" s="1" t="n">
        <v>45718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45119-2019</t>
        </is>
      </c>
      <c r="B141" s="1" t="n">
        <v>43713</v>
      </c>
      <c r="C141" s="1" t="n">
        <v>45718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45283-2019</t>
        </is>
      </c>
      <c r="B142" s="1" t="n">
        <v>43714</v>
      </c>
      <c r="C142" s="1" t="n">
        <v>45718</v>
      </c>
      <c r="D142" t="inlineStr">
        <is>
          <t>DALARNAS LÄN</t>
        </is>
      </c>
      <c r="E142" t="inlineStr">
        <is>
          <t>FALUN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47005-2019</t>
        </is>
      </c>
      <c r="B143" s="1" t="n">
        <v>43720</v>
      </c>
      <c r="C143" s="1" t="n">
        <v>45718</v>
      </c>
      <c r="D143" t="inlineStr">
        <is>
          <t>DALARNAS LÄN</t>
        </is>
      </c>
      <c r="E143" t="inlineStr">
        <is>
          <t>FALUN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46927-2019</t>
        </is>
      </c>
      <c r="B144" s="1" t="n">
        <v>43720</v>
      </c>
      <c r="C144" s="1" t="n">
        <v>45718</v>
      </c>
      <c r="D144" t="inlineStr">
        <is>
          <t>DALARNAS LÄN</t>
        </is>
      </c>
      <c r="E144" t="inlineStr">
        <is>
          <t>FALUN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48335-2019</t>
        </is>
      </c>
      <c r="B145" s="1" t="n">
        <v>43726</v>
      </c>
      <c r="C145" s="1" t="n">
        <v>45718</v>
      </c>
      <c r="D145" t="inlineStr">
        <is>
          <t>DALARNAS LÄN</t>
        </is>
      </c>
      <c r="E145" t="inlineStr">
        <is>
          <t>FALUN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48403-2019</t>
        </is>
      </c>
      <c r="B146" s="1" t="n">
        <v>43727</v>
      </c>
      <c r="C146" s="1" t="n">
        <v>45718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48626-2019</t>
        </is>
      </c>
      <c r="B147" s="1" t="n">
        <v>43727</v>
      </c>
      <c r="C147" s="1" t="n">
        <v>45718</v>
      </c>
      <c r="D147" t="inlineStr">
        <is>
          <t>DALARNAS LÄN</t>
        </is>
      </c>
      <c r="E147" t="inlineStr">
        <is>
          <t>FALUN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52192-2019</t>
        </is>
      </c>
      <c r="B148" s="1" t="n">
        <v>43742</v>
      </c>
      <c r="C148" s="1" t="n">
        <v>45718</v>
      </c>
      <c r="D148" t="inlineStr">
        <is>
          <t>DALARNAS LÄN</t>
        </is>
      </c>
      <c r="E148" t="inlineStr">
        <is>
          <t>FALUN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52107-2019</t>
        </is>
      </c>
      <c r="B149" s="1" t="n">
        <v>43742</v>
      </c>
      <c r="C149" s="1" t="n">
        <v>45718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51962-2019</t>
        </is>
      </c>
      <c r="B150" s="1" t="n">
        <v>43742</v>
      </c>
      <c r="C150" s="1" t="n">
        <v>45718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53657-2019</t>
        </is>
      </c>
      <c r="B151" s="1" t="n">
        <v>43749</v>
      </c>
      <c r="C151" s="1" t="n">
        <v>45718</v>
      </c>
      <c r="D151" t="inlineStr">
        <is>
          <t>DALARNAS LÄN</t>
        </is>
      </c>
      <c r="E151" t="inlineStr">
        <is>
          <t>FALUN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54054-2019</t>
        </is>
      </c>
      <c r="B152" s="1" t="n">
        <v>43752</v>
      </c>
      <c r="C152" s="1" t="n">
        <v>45718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55815-2019</t>
        </is>
      </c>
      <c r="B153" s="1" t="n">
        <v>43759</v>
      </c>
      <c r="C153" s="1" t="n">
        <v>45718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55798-2019</t>
        </is>
      </c>
      <c r="B154" s="1" t="n">
        <v>43759</v>
      </c>
      <c r="C154" s="1" t="n">
        <v>45718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56690-2019</t>
        </is>
      </c>
      <c r="B155" s="1" t="n">
        <v>43759</v>
      </c>
      <c r="C155" s="1" t="n">
        <v>45718</v>
      </c>
      <c r="D155" t="inlineStr">
        <is>
          <t>DALARNAS LÄN</t>
        </is>
      </c>
      <c r="E155" t="inlineStr">
        <is>
          <t>FALUN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55871-2019</t>
        </is>
      </c>
      <c r="B156" s="1" t="n">
        <v>43759</v>
      </c>
      <c r="C156" s="1" t="n">
        <v>45718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55777-2019</t>
        </is>
      </c>
      <c r="B157" s="1" t="n">
        <v>43759</v>
      </c>
      <c r="C157" s="1" t="n">
        <v>45718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56443-2019</t>
        </is>
      </c>
      <c r="B158" s="1" t="n">
        <v>43762</v>
      </c>
      <c r="C158" s="1" t="n">
        <v>45718</v>
      </c>
      <c r="D158" t="inlineStr">
        <is>
          <t>DALARNAS LÄN</t>
        </is>
      </c>
      <c r="E158" t="inlineStr">
        <is>
          <t>FALUN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56455-2019</t>
        </is>
      </c>
      <c r="B159" s="1" t="n">
        <v>43762</v>
      </c>
      <c r="C159" s="1" t="n">
        <v>45718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56890-2019</t>
        </is>
      </c>
      <c r="B160" s="1" t="n">
        <v>43766</v>
      </c>
      <c r="C160" s="1" t="n">
        <v>45718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57163-2019</t>
        </is>
      </c>
      <c r="B161" s="1" t="n">
        <v>43766</v>
      </c>
      <c r="C161" s="1" t="n">
        <v>45718</v>
      </c>
      <c r="D161" t="inlineStr">
        <is>
          <t>DALARNAS LÄN</t>
        </is>
      </c>
      <c r="E161" t="inlineStr">
        <is>
          <t>FALUN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57687-2019</t>
        </is>
      </c>
      <c r="B162" s="1" t="n">
        <v>43768</v>
      </c>
      <c r="C162" s="1" t="n">
        <v>45718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58444-2019</t>
        </is>
      </c>
      <c r="B163" s="1" t="n">
        <v>43773</v>
      </c>
      <c r="C163" s="1" t="n">
        <v>45718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58463-2019</t>
        </is>
      </c>
      <c r="B164" s="1" t="n">
        <v>43773</v>
      </c>
      <c r="C164" s="1" t="n">
        <v>45718</v>
      </c>
      <c r="D164" t="inlineStr">
        <is>
          <t>DALARNAS LÄN</t>
        </is>
      </c>
      <c r="E164" t="inlineStr">
        <is>
          <t>FALUN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58439-2019</t>
        </is>
      </c>
      <c r="B165" s="1" t="n">
        <v>43773</v>
      </c>
      <c r="C165" s="1" t="n">
        <v>45718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58433-2019</t>
        </is>
      </c>
      <c r="B166" s="1" t="n">
        <v>43773</v>
      </c>
      <c r="C166" s="1" t="n">
        <v>45718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58446-2019</t>
        </is>
      </c>
      <c r="B167" s="1" t="n">
        <v>43773</v>
      </c>
      <c r="C167" s="1" t="n">
        <v>45718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58448-2019</t>
        </is>
      </c>
      <c r="B168" s="1" t="n">
        <v>43773</v>
      </c>
      <c r="C168" s="1" t="n">
        <v>45718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58828-2019</t>
        </is>
      </c>
      <c r="B169" s="1" t="n">
        <v>43774</v>
      </c>
      <c r="C169" s="1" t="n">
        <v>45718</v>
      </c>
      <c r="D169" t="inlineStr">
        <is>
          <t>DALARNAS LÄN</t>
        </is>
      </c>
      <c r="E169" t="inlineStr">
        <is>
          <t>FALUN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59229-2019</t>
        </is>
      </c>
      <c r="B170" s="1" t="n">
        <v>43775</v>
      </c>
      <c r="C170" s="1" t="n">
        <v>45718</v>
      </c>
      <c r="D170" t="inlineStr">
        <is>
          <t>DALARNAS LÄN</t>
        </is>
      </c>
      <c r="E170" t="inlineStr">
        <is>
          <t>FALUN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59315-2019</t>
        </is>
      </c>
      <c r="B171" s="1" t="n">
        <v>43775</v>
      </c>
      <c r="C171" s="1" t="n">
        <v>45718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59831-2019</t>
        </is>
      </c>
      <c r="B172" s="1" t="n">
        <v>43777</v>
      </c>
      <c r="C172" s="1" t="n">
        <v>45718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59850-2019</t>
        </is>
      </c>
      <c r="B173" s="1" t="n">
        <v>43777</v>
      </c>
      <c r="C173" s="1" t="n">
        <v>45718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60422-2019</t>
        </is>
      </c>
      <c r="B174" s="1" t="n">
        <v>43780</v>
      </c>
      <c r="C174" s="1" t="n">
        <v>45718</v>
      </c>
      <c r="D174" t="inlineStr">
        <is>
          <t>DALARNAS LÄN</t>
        </is>
      </c>
      <c r="E174" t="inlineStr">
        <is>
          <t>FALUN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61227-2019</t>
        </is>
      </c>
      <c r="B175" s="1" t="n">
        <v>43783</v>
      </c>
      <c r="C175" s="1" t="n">
        <v>45718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61267-2019</t>
        </is>
      </c>
      <c r="B176" s="1" t="n">
        <v>43783</v>
      </c>
      <c r="C176" s="1" t="n">
        <v>45718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61261-2019</t>
        </is>
      </c>
      <c r="B177" s="1" t="n">
        <v>43783</v>
      </c>
      <c r="C177" s="1" t="n">
        <v>45718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61673-2019</t>
        </is>
      </c>
      <c r="B178" s="1" t="n">
        <v>43784</v>
      </c>
      <c r="C178" s="1" t="n">
        <v>45718</v>
      </c>
      <c r="D178" t="inlineStr">
        <is>
          <t>DALARNAS LÄN</t>
        </is>
      </c>
      <c r="E178" t="inlineStr">
        <is>
          <t>FALUN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62854-2019</t>
        </is>
      </c>
      <c r="B179" s="1" t="n">
        <v>43790</v>
      </c>
      <c r="C179" s="1" t="n">
        <v>45718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63928-2019</t>
        </is>
      </c>
      <c r="B180" s="1" t="n">
        <v>43796</v>
      </c>
      <c r="C180" s="1" t="n">
        <v>45718</v>
      </c>
      <c r="D180" t="inlineStr">
        <is>
          <t>DALARNAS LÄN</t>
        </is>
      </c>
      <c r="E180" t="inlineStr">
        <is>
          <t>FALUN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64906-2019</t>
        </is>
      </c>
      <c r="B181" s="1" t="n">
        <v>43801</v>
      </c>
      <c r="C181" s="1" t="n">
        <v>45718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HYPERLINK("https://klasma.github.io/Logging_2080/knärot/A 64906-2019 karta knärot.png", "A 64906-2019")</f>
        <v/>
      </c>
      <c r="V181">
        <f>HYPERLINK("https://klasma.github.io/Logging_2080/klagomål/A 64906-2019 FSC-klagomål.docx", "A 64906-2019")</f>
        <v/>
      </c>
      <c r="W181">
        <f>HYPERLINK("https://klasma.github.io/Logging_2080/klagomålsmail/A 64906-2019 FSC-klagomål mail.docx", "A 64906-2019")</f>
        <v/>
      </c>
      <c r="X181">
        <f>HYPERLINK("https://klasma.github.io/Logging_2080/tillsyn/A 64906-2019 tillsynsbegäran.docx", "A 64906-2019")</f>
        <v/>
      </c>
      <c r="Y181">
        <f>HYPERLINK("https://klasma.github.io/Logging_2080/tillsynsmail/A 64906-2019 tillsynsbegäran mail.docx", "A 64906-2019")</f>
        <v/>
      </c>
    </row>
    <row r="182" ht="15" customHeight="1">
      <c r="A182" t="inlineStr">
        <is>
          <t>A 67494-2019</t>
        </is>
      </c>
      <c r="B182" s="1" t="n">
        <v>43815</v>
      </c>
      <c r="C182" s="1" t="n">
        <v>45718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67954-2019</t>
        </is>
      </c>
      <c r="B183" s="1" t="n">
        <v>43816</v>
      </c>
      <c r="C183" s="1" t="n">
        <v>45718</v>
      </c>
      <c r="D183" t="inlineStr">
        <is>
          <t>DALARNAS LÄN</t>
        </is>
      </c>
      <c r="E183" t="inlineStr">
        <is>
          <t>FALUN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68332-2019</t>
        </is>
      </c>
      <c r="B184" s="1" t="n">
        <v>43818</v>
      </c>
      <c r="C184" s="1" t="n">
        <v>45718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68403-2019</t>
        </is>
      </c>
      <c r="B185" s="1" t="n">
        <v>43818</v>
      </c>
      <c r="C185" s="1" t="n">
        <v>45718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68661-2019</t>
        </is>
      </c>
      <c r="B186" s="1" t="n">
        <v>43819</v>
      </c>
      <c r="C186" s="1" t="n">
        <v>45718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68763-2019</t>
        </is>
      </c>
      <c r="B187" s="1" t="n">
        <v>43819</v>
      </c>
      <c r="C187" s="1" t="n">
        <v>45718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1105-2020</t>
        </is>
      </c>
      <c r="B188" s="1" t="n">
        <v>43819</v>
      </c>
      <c r="C188" s="1" t="n">
        <v>45718</v>
      </c>
      <c r="D188" t="inlineStr">
        <is>
          <t>DALARNAS LÄN</t>
        </is>
      </c>
      <c r="E188" t="inlineStr">
        <is>
          <t>FALUN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68955-2019</t>
        </is>
      </c>
      <c r="B189" s="1" t="n">
        <v>43822</v>
      </c>
      <c r="C189" s="1" t="n">
        <v>45718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654-2020</t>
        </is>
      </c>
      <c r="B190" s="1" t="n">
        <v>43838</v>
      </c>
      <c r="C190" s="1" t="n">
        <v>45718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2191-2020</t>
        </is>
      </c>
      <c r="B191" s="1" t="n">
        <v>43846</v>
      </c>
      <c r="C191" s="1" t="n">
        <v>45718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3914-2020</t>
        </is>
      </c>
      <c r="B192" s="1" t="n">
        <v>43854</v>
      </c>
      <c r="C192" s="1" t="n">
        <v>45718</v>
      </c>
      <c r="D192" t="inlineStr">
        <is>
          <t>DALARNAS LÄN</t>
        </is>
      </c>
      <c r="E192" t="inlineStr">
        <is>
          <t>FALUN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4320-2020</t>
        </is>
      </c>
      <c r="B193" s="1" t="n">
        <v>43857</v>
      </c>
      <c r="C193" s="1" t="n">
        <v>45718</v>
      </c>
      <c r="D193" t="inlineStr">
        <is>
          <t>DALARNAS LÄN</t>
        </is>
      </c>
      <c r="E193" t="inlineStr">
        <is>
          <t>FALUN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6006-2020</t>
        </is>
      </c>
      <c r="B194" s="1" t="n">
        <v>43865</v>
      </c>
      <c r="C194" s="1" t="n">
        <v>45718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6833-2020</t>
        </is>
      </c>
      <c r="B195" s="1" t="n">
        <v>43868</v>
      </c>
      <c r="C195" s="1" t="n">
        <v>45718</v>
      </c>
      <c r="D195" t="inlineStr">
        <is>
          <t>DALARNAS LÄN</t>
        </is>
      </c>
      <c r="E195" t="inlineStr">
        <is>
          <t>FALUN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10510-2020</t>
        </is>
      </c>
      <c r="B196" s="1" t="n">
        <v>43886</v>
      </c>
      <c r="C196" s="1" t="n">
        <v>45718</v>
      </c>
      <c r="D196" t="inlineStr">
        <is>
          <t>DALARNAS LÄN</t>
        </is>
      </c>
      <c r="E196" t="inlineStr">
        <is>
          <t>FALUN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10518-2020</t>
        </is>
      </c>
      <c r="B197" s="1" t="n">
        <v>43886</v>
      </c>
      <c r="C197" s="1" t="n">
        <v>45718</v>
      </c>
      <c r="D197" t="inlineStr">
        <is>
          <t>DALARNAS LÄN</t>
        </is>
      </c>
      <c r="E197" t="inlineStr">
        <is>
          <t>FALUN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10681-2020</t>
        </is>
      </c>
      <c r="B198" s="1" t="n">
        <v>43888</v>
      </c>
      <c r="C198" s="1" t="n">
        <v>45718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10700-2020</t>
        </is>
      </c>
      <c r="B199" s="1" t="n">
        <v>43888</v>
      </c>
      <c r="C199" s="1" t="n">
        <v>45718</v>
      </c>
      <c r="D199" t="inlineStr">
        <is>
          <t>DALARNAS LÄN</t>
        </is>
      </c>
      <c r="E199" t="inlineStr">
        <is>
          <t>FALUN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10730-2020</t>
        </is>
      </c>
      <c r="B200" s="1" t="n">
        <v>43888</v>
      </c>
      <c r="C200" s="1" t="n">
        <v>45718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10854-2020</t>
        </is>
      </c>
      <c r="B201" s="1" t="n">
        <v>43889</v>
      </c>
      <c r="C201" s="1" t="n">
        <v>45718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11779-2020</t>
        </is>
      </c>
      <c r="B202" s="1" t="n">
        <v>43894</v>
      </c>
      <c r="C202" s="1" t="n">
        <v>45718</v>
      </c>
      <c r="D202" t="inlineStr">
        <is>
          <t>DALARNAS LÄN</t>
        </is>
      </c>
      <c r="E202" t="inlineStr">
        <is>
          <t>FALUN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12161-2020</t>
        </is>
      </c>
      <c r="B203" s="1" t="n">
        <v>43895</v>
      </c>
      <c r="C203" s="1" t="n">
        <v>45718</v>
      </c>
      <c r="D203" t="inlineStr">
        <is>
          <t>DALARNAS LÄN</t>
        </is>
      </c>
      <c r="E203" t="inlineStr">
        <is>
          <t>FALUN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12614-2020</t>
        </is>
      </c>
      <c r="B204" s="1" t="n">
        <v>43899</v>
      </c>
      <c r="C204" s="1" t="n">
        <v>45718</v>
      </c>
      <c r="D204" t="inlineStr">
        <is>
          <t>DALARNAS LÄN</t>
        </is>
      </c>
      <c r="E204" t="inlineStr">
        <is>
          <t>FALUN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12834-2020</t>
        </is>
      </c>
      <c r="B205" s="1" t="n">
        <v>43899</v>
      </c>
      <c r="C205" s="1" t="n">
        <v>45718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14316-2020</t>
        </is>
      </c>
      <c r="B206" s="1" t="n">
        <v>43907</v>
      </c>
      <c r="C206" s="1" t="n">
        <v>45718</v>
      </c>
      <c r="D206" t="inlineStr">
        <is>
          <t>DALARNAS LÄN</t>
        </is>
      </c>
      <c r="E206" t="inlineStr">
        <is>
          <t>FALUN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14732-2020</t>
        </is>
      </c>
      <c r="B207" s="1" t="n">
        <v>43909</v>
      </c>
      <c r="C207" s="1" t="n">
        <v>45718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15157-2020</t>
        </is>
      </c>
      <c r="B208" s="1" t="n">
        <v>43912</v>
      </c>
      <c r="C208" s="1" t="n">
        <v>45718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15460-2020</t>
        </is>
      </c>
      <c r="B209" s="1" t="n">
        <v>43914</v>
      </c>
      <c r="C209" s="1" t="n">
        <v>45718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15491-2020</t>
        </is>
      </c>
      <c r="B210" s="1" t="n">
        <v>43914</v>
      </c>
      <c r="C210" s="1" t="n">
        <v>45718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16425-2020</t>
        </is>
      </c>
      <c r="B211" s="1" t="n">
        <v>43919</v>
      </c>
      <c r="C211" s="1" t="n">
        <v>45718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17056-2020</t>
        </is>
      </c>
      <c r="B212" s="1" t="n">
        <v>43921</v>
      </c>
      <c r="C212" s="1" t="n">
        <v>45718</v>
      </c>
      <c r="D212" t="inlineStr">
        <is>
          <t>DALARNAS LÄN</t>
        </is>
      </c>
      <c r="E212" t="inlineStr">
        <is>
          <t>FALUN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19307-2020</t>
        </is>
      </c>
      <c r="B213" s="1" t="n">
        <v>43937</v>
      </c>
      <c r="C213" s="1" t="n">
        <v>45718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20331-2020</t>
        </is>
      </c>
      <c r="B214" s="1" t="n">
        <v>43945</v>
      </c>
      <c r="C214" s="1" t="n">
        <v>45718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20543-2020</t>
        </is>
      </c>
      <c r="B215" s="1" t="n">
        <v>43948</v>
      </c>
      <c r="C215" s="1" t="n">
        <v>45718</v>
      </c>
      <c r="D215" t="inlineStr">
        <is>
          <t>DALARNAS LÄN</t>
        </is>
      </c>
      <c r="E215" t="inlineStr">
        <is>
          <t>FALUN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23270-2020</t>
        </is>
      </c>
      <c r="B216" s="1" t="n">
        <v>43966</v>
      </c>
      <c r="C216" s="1" t="n">
        <v>45718</v>
      </c>
      <c r="D216" t="inlineStr">
        <is>
          <t>DALARNAS LÄN</t>
        </is>
      </c>
      <c r="E216" t="inlineStr">
        <is>
          <t>FALUN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23465-2020</t>
        </is>
      </c>
      <c r="B217" s="1" t="n">
        <v>43969</v>
      </c>
      <c r="C217" s="1" t="n">
        <v>45718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23521-2020</t>
        </is>
      </c>
      <c r="B218" s="1" t="n">
        <v>43969</v>
      </c>
      <c r="C218" s="1" t="n">
        <v>45718</v>
      </c>
      <c r="D218" t="inlineStr">
        <is>
          <t>DALARNAS LÄN</t>
        </is>
      </c>
      <c r="E218" t="inlineStr">
        <is>
          <t>FALUN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23876-2020</t>
        </is>
      </c>
      <c r="B219" s="1" t="n">
        <v>43971</v>
      </c>
      <c r="C219" s="1" t="n">
        <v>45718</v>
      </c>
      <c r="D219" t="inlineStr">
        <is>
          <t>DALARNAS LÄN</t>
        </is>
      </c>
      <c r="E219" t="inlineStr">
        <is>
          <t>FALUN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24275-2020</t>
        </is>
      </c>
      <c r="B220" s="1" t="n">
        <v>43976</v>
      </c>
      <c r="C220" s="1" t="n">
        <v>45718</v>
      </c>
      <c r="D220" t="inlineStr">
        <is>
          <t>DALARNAS LÄN</t>
        </is>
      </c>
      <c r="E220" t="inlineStr">
        <is>
          <t>FALUN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24522-2020</t>
        </is>
      </c>
      <c r="B221" s="1" t="n">
        <v>43977</v>
      </c>
      <c r="C221" s="1" t="n">
        <v>45718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25036-2020</t>
        </is>
      </c>
      <c r="B222" s="1" t="n">
        <v>43979</v>
      </c>
      <c r="C222" s="1" t="n">
        <v>45718</v>
      </c>
      <c r="D222" t="inlineStr">
        <is>
          <t>DALARNAS LÄN</t>
        </is>
      </c>
      <c r="E222" t="inlineStr">
        <is>
          <t>FALUN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25713-2020</t>
        </is>
      </c>
      <c r="B223" s="1" t="n">
        <v>43984</v>
      </c>
      <c r="C223" s="1" t="n">
        <v>45718</v>
      </c>
      <c r="D223" t="inlineStr">
        <is>
          <t>DALARNAS LÄN</t>
        </is>
      </c>
      <c r="E223" t="inlineStr">
        <is>
          <t>FALUN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26257-2020</t>
        </is>
      </c>
      <c r="B224" s="1" t="n">
        <v>43986</v>
      </c>
      <c r="C224" s="1" t="n">
        <v>45718</v>
      </c>
      <c r="D224" t="inlineStr">
        <is>
          <t>DALARNAS LÄN</t>
        </is>
      </c>
      <c r="E224" t="inlineStr">
        <is>
          <t>FALUN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26956-2020</t>
        </is>
      </c>
      <c r="B225" s="1" t="n">
        <v>43990</v>
      </c>
      <c r="C225" s="1" t="n">
        <v>45718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26824-2020</t>
        </is>
      </c>
      <c r="B226" s="1" t="n">
        <v>43990</v>
      </c>
      <c r="C226" s="1" t="n">
        <v>45718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26835-2020</t>
        </is>
      </c>
      <c r="B227" s="1" t="n">
        <v>43990</v>
      </c>
      <c r="C227" s="1" t="n">
        <v>45718</v>
      </c>
      <c r="D227" t="inlineStr">
        <is>
          <t>DALARNAS LÄN</t>
        </is>
      </c>
      <c r="E227" t="inlineStr">
        <is>
          <t>FALUN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27030-2020</t>
        </is>
      </c>
      <c r="B228" s="1" t="n">
        <v>43991</v>
      </c>
      <c r="C228" s="1" t="n">
        <v>45718</v>
      </c>
      <c r="D228" t="inlineStr">
        <is>
          <t>DALARNAS LÄN</t>
        </is>
      </c>
      <c r="E228" t="inlineStr">
        <is>
          <t>FALUN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27295-2020</t>
        </is>
      </c>
      <c r="B229" s="1" t="n">
        <v>43992</v>
      </c>
      <c r="C229" s="1" t="n">
        <v>45718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27742-2020</t>
        </is>
      </c>
      <c r="B230" s="1" t="n">
        <v>43994</v>
      </c>
      <c r="C230" s="1" t="n">
        <v>45718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28033-2020</t>
        </is>
      </c>
      <c r="B231" s="1" t="n">
        <v>43997</v>
      </c>
      <c r="C231" s="1" t="n">
        <v>45718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28336-2020</t>
        </is>
      </c>
      <c r="B232" s="1" t="n">
        <v>43998</v>
      </c>
      <c r="C232" s="1" t="n">
        <v>45718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28419-2020</t>
        </is>
      </c>
      <c r="B233" s="1" t="n">
        <v>43998</v>
      </c>
      <c r="C233" s="1" t="n">
        <v>45718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28432-2020</t>
        </is>
      </c>
      <c r="B234" s="1" t="n">
        <v>43998</v>
      </c>
      <c r="C234" s="1" t="n">
        <v>45718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28602-2020</t>
        </is>
      </c>
      <c r="B235" s="1" t="n">
        <v>43999</v>
      </c>
      <c r="C235" s="1" t="n">
        <v>45718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29951-2020</t>
        </is>
      </c>
      <c r="B236" s="1" t="n">
        <v>44006</v>
      </c>
      <c r="C236" s="1" t="n">
        <v>45718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30316-2020</t>
        </is>
      </c>
      <c r="B237" s="1" t="n">
        <v>44007</v>
      </c>
      <c r="C237" s="1" t="n">
        <v>45718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31946-2020</t>
        </is>
      </c>
      <c r="B238" s="1" t="n">
        <v>44014</v>
      </c>
      <c r="C238" s="1" t="n">
        <v>45718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32471-2020</t>
        </is>
      </c>
      <c r="B239" s="1" t="n">
        <v>44018</v>
      </c>
      <c r="C239" s="1" t="n">
        <v>45718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32735-2020</t>
        </is>
      </c>
      <c r="B240" s="1" t="n">
        <v>44019</v>
      </c>
      <c r="C240" s="1" t="n">
        <v>45718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32734-2020</t>
        </is>
      </c>
      <c r="B241" s="1" t="n">
        <v>44019</v>
      </c>
      <c r="C241" s="1" t="n">
        <v>45718</v>
      </c>
      <c r="D241" t="inlineStr">
        <is>
          <t>DALARNAS LÄN</t>
        </is>
      </c>
      <c r="E241" t="inlineStr">
        <is>
          <t>FALUN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33263-2020</t>
        </is>
      </c>
      <c r="B242" s="1" t="n">
        <v>44021</v>
      </c>
      <c r="C242" s="1" t="n">
        <v>45718</v>
      </c>
      <c r="D242" t="inlineStr">
        <is>
          <t>DALARNAS LÄN</t>
        </is>
      </c>
      <c r="E242" t="inlineStr">
        <is>
          <t>FALUN</t>
        </is>
      </c>
      <c r="F242" t="inlineStr">
        <is>
          <t>Allmännings- och besparingsskogar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34492-2020</t>
        </is>
      </c>
      <c r="B243" s="1" t="n">
        <v>44029</v>
      </c>
      <c r="C243" s="1" t="n">
        <v>45718</v>
      </c>
      <c r="D243" t="inlineStr">
        <is>
          <t>DALARNAS LÄN</t>
        </is>
      </c>
      <c r="E243" t="inlineStr">
        <is>
          <t>FALUN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35021-2020</t>
        </is>
      </c>
      <c r="B244" s="1" t="n">
        <v>44039</v>
      </c>
      <c r="C244" s="1" t="n">
        <v>45718</v>
      </c>
      <c r="D244" t="inlineStr">
        <is>
          <t>DALARNAS LÄN</t>
        </is>
      </c>
      <c r="E244" t="inlineStr">
        <is>
          <t>FALUN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38442-2020</t>
        </is>
      </c>
      <c r="B245" s="1" t="n">
        <v>44060</v>
      </c>
      <c r="C245" s="1" t="n">
        <v>45718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38552-2020</t>
        </is>
      </c>
      <c r="B246" s="1" t="n">
        <v>44061</v>
      </c>
      <c r="C246" s="1" t="n">
        <v>45718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39720-2020</t>
        </is>
      </c>
      <c r="B247" s="1" t="n">
        <v>44066</v>
      </c>
      <c r="C247" s="1" t="n">
        <v>45718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39816-2020</t>
        </is>
      </c>
      <c r="B248" s="1" t="n">
        <v>44067</v>
      </c>
      <c r="C248" s="1" t="n">
        <v>45718</v>
      </c>
      <c r="D248" t="inlineStr">
        <is>
          <t>DALARNAS LÄN</t>
        </is>
      </c>
      <c r="E248" t="inlineStr">
        <is>
          <t>FALUN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40287-2020</t>
        </is>
      </c>
      <c r="B249" s="1" t="n">
        <v>44068</v>
      </c>
      <c r="C249" s="1" t="n">
        <v>45718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40668-2020</t>
        </is>
      </c>
      <c r="B250" s="1" t="n">
        <v>44069</v>
      </c>
      <c r="C250" s="1" t="n">
        <v>45718</v>
      </c>
      <c r="D250" t="inlineStr">
        <is>
          <t>DALARNAS LÄN</t>
        </is>
      </c>
      <c r="E250" t="inlineStr">
        <is>
          <t>FALUN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42625-2020</t>
        </is>
      </c>
      <c r="B251" s="1" t="n">
        <v>44077</v>
      </c>
      <c r="C251" s="1" t="n">
        <v>45718</v>
      </c>
      <c r="D251" t="inlineStr">
        <is>
          <t>DALARNAS LÄN</t>
        </is>
      </c>
      <c r="E251" t="inlineStr">
        <is>
          <t>FALUN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43031-2020</t>
        </is>
      </c>
      <c r="B252" s="1" t="n">
        <v>44078</v>
      </c>
      <c r="C252" s="1" t="n">
        <v>45718</v>
      </c>
      <c r="D252" t="inlineStr">
        <is>
          <t>DALARNAS LÄN</t>
        </is>
      </c>
      <c r="E252" t="inlineStr">
        <is>
          <t>FALUN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44801-2020</t>
        </is>
      </c>
      <c r="B253" s="1" t="n">
        <v>44085</v>
      </c>
      <c r="C253" s="1" t="n">
        <v>45718</v>
      </c>
      <c r="D253" t="inlineStr">
        <is>
          <t>DALARNAS LÄN</t>
        </is>
      </c>
      <c r="E253" t="inlineStr">
        <is>
          <t>FALUN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45605-2020</t>
        </is>
      </c>
      <c r="B254" s="1" t="n">
        <v>44090</v>
      </c>
      <c r="C254" s="1" t="n">
        <v>45718</v>
      </c>
      <c r="D254" t="inlineStr">
        <is>
          <t>DALARNAS LÄN</t>
        </is>
      </c>
      <c r="E254" t="inlineStr">
        <is>
          <t>FALUN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45590-2020</t>
        </is>
      </c>
      <c r="B255" s="1" t="n">
        <v>44090</v>
      </c>
      <c r="C255" s="1" t="n">
        <v>45718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45989-2020</t>
        </is>
      </c>
      <c r="B256" s="1" t="n">
        <v>44091</v>
      </c>
      <c r="C256" s="1" t="n">
        <v>45718</v>
      </c>
      <c r="D256" t="inlineStr">
        <is>
          <t>DALARNAS LÄN</t>
        </is>
      </c>
      <c r="E256" t="inlineStr">
        <is>
          <t>FALUN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46572-2020</t>
        </is>
      </c>
      <c r="B257" s="1" t="n">
        <v>44095</v>
      </c>
      <c r="C257" s="1" t="n">
        <v>45718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46575-2020</t>
        </is>
      </c>
      <c r="B258" s="1" t="n">
        <v>44095</v>
      </c>
      <c r="C258" s="1" t="n">
        <v>45718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46900-2020</t>
        </is>
      </c>
      <c r="B259" s="1" t="n">
        <v>44096</v>
      </c>
      <c r="C259" s="1" t="n">
        <v>45718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47649-2020</t>
        </is>
      </c>
      <c r="B260" s="1" t="n">
        <v>44098</v>
      </c>
      <c r="C260" s="1" t="n">
        <v>45718</v>
      </c>
      <c r="D260" t="inlineStr">
        <is>
          <t>DALARNAS LÄN</t>
        </is>
      </c>
      <c r="E260" t="inlineStr">
        <is>
          <t>FALUN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48623-2020</t>
        </is>
      </c>
      <c r="B261" s="1" t="n">
        <v>44103</v>
      </c>
      <c r="C261" s="1" t="n">
        <v>45718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49624-2020</t>
        </is>
      </c>
      <c r="B262" s="1" t="n">
        <v>44106</v>
      </c>
      <c r="C262" s="1" t="n">
        <v>45718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51998-2020</t>
        </is>
      </c>
      <c r="B263" s="1" t="n">
        <v>44110</v>
      </c>
      <c r="C263" s="1" t="n">
        <v>45718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50797-2020</t>
        </is>
      </c>
      <c r="B264" s="1" t="n">
        <v>44111</v>
      </c>
      <c r="C264" s="1" t="n">
        <v>45718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51747-2020</t>
        </is>
      </c>
      <c r="B265" s="1" t="n">
        <v>44114</v>
      </c>
      <c r="C265" s="1" t="n">
        <v>45718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52271-2020</t>
        </is>
      </c>
      <c r="B266" s="1" t="n">
        <v>44117</v>
      </c>
      <c r="C266" s="1" t="n">
        <v>45718</v>
      </c>
      <c r="D266" t="inlineStr">
        <is>
          <t>DALARNAS LÄN</t>
        </is>
      </c>
      <c r="E266" t="inlineStr">
        <is>
          <t>FALUN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54062-2020</t>
        </is>
      </c>
      <c r="B267" s="1" t="n">
        <v>44125</v>
      </c>
      <c r="C267" s="1" t="n">
        <v>45718</v>
      </c>
      <c r="D267" t="inlineStr">
        <is>
          <t>DALARNAS LÄN</t>
        </is>
      </c>
      <c r="E267" t="inlineStr">
        <is>
          <t>FALUN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54413-2020</t>
        </is>
      </c>
      <c r="B268" s="1" t="n">
        <v>44126</v>
      </c>
      <c r="C268" s="1" t="n">
        <v>45718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55365-2020</t>
        </is>
      </c>
      <c r="B269" s="1" t="n">
        <v>44131</v>
      </c>
      <c r="C269" s="1" t="n">
        <v>45718</v>
      </c>
      <c r="D269" t="inlineStr">
        <is>
          <t>DALARNAS LÄN</t>
        </is>
      </c>
      <c r="E269" t="inlineStr">
        <is>
          <t>FALUN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57871-2020</t>
        </is>
      </c>
      <c r="B270" s="1" t="n">
        <v>44141</v>
      </c>
      <c r="C270" s="1" t="n">
        <v>45718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57963-2020</t>
        </is>
      </c>
      <c r="B271" s="1" t="n">
        <v>44143</v>
      </c>
      <c r="C271" s="1" t="n">
        <v>45718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57964-2020</t>
        </is>
      </c>
      <c r="B272" s="1" t="n">
        <v>44143</v>
      </c>
      <c r="C272" s="1" t="n">
        <v>45718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57960-2020</t>
        </is>
      </c>
      <c r="B273" s="1" t="n">
        <v>44143</v>
      </c>
      <c r="C273" s="1" t="n">
        <v>45718</v>
      </c>
      <c r="D273" t="inlineStr">
        <is>
          <t>DALARNAS LÄN</t>
        </is>
      </c>
      <c r="E273" t="inlineStr">
        <is>
          <t>FALUN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57966-2020</t>
        </is>
      </c>
      <c r="B274" s="1" t="n">
        <v>44143</v>
      </c>
      <c r="C274" s="1" t="n">
        <v>45718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58371-2020</t>
        </is>
      </c>
      <c r="B275" s="1" t="n">
        <v>44144</v>
      </c>
      <c r="C275" s="1" t="n">
        <v>45718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59067-2020</t>
        </is>
      </c>
      <c r="B276" s="1" t="n">
        <v>44147</v>
      </c>
      <c r="C276" s="1" t="n">
        <v>45718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59398-2020</t>
        </is>
      </c>
      <c r="B277" s="1" t="n">
        <v>44148</v>
      </c>
      <c r="C277" s="1" t="n">
        <v>45718</v>
      </c>
      <c r="D277" t="inlineStr">
        <is>
          <t>DALARNAS LÄN</t>
        </is>
      </c>
      <c r="E277" t="inlineStr">
        <is>
          <t>FALUN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62405-2020</t>
        </is>
      </c>
      <c r="B278" s="1" t="n">
        <v>44160</v>
      </c>
      <c r="C278" s="1" t="n">
        <v>45718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62358-2020</t>
        </is>
      </c>
      <c r="B279" s="1" t="n">
        <v>44160</v>
      </c>
      <c r="C279" s="1" t="n">
        <v>45718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62672-2020</t>
        </is>
      </c>
      <c r="B280" s="1" t="n">
        <v>44161</v>
      </c>
      <c r="C280" s="1" t="n">
        <v>45718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62978-2020</t>
        </is>
      </c>
      <c r="B281" s="1" t="n">
        <v>44162</v>
      </c>
      <c r="C281" s="1" t="n">
        <v>45718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63898-2020</t>
        </is>
      </c>
      <c r="B282" s="1" t="n">
        <v>44166</v>
      </c>
      <c r="C282" s="1" t="n">
        <v>45718</v>
      </c>
      <c r="D282" t="inlineStr">
        <is>
          <t>DALARNAS LÄN</t>
        </is>
      </c>
      <c r="E282" t="inlineStr">
        <is>
          <t>FALUN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63902-2020</t>
        </is>
      </c>
      <c r="B283" s="1" t="n">
        <v>44166</v>
      </c>
      <c r="C283" s="1" t="n">
        <v>45718</v>
      </c>
      <c r="D283" t="inlineStr">
        <is>
          <t>DALARNAS LÄN</t>
        </is>
      </c>
      <c r="E283" t="inlineStr">
        <is>
          <t>FALUN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64584-2020</t>
        </is>
      </c>
      <c r="B284" s="1" t="n">
        <v>44169</v>
      </c>
      <c r="C284" s="1" t="n">
        <v>45718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64624-2020</t>
        </is>
      </c>
      <c r="B285" s="1" t="n">
        <v>44169</v>
      </c>
      <c r="C285" s="1" t="n">
        <v>45718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64564-2020</t>
        </is>
      </c>
      <c r="B286" s="1" t="n">
        <v>44169</v>
      </c>
      <c r="C286" s="1" t="n">
        <v>45718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HYPERLINK("https://klasma.github.io/Logging_2080/knärot/A 64564-2020 karta knärot.png", "A 64564-2020")</f>
        <v/>
      </c>
      <c r="V286">
        <f>HYPERLINK("https://klasma.github.io/Logging_2080/klagomål/A 64564-2020 FSC-klagomål.docx", "A 64564-2020")</f>
        <v/>
      </c>
      <c r="W286">
        <f>HYPERLINK("https://klasma.github.io/Logging_2080/klagomålsmail/A 64564-2020 FSC-klagomål mail.docx", "A 64564-2020")</f>
        <v/>
      </c>
      <c r="X286">
        <f>HYPERLINK("https://klasma.github.io/Logging_2080/tillsyn/A 64564-2020 tillsynsbegäran.docx", "A 64564-2020")</f>
        <v/>
      </c>
      <c r="Y286">
        <f>HYPERLINK("https://klasma.github.io/Logging_2080/tillsynsmail/A 64564-2020 tillsynsbegäran mail.docx", "A 64564-2020")</f>
        <v/>
      </c>
    </row>
    <row r="287" ht="15" customHeight="1">
      <c r="A287" t="inlineStr">
        <is>
          <t>A 66119-2020</t>
        </is>
      </c>
      <c r="B287" s="1" t="n">
        <v>44175</v>
      </c>
      <c r="C287" s="1" t="n">
        <v>45718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66461-2020</t>
        </is>
      </c>
      <c r="B288" s="1" t="n">
        <v>44176</v>
      </c>
      <c r="C288" s="1" t="n">
        <v>45718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67071-2020</t>
        </is>
      </c>
      <c r="B289" s="1" t="n">
        <v>44179</v>
      </c>
      <c r="C289" s="1" t="n">
        <v>45718</v>
      </c>
      <c r="D289" t="inlineStr">
        <is>
          <t>DALARNAS LÄN</t>
        </is>
      </c>
      <c r="E289" t="inlineStr">
        <is>
          <t>FALUN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68248-2020</t>
        </is>
      </c>
      <c r="B290" s="1" t="n">
        <v>44183</v>
      </c>
      <c r="C290" s="1" t="n">
        <v>45718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68074-2020</t>
        </is>
      </c>
      <c r="B291" s="1" t="n">
        <v>44183</v>
      </c>
      <c r="C291" s="1" t="n">
        <v>45718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221-2021</t>
        </is>
      </c>
      <c r="B292" s="1" t="n">
        <v>44200</v>
      </c>
      <c r="C292" s="1" t="n">
        <v>45718</v>
      </c>
      <c r="D292" t="inlineStr">
        <is>
          <t>DALARNAS LÄN</t>
        </is>
      </c>
      <c r="E292" t="inlineStr">
        <is>
          <t>FALUN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528-2021</t>
        </is>
      </c>
      <c r="B293" s="1" t="n">
        <v>44203</v>
      </c>
      <c r="C293" s="1" t="n">
        <v>45718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3519-2021</t>
        </is>
      </c>
      <c r="B294" s="1" t="n">
        <v>44218</v>
      </c>
      <c r="C294" s="1" t="n">
        <v>45718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4452-2021</t>
        </is>
      </c>
      <c r="B295" s="1" t="n">
        <v>44224</v>
      </c>
      <c r="C295" s="1" t="n">
        <v>45718</v>
      </c>
      <c r="D295" t="inlineStr">
        <is>
          <t>DALARNAS LÄN</t>
        </is>
      </c>
      <c r="E295" t="inlineStr">
        <is>
          <t>FALUN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5123-2021</t>
        </is>
      </c>
      <c r="B296" s="1" t="n">
        <v>44228</v>
      </c>
      <c r="C296" s="1" t="n">
        <v>45718</v>
      </c>
      <c r="D296" t="inlineStr">
        <is>
          <t>DALARNAS LÄN</t>
        </is>
      </c>
      <c r="E296" t="inlineStr">
        <is>
          <t>FALUN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7293-2021</t>
        </is>
      </c>
      <c r="B297" s="1" t="n">
        <v>44238</v>
      </c>
      <c r="C297" s="1" t="n">
        <v>45718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7596-2021</t>
        </is>
      </c>
      <c r="B298" s="1" t="n">
        <v>44241</v>
      </c>
      <c r="C298" s="1" t="n">
        <v>45718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7667-2021</t>
        </is>
      </c>
      <c r="B299" s="1" t="n">
        <v>44242</v>
      </c>
      <c r="C299" s="1" t="n">
        <v>45718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7811-2021</t>
        </is>
      </c>
      <c r="B300" s="1" t="n">
        <v>44242</v>
      </c>
      <c r="C300" s="1" t="n">
        <v>45718</v>
      </c>
      <c r="D300" t="inlineStr">
        <is>
          <t>DALARNAS LÄN</t>
        </is>
      </c>
      <c r="E300" t="inlineStr">
        <is>
          <t>FALUN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10229-2021</t>
        </is>
      </c>
      <c r="B301" s="1" t="n">
        <v>44256</v>
      </c>
      <c r="C301" s="1" t="n">
        <v>45718</v>
      </c>
      <c r="D301" t="inlineStr">
        <is>
          <t>DALARNAS LÄN</t>
        </is>
      </c>
      <c r="E301" t="inlineStr">
        <is>
          <t>FALUN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10199-2021</t>
        </is>
      </c>
      <c r="B302" s="1" t="n">
        <v>44256</v>
      </c>
      <c r="C302" s="1" t="n">
        <v>45718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10223-2021</t>
        </is>
      </c>
      <c r="B303" s="1" t="n">
        <v>44256</v>
      </c>
      <c r="C303" s="1" t="n">
        <v>45718</v>
      </c>
      <c r="D303" t="inlineStr">
        <is>
          <t>DALARNAS LÄN</t>
        </is>
      </c>
      <c r="E303" t="inlineStr">
        <is>
          <t>FALUN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10233-2021</t>
        </is>
      </c>
      <c r="B304" s="1" t="n">
        <v>44256</v>
      </c>
      <c r="C304" s="1" t="n">
        <v>45718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11219-2021</t>
        </is>
      </c>
      <c r="B305" s="1" t="n">
        <v>44263</v>
      </c>
      <c r="C305" s="1" t="n">
        <v>45718</v>
      </c>
      <c r="D305" t="inlineStr">
        <is>
          <t>DALARNAS LÄN</t>
        </is>
      </c>
      <c r="E305" t="inlineStr">
        <is>
          <t>FALUN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11911-2021</t>
        </is>
      </c>
      <c r="B306" s="1" t="n">
        <v>44265</v>
      </c>
      <c r="C306" s="1" t="n">
        <v>45718</v>
      </c>
      <c r="D306" t="inlineStr">
        <is>
          <t>DALARNAS LÄN</t>
        </is>
      </c>
      <c r="E306" t="inlineStr">
        <is>
          <t>FALUN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11910-2021</t>
        </is>
      </c>
      <c r="B307" s="1" t="n">
        <v>44265</v>
      </c>
      <c r="C307" s="1" t="n">
        <v>45718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13048-2021</t>
        </is>
      </c>
      <c r="B308" s="1" t="n">
        <v>44272</v>
      </c>
      <c r="C308" s="1" t="n">
        <v>45718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13840-2021</t>
        </is>
      </c>
      <c r="B309" s="1" t="n">
        <v>44277</v>
      </c>
      <c r="C309" s="1" t="n">
        <v>45718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15000-2021</t>
        </is>
      </c>
      <c r="B310" s="1" t="n">
        <v>44281</v>
      </c>
      <c r="C310" s="1" t="n">
        <v>45718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17297-2021</t>
        </is>
      </c>
      <c r="B311" s="1" t="n">
        <v>44298</v>
      </c>
      <c r="C311" s="1" t="n">
        <v>45718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HYPERLINK("https://klasma.github.io/Logging_2080/knärot/A 17297-2021 karta knärot.png", "A 17297-2021")</f>
        <v/>
      </c>
      <c r="V311">
        <f>HYPERLINK("https://klasma.github.io/Logging_2080/klagomål/A 17297-2021 FSC-klagomål.docx", "A 17297-2021")</f>
        <v/>
      </c>
      <c r="W311">
        <f>HYPERLINK("https://klasma.github.io/Logging_2080/klagomålsmail/A 17297-2021 FSC-klagomål mail.docx", "A 17297-2021")</f>
        <v/>
      </c>
      <c r="X311">
        <f>HYPERLINK("https://klasma.github.io/Logging_2080/tillsyn/A 17297-2021 tillsynsbegäran.docx", "A 17297-2021")</f>
        <v/>
      </c>
      <c r="Y311">
        <f>HYPERLINK("https://klasma.github.io/Logging_2080/tillsynsmail/A 17297-2021 tillsynsbegäran mail.docx", "A 17297-2021")</f>
        <v/>
      </c>
    </row>
    <row r="312" ht="15" customHeight="1">
      <c r="A312" t="inlineStr">
        <is>
          <t>A 17791-2021</t>
        </is>
      </c>
      <c r="B312" s="1" t="n">
        <v>44300</v>
      </c>
      <c r="C312" s="1" t="n">
        <v>45718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19140-2021</t>
        </is>
      </c>
      <c r="B313" s="1" t="n">
        <v>44308</v>
      </c>
      <c r="C313" s="1" t="n">
        <v>45718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19127-2021</t>
        </is>
      </c>
      <c r="B314" s="1" t="n">
        <v>44308</v>
      </c>
      <c r="C314" s="1" t="n">
        <v>45718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19274-2021</t>
        </is>
      </c>
      <c r="B315" s="1" t="n">
        <v>44309</v>
      </c>
      <c r="C315" s="1" t="n">
        <v>45718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20141-2021</t>
        </is>
      </c>
      <c r="B316" s="1" t="n">
        <v>44314</v>
      </c>
      <c r="C316" s="1" t="n">
        <v>45718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21744-2021</t>
        </is>
      </c>
      <c r="B317" s="1" t="n">
        <v>44322</v>
      </c>
      <c r="C317" s="1" t="n">
        <v>45718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22658-2021</t>
        </is>
      </c>
      <c r="B318" s="1" t="n">
        <v>44327</v>
      </c>
      <c r="C318" s="1" t="n">
        <v>45718</v>
      </c>
      <c r="D318" t="inlineStr">
        <is>
          <t>DALARNAS LÄN</t>
        </is>
      </c>
      <c r="E318" t="inlineStr">
        <is>
          <t>FALUN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22668-2021</t>
        </is>
      </c>
      <c r="B319" s="1" t="n">
        <v>44327</v>
      </c>
      <c r="C319" s="1" t="n">
        <v>45718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22900-2021</t>
        </is>
      </c>
      <c r="B320" s="1" t="n">
        <v>44328</v>
      </c>
      <c r="C320" s="1" t="n">
        <v>45718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23505-2021</t>
        </is>
      </c>
      <c r="B321" s="1" t="n">
        <v>44334</v>
      </c>
      <c r="C321" s="1" t="n">
        <v>45718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HYPERLINK("https://klasma.github.io/Logging_2080/knärot/A 23505-2021 karta knärot.png", "A 23505-2021")</f>
        <v/>
      </c>
      <c r="V321">
        <f>HYPERLINK("https://klasma.github.io/Logging_2080/klagomål/A 23505-2021 FSC-klagomål.docx", "A 23505-2021")</f>
        <v/>
      </c>
      <c r="W321">
        <f>HYPERLINK("https://klasma.github.io/Logging_2080/klagomålsmail/A 23505-2021 FSC-klagomål mail.docx", "A 23505-2021")</f>
        <v/>
      </c>
      <c r="X321">
        <f>HYPERLINK("https://klasma.github.io/Logging_2080/tillsyn/A 23505-2021 tillsynsbegäran.docx", "A 23505-2021")</f>
        <v/>
      </c>
      <c r="Y321">
        <f>HYPERLINK("https://klasma.github.io/Logging_2080/tillsynsmail/A 23505-2021 tillsynsbegäran mail.docx", "A 23505-2021")</f>
        <v/>
      </c>
    </row>
    <row r="322" ht="15" customHeight="1">
      <c r="A322" t="inlineStr">
        <is>
          <t>A 24418-2021</t>
        </is>
      </c>
      <c r="B322" s="1" t="n">
        <v>44337</v>
      </c>
      <c r="C322" s="1" t="n">
        <v>45718</v>
      </c>
      <c r="D322" t="inlineStr">
        <is>
          <t>DALARNAS LÄN</t>
        </is>
      </c>
      <c r="E322" t="inlineStr">
        <is>
          <t>FALUN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25276-2021</t>
        </is>
      </c>
      <c r="B323" s="1" t="n">
        <v>44342</v>
      </c>
      <c r="C323" s="1" t="n">
        <v>45718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25791-2021</t>
        </is>
      </c>
      <c r="B324" s="1" t="n">
        <v>44343</v>
      </c>
      <c r="C324" s="1" t="n">
        <v>45718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26465-2021</t>
        </is>
      </c>
      <c r="B325" s="1" t="n">
        <v>44348</v>
      </c>
      <c r="C325" s="1" t="n">
        <v>45718</v>
      </c>
      <c r="D325" t="inlineStr">
        <is>
          <t>DALARNAS LÄN</t>
        </is>
      </c>
      <c r="E325" t="inlineStr">
        <is>
          <t>FALUN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26713-2021</t>
        </is>
      </c>
      <c r="B326" s="1" t="n">
        <v>44349</v>
      </c>
      <c r="C326" s="1" t="n">
        <v>45718</v>
      </c>
      <c r="D326" t="inlineStr">
        <is>
          <t>DALARNAS LÄN</t>
        </is>
      </c>
      <c r="E326" t="inlineStr">
        <is>
          <t>FALUN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27627-2021</t>
        </is>
      </c>
      <c r="B327" s="1" t="n">
        <v>44354</v>
      </c>
      <c r="C327" s="1" t="n">
        <v>45718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28126-2021</t>
        </is>
      </c>
      <c r="B328" s="1" t="n">
        <v>44355</v>
      </c>
      <c r="C328" s="1" t="n">
        <v>45718</v>
      </c>
      <c r="D328" t="inlineStr">
        <is>
          <t>DALARNAS LÄN</t>
        </is>
      </c>
      <c r="E328" t="inlineStr">
        <is>
          <t>FALUN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28773-2021</t>
        </is>
      </c>
      <c r="B329" s="1" t="n">
        <v>44357</v>
      </c>
      <c r="C329" s="1" t="n">
        <v>45718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28864-2021</t>
        </is>
      </c>
      <c r="B330" s="1" t="n">
        <v>44357</v>
      </c>
      <c r="C330" s="1" t="n">
        <v>45718</v>
      </c>
      <c r="D330" t="inlineStr">
        <is>
          <t>DALARNAS LÄN</t>
        </is>
      </c>
      <c r="E330" t="inlineStr">
        <is>
          <t>FALUN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29132-2021</t>
        </is>
      </c>
      <c r="B331" s="1" t="n">
        <v>44358</v>
      </c>
      <c r="C331" s="1" t="n">
        <v>45718</v>
      </c>
      <c r="D331" t="inlineStr">
        <is>
          <t>DALARNAS LÄN</t>
        </is>
      </c>
      <c r="E331" t="inlineStr">
        <is>
          <t>FALUN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29769-2021</t>
        </is>
      </c>
      <c r="B332" s="1" t="n">
        <v>44362</v>
      </c>
      <c r="C332" s="1" t="n">
        <v>45718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29880-2021</t>
        </is>
      </c>
      <c r="B333" s="1" t="n">
        <v>44362</v>
      </c>
      <c r="C333" s="1" t="n">
        <v>45718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30178-2021</t>
        </is>
      </c>
      <c r="B334" s="1" t="n">
        <v>44363</v>
      </c>
      <c r="C334" s="1" t="n">
        <v>45718</v>
      </c>
      <c r="D334" t="inlineStr">
        <is>
          <t>DALARNAS LÄN</t>
        </is>
      </c>
      <c r="E334" t="inlineStr">
        <is>
          <t>FALUN</t>
        </is>
      </c>
      <c r="F334" t="inlineStr">
        <is>
          <t>Allmännings- och besparingsskogar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30944-2021</t>
        </is>
      </c>
      <c r="B335" s="1" t="n">
        <v>44365</v>
      </c>
      <c r="C335" s="1" t="n">
        <v>45718</v>
      </c>
      <c r="D335" t="inlineStr">
        <is>
          <t>DALARNAS LÄN</t>
        </is>
      </c>
      <c r="E335" t="inlineStr">
        <is>
          <t>FALUN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31046-2021</t>
        </is>
      </c>
      <c r="B336" s="1" t="n">
        <v>44368</v>
      </c>
      <c r="C336" s="1" t="n">
        <v>45718</v>
      </c>
      <c r="D336" t="inlineStr">
        <is>
          <t>DALARNAS LÄN</t>
        </is>
      </c>
      <c r="E336" t="inlineStr">
        <is>
          <t>FALUN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31658-2021</t>
        </is>
      </c>
      <c r="B337" s="1" t="n">
        <v>44369</v>
      </c>
      <c r="C337" s="1" t="n">
        <v>45718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31629-2021</t>
        </is>
      </c>
      <c r="B338" s="1" t="n">
        <v>44369</v>
      </c>
      <c r="C338" s="1" t="n">
        <v>45718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33166-2021</t>
        </is>
      </c>
      <c r="B339" s="1" t="n">
        <v>44376</v>
      </c>
      <c r="C339" s="1" t="n">
        <v>45718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34603-2021</t>
        </is>
      </c>
      <c r="B340" s="1" t="n">
        <v>44382</v>
      </c>
      <c r="C340" s="1" t="n">
        <v>45718</v>
      </c>
      <c r="D340" t="inlineStr">
        <is>
          <t>DALARNAS LÄN</t>
        </is>
      </c>
      <c r="E340" t="inlineStr">
        <is>
          <t>FALUN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34670-2021</t>
        </is>
      </c>
      <c r="B341" s="1" t="n">
        <v>44382</v>
      </c>
      <c r="C341" s="1" t="n">
        <v>45718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34763-2021</t>
        </is>
      </c>
      <c r="B342" s="1" t="n">
        <v>44382</v>
      </c>
      <c r="C342" s="1" t="n">
        <v>45718</v>
      </c>
      <c r="D342" t="inlineStr">
        <is>
          <t>DALARNAS LÄN</t>
        </is>
      </c>
      <c r="E342" t="inlineStr">
        <is>
          <t>FALUN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34764-2021</t>
        </is>
      </c>
      <c r="B343" s="1" t="n">
        <v>44382</v>
      </c>
      <c r="C343" s="1" t="n">
        <v>45718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34890-2021</t>
        </is>
      </c>
      <c r="B344" s="1" t="n">
        <v>44383</v>
      </c>
      <c r="C344" s="1" t="n">
        <v>45718</v>
      </c>
      <c r="D344" t="inlineStr">
        <is>
          <t>DALARNAS LÄN</t>
        </is>
      </c>
      <c r="E344" t="inlineStr">
        <is>
          <t>FALUN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35231-2021</t>
        </is>
      </c>
      <c r="B345" s="1" t="n">
        <v>44384</v>
      </c>
      <c r="C345" s="1" t="n">
        <v>45718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36132-2021</t>
        </is>
      </c>
      <c r="B346" s="1" t="n">
        <v>44389</v>
      </c>
      <c r="C346" s="1" t="n">
        <v>45718</v>
      </c>
      <c r="D346" t="inlineStr">
        <is>
          <t>DALARNAS LÄN</t>
        </is>
      </c>
      <c r="E346" t="inlineStr">
        <is>
          <t>FALUN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36725-2021</t>
        </is>
      </c>
      <c r="B347" s="1" t="n">
        <v>44392</v>
      </c>
      <c r="C347" s="1" t="n">
        <v>45718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37140-2021</t>
        </is>
      </c>
      <c r="B348" s="1" t="n">
        <v>44396</v>
      </c>
      <c r="C348" s="1" t="n">
        <v>45718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37291-2021</t>
        </is>
      </c>
      <c r="B349" s="1" t="n">
        <v>44397</v>
      </c>
      <c r="C349" s="1" t="n">
        <v>45718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37293-2021</t>
        </is>
      </c>
      <c r="B350" s="1" t="n">
        <v>44397</v>
      </c>
      <c r="C350" s="1" t="n">
        <v>45718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37300-2021</t>
        </is>
      </c>
      <c r="B351" s="1" t="n">
        <v>44397</v>
      </c>
      <c r="C351" s="1" t="n">
        <v>45718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37460-2021</t>
        </is>
      </c>
      <c r="B352" s="1" t="n">
        <v>44398</v>
      </c>
      <c r="C352" s="1" t="n">
        <v>45718</v>
      </c>
      <c r="D352" t="inlineStr">
        <is>
          <t>DALARNAS LÄN</t>
        </is>
      </c>
      <c r="E352" t="inlineStr">
        <is>
          <t>FALUN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37489-2021</t>
        </is>
      </c>
      <c r="B353" s="1" t="n">
        <v>44398</v>
      </c>
      <c r="C353" s="1" t="n">
        <v>45718</v>
      </c>
      <c r="D353" t="inlineStr">
        <is>
          <t>DALARNAS LÄN</t>
        </is>
      </c>
      <c r="E353" t="inlineStr">
        <is>
          <t>FALUN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38454-2021</t>
        </is>
      </c>
      <c r="B354" s="1" t="n">
        <v>44407</v>
      </c>
      <c r="C354" s="1" t="n">
        <v>45718</v>
      </c>
      <c r="D354" t="inlineStr">
        <is>
          <t>DALARNAS LÄN</t>
        </is>
      </c>
      <c r="E354" t="inlineStr">
        <is>
          <t>FALUN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38561-2021</t>
        </is>
      </c>
      <c r="B355" s="1" t="n">
        <v>44407</v>
      </c>
      <c r="C355" s="1" t="n">
        <v>45718</v>
      </c>
      <c r="D355" t="inlineStr">
        <is>
          <t>DALARNAS LÄN</t>
        </is>
      </c>
      <c r="E355" t="inlineStr">
        <is>
          <t>FALUN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38512-2021</t>
        </is>
      </c>
      <c r="B356" s="1" t="n">
        <v>44407</v>
      </c>
      <c r="C356" s="1" t="n">
        <v>45718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38620-2021</t>
        </is>
      </c>
      <c r="B357" s="1" t="n">
        <v>44409</v>
      </c>
      <c r="C357" s="1" t="n">
        <v>45718</v>
      </c>
      <c r="D357" t="inlineStr">
        <is>
          <t>DALARNAS LÄN</t>
        </is>
      </c>
      <c r="E357" t="inlineStr">
        <is>
          <t>FALUN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38799-2021</t>
        </is>
      </c>
      <c r="B358" s="1" t="n">
        <v>44410</v>
      </c>
      <c r="C358" s="1" t="n">
        <v>45718</v>
      </c>
      <c r="D358" t="inlineStr">
        <is>
          <t>DALARNAS LÄN</t>
        </is>
      </c>
      <c r="E358" t="inlineStr">
        <is>
          <t>FALUN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39096-2021</t>
        </is>
      </c>
      <c r="B359" s="1" t="n">
        <v>44412</v>
      </c>
      <c r="C359" s="1" t="n">
        <v>45718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39233-2021</t>
        </is>
      </c>
      <c r="B360" s="1" t="n">
        <v>44413</v>
      </c>
      <c r="C360" s="1" t="n">
        <v>45718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39710-2021</t>
        </is>
      </c>
      <c r="B361" s="1" t="n">
        <v>44417</v>
      </c>
      <c r="C361" s="1" t="n">
        <v>45718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40135-2021</t>
        </is>
      </c>
      <c r="B362" s="1" t="n">
        <v>44418</v>
      </c>
      <c r="C362" s="1" t="n">
        <v>45718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40374-2021</t>
        </is>
      </c>
      <c r="B363" s="1" t="n">
        <v>44419</v>
      </c>
      <c r="C363" s="1" t="n">
        <v>45718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40385-2021</t>
        </is>
      </c>
      <c r="B364" s="1" t="n">
        <v>44419</v>
      </c>
      <c r="C364" s="1" t="n">
        <v>45718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40441-2021</t>
        </is>
      </c>
      <c r="B365" s="1" t="n">
        <v>44419</v>
      </c>
      <c r="C365" s="1" t="n">
        <v>45718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40553-2021</t>
        </is>
      </c>
      <c r="B366" s="1" t="n">
        <v>44420</v>
      </c>
      <c r="C366" s="1" t="n">
        <v>45718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40915-2021</t>
        </is>
      </c>
      <c r="B367" s="1" t="n">
        <v>44421</v>
      </c>
      <c r="C367" s="1" t="n">
        <v>45718</v>
      </c>
      <c r="D367" t="inlineStr">
        <is>
          <t>DALARNAS LÄN</t>
        </is>
      </c>
      <c r="E367" t="inlineStr">
        <is>
          <t>FALUN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41454-2021</t>
        </is>
      </c>
      <c r="B368" s="1" t="n">
        <v>44424</v>
      </c>
      <c r="C368" s="1" t="n">
        <v>45718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42778-2021</t>
        </is>
      </c>
      <c r="B369" s="1" t="n">
        <v>44428</v>
      </c>
      <c r="C369" s="1" t="n">
        <v>45718</v>
      </c>
      <c r="D369" t="inlineStr">
        <is>
          <t>DALARNAS LÄN</t>
        </is>
      </c>
      <c r="E369" t="inlineStr">
        <is>
          <t>FALUN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42948-2021</t>
        </is>
      </c>
      <c r="B370" s="1" t="n">
        <v>44431</v>
      </c>
      <c r="C370" s="1" t="n">
        <v>45718</v>
      </c>
      <c r="D370" t="inlineStr">
        <is>
          <t>DALARNAS LÄN</t>
        </is>
      </c>
      <c r="E370" t="inlineStr">
        <is>
          <t>FALUN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43082-2021</t>
        </is>
      </c>
      <c r="B371" s="1" t="n">
        <v>44431</v>
      </c>
      <c r="C371" s="1" t="n">
        <v>45718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44411-2021</t>
        </is>
      </c>
      <c r="B372" s="1" t="n">
        <v>44435</v>
      </c>
      <c r="C372" s="1" t="n">
        <v>45718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44919-2021</t>
        </is>
      </c>
      <c r="B373" s="1" t="n">
        <v>44438</v>
      </c>
      <c r="C373" s="1" t="n">
        <v>45718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45167-2021</t>
        </is>
      </c>
      <c r="B374" s="1" t="n">
        <v>44439</v>
      </c>
      <c r="C374" s="1" t="n">
        <v>45718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46272-2021</t>
        </is>
      </c>
      <c r="B375" s="1" t="n">
        <v>44442</v>
      </c>
      <c r="C375" s="1" t="n">
        <v>45718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46239-2021</t>
        </is>
      </c>
      <c r="B376" s="1" t="n">
        <v>44442</v>
      </c>
      <c r="C376" s="1" t="n">
        <v>45718</v>
      </c>
      <c r="D376" t="inlineStr">
        <is>
          <t>DALARNAS LÄN</t>
        </is>
      </c>
      <c r="E376" t="inlineStr">
        <is>
          <t>FALUN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47513-2021</t>
        </is>
      </c>
      <c r="B377" s="1" t="n">
        <v>44447</v>
      </c>
      <c r="C377" s="1" t="n">
        <v>45718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47509-2021</t>
        </is>
      </c>
      <c r="B378" s="1" t="n">
        <v>44447</v>
      </c>
      <c r="C378" s="1" t="n">
        <v>45718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50518-2021</t>
        </is>
      </c>
      <c r="B379" s="1" t="n">
        <v>44459</v>
      </c>
      <c r="C379" s="1" t="n">
        <v>45718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52615-2021</t>
        </is>
      </c>
      <c r="B380" s="1" t="n">
        <v>44466</v>
      </c>
      <c r="C380" s="1" t="n">
        <v>45718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52506-2021</t>
        </is>
      </c>
      <c r="B381" s="1" t="n">
        <v>44466</v>
      </c>
      <c r="C381" s="1" t="n">
        <v>45718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52633-2021</t>
        </is>
      </c>
      <c r="B382" s="1" t="n">
        <v>44466</v>
      </c>
      <c r="C382" s="1" t="n">
        <v>45718</v>
      </c>
      <c r="D382" t="inlineStr">
        <is>
          <t>DALARNAS LÄN</t>
        </is>
      </c>
      <c r="E382" t="inlineStr">
        <is>
          <t>FALUN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52619-2021</t>
        </is>
      </c>
      <c r="B383" s="1" t="n">
        <v>44466</v>
      </c>
      <c r="C383" s="1" t="n">
        <v>45718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52671-2021</t>
        </is>
      </c>
      <c r="B384" s="1" t="n">
        <v>44466</v>
      </c>
      <c r="C384" s="1" t="n">
        <v>45718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53377-2021</t>
        </is>
      </c>
      <c r="B385" s="1" t="n">
        <v>44468</v>
      </c>
      <c r="C385" s="1" t="n">
        <v>45718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53982-2021</t>
        </is>
      </c>
      <c r="B386" s="1" t="n">
        <v>44470</v>
      </c>
      <c r="C386" s="1" t="n">
        <v>45718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55567-2021</t>
        </is>
      </c>
      <c r="B387" s="1" t="n">
        <v>44475</v>
      </c>
      <c r="C387" s="1" t="n">
        <v>45718</v>
      </c>
      <c r="D387" t="inlineStr">
        <is>
          <t>DALARNAS LÄN</t>
        </is>
      </c>
      <c r="E387" t="inlineStr">
        <is>
          <t>FALUN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55766-2021</t>
        </is>
      </c>
      <c r="B388" s="1" t="n">
        <v>44476</v>
      </c>
      <c r="C388" s="1" t="n">
        <v>45718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56123-2021</t>
        </is>
      </c>
      <c r="B389" s="1" t="n">
        <v>44477</v>
      </c>
      <c r="C389" s="1" t="n">
        <v>45718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58409-2021</t>
        </is>
      </c>
      <c r="B390" s="1" t="n">
        <v>44488</v>
      </c>
      <c r="C390" s="1" t="n">
        <v>45718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59509-2021</t>
        </is>
      </c>
      <c r="B391" s="1" t="n">
        <v>44491</v>
      </c>
      <c r="C391" s="1" t="n">
        <v>45718</v>
      </c>
      <c r="D391" t="inlineStr">
        <is>
          <t>DALARNAS LÄN</t>
        </is>
      </c>
      <c r="E391" t="inlineStr">
        <is>
          <t>FALUN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59950-2021</t>
        </is>
      </c>
      <c r="B392" s="1" t="n">
        <v>44494</v>
      </c>
      <c r="C392" s="1" t="n">
        <v>45718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60680-2021</t>
        </is>
      </c>
      <c r="B393" s="1" t="n">
        <v>44496</v>
      </c>
      <c r="C393" s="1" t="n">
        <v>45718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61035-2021</t>
        </is>
      </c>
      <c r="B394" s="1" t="n">
        <v>44497</v>
      </c>
      <c r="C394" s="1" t="n">
        <v>45718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61377-2021</t>
        </is>
      </c>
      <c r="B395" s="1" t="n">
        <v>44500</v>
      </c>
      <c r="C395" s="1" t="n">
        <v>45718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61972-2021</t>
        </is>
      </c>
      <c r="B396" s="1" t="n">
        <v>44502</v>
      </c>
      <c r="C396" s="1" t="n">
        <v>45718</v>
      </c>
      <c r="D396" t="inlineStr">
        <is>
          <t>DALARNAS LÄN</t>
        </is>
      </c>
      <c r="E396" t="inlineStr">
        <is>
          <t>FALUN</t>
        </is>
      </c>
      <c r="F396" t="inlineStr">
        <is>
          <t>Allmännings- och besparingsskogar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63355-2021</t>
        </is>
      </c>
      <c r="B397" s="1" t="n">
        <v>44508</v>
      </c>
      <c r="C397" s="1" t="n">
        <v>45718</v>
      </c>
      <c r="D397" t="inlineStr">
        <is>
          <t>DALARNAS LÄN</t>
        </is>
      </c>
      <c r="E397" t="inlineStr">
        <is>
          <t>FALUN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63366-2021</t>
        </is>
      </c>
      <c r="B398" s="1" t="n">
        <v>44508</v>
      </c>
      <c r="C398" s="1" t="n">
        <v>45718</v>
      </c>
      <c r="D398" t="inlineStr">
        <is>
          <t>DALARNAS LÄN</t>
        </is>
      </c>
      <c r="E398" t="inlineStr">
        <is>
          <t>FALUN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63743-2021</t>
        </is>
      </c>
      <c r="B399" s="1" t="n">
        <v>44509</v>
      </c>
      <c r="C399" s="1" t="n">
        <v>45718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64224-2021</t>
        </is>
      </c>
      <c r="B400" s="1" t="n">
        <v>44510</v>
      </c>
      <c r="C400" s="1" t="n">
        <v>45718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64758-2021</t>
        </is>
      </c>
      <c r="B401" s="1" t="n">
        <v>44511</v>
      </c>
      <c r="C401" s="1" t="n">
        <v>45718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66006-2021</t>
        </is>
      </c>
      <c r="B402" s="1" t="n">
        <v>44517</v>
      </c>
      <c r="C402" s="1" t="n">
        <v>45718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66012-2021</t>
        </is>
      </c>
      <c r="B403" s="1" t="n">
        <v>44517</v>
      </c>
      <c r="C403" s="1" t="n">
        <v>45718</v>
      </c>
      <c r="D403" t="inlineStr">
        <is>
          <t>DALARNAS LÄN</t>
        </is>
      </c>
      <c r="E403" t="inlineStr">
        <is>
          <t>FALUN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68587-2021</t>
        </is>
      </c>
      <c r="B404" s="1" t="n">
        <v>44529</v>
      </c>
      <c r="C404" s="1" t="n">
        <v>45718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68590-2021</t>
        </is>
      </c>
      <c r="B405" s="1" t="n">
        <v>44529</v>
      </c>
      <c r="C405" s="1" t="n">
        <v>45718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68453-2021</t>
        </is>
      </c>
      <c r="B406" s="1" t="n">
        <v>44529</v>
      </c>
      <c r="C406" s="1" t="n">
        <v>45718</v>
      </c>
      <c r="D406" t="inlineStr">
        <is>
          <t>DALARNAS LÄN</t>
        </is>
      </c>
      <c r="E406" t="inlineStr">
        <is>
          <t>FALUN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68515-2021</t>
        </is>
      </c>
      <c r="B407" s="1" t="n">
        <v>44529</v>
      </c>
      <c r="C407" s="1" t="n">
        <v>45718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69013-2021</t>
        </is>
      </c>
      <c r="B408" s="1" t="n">
        <v>44530</v>
      </c>
      <c r="C408" s="1" t="n">
        <v>45718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69028-2021</t>
        </is>
      </c>
      <c r="B409" s="1" t="n">
        <v>44530</v>
      </c>
      <c r="C409" s="1" t="n">
        <v>45718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69306-2021</t>
        </is>
      </c>
      <c r="B410" s="1" t="n">
        <v>44531</v>
      </c>
      <c r="C410" s="1" t="n">
        <v>45718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69780-2021</t>
        </is>
      </c>
      <c r="B411" s="1" t="n">
        <v>44532</v>
      </c>
      <c r="C411" s="1" t="n">
        <v>45718</v>
      </c>
      <c r="D411" t="inlineStr">
        <is>
          <t>DALARNAS LÄN</t>
        </is>
      </c>
      <c r="E411" t="inlineStr">
        <is>
          <t>FALUN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70456-2021</t>
        </is>
      </c>
      <c r="B412" s="1" t="n">
        <v>44536</v>
      </c>
      <c r="C412" s="1" t="n">
        <v>45718</v>
      </c>
      <c r="D412" t="inlineStr">
        <is>
          <t>DALARNAS LÄN</t>
        </is>
      </c>
      <c r="E412" t="inlineStr">
        <is>
          <t>FALUN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70796-2021</t>
        </is>
      </c>
      <c r="B413" s="1" t="n">
        <v>44537</v>
      </c>
      <c r="C413" s="1" t="n">
        <v>45718</v>
      </c>
      <c r="D413" t="inlineStr">
        <is>
          <t>DALARNAS LÄN</t>
        </is>
      </c>
      <c r="E413" t="inlineStr">
        <is>
          <t>FALUN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73803-2021</t>
        </is>
      </c>
      <c r="B414" s="1" t="n">
        <v>44552</v>
      </c>
      <c r="C414" s="1" t="n">
        <v>45718</v>
      </c>
      <c r="D414" t="inlineStr">
        <is>
          <t>DALARNAS LÄN</t>
        </is>
      </c>
      <c r="E414" t="inlineStr">
        <is>
          <t>FALUN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73804-2021</t>
        </is>
      </c>
      <c r="B415" s="1" t="n">
        <v>44552</v>
      </c>
      <c r="C415" s="1" t="n">
        <v>45718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74258-2021</t>
        </is>
      </c>
      <c r="B416" s="1" t="n">
        <v>44558</v>
      </c>
      <c r="C416" s="1" t="n">
        <v>45718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74196-2021</t>
        </is>
      </c>
      <c r="B417" s="1" t="n">
        <v>44558</v>
      </c>
      <c r="C417" s="1" t="n">
        <v>45718</v>
      </c>
      <c r="D417" t="inlineStr">
        <is>
          <t>DALARNAS LÄN</t>
        </is>
      </c>
      <c r="E417" t="inlineStr">
        <is>
          <t>FALUN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74288-2021</t>
        </is>
      </c>
      <c r="B418" s="1" t="n">
        <v>44559</v>
      </c>
      <c r="C418" s="1" t="n">
        <v>45718</v>
      </c>
      <c r="D418" t="inlineStr">
        <is>
          <t>DALARNAS LÄN</t>
        </is>
      </c>
      <c r="E418" t="inlineStr">
        <is>
          <t>FALUN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97-2022</t>
        </is>
      </c>
      <c r="B419" s="1" t="n">
        <v>44564</v>
      </c>
      <c r="C419" s="1" t="n">
        <v>45718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96-2022</t>
        </is>
      </c>
      <c r="B420" s="1" t="n">
        <v>44564</v>
      </c>
      <c r="C420" s="1" t="n">
        <v>45718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25-2022</t>
        </is>
      </c>
      <c r="B421" s="1" t="n">
        <v>44564</v>
      </c>
      <c r="C421" s="1" t="n">
        <v>45718</v>
      </c>
      <c r="D421" t="inlineStr">
        <is>
          <t>DALARNAS LÄN</t>
        </is>
      </c>
      <c r="E421" t="inlineStr">
        <is>
          <t>FALUN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500-2022</t>
        </is>
      </c>
      <c r="B422" s="1" t="n">
        <v>44566</v>
      </c>
      <c r="C422" s="1" t="n">
        <v>45718</v>
      </c>
      <c r="D422" t="inlineStr">
        <is>
          <t>DALARNAS LÄN</t>
        </is>
      </c>
      <c r="E422" t="inlineStr">
        <is>
          <t>FALUN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558-2022</t>
        </is>
      </c>
      <c r="B423" s="1" t="n">
        <v>44566</v>
      </c>
      <c r="C423" s="1" t="n">
        <v>45718</v>
      </c>
      <c r="D423" t="inlineStr">
        <is>
          <t>DALARNAS LÄN</t>
        </is>
      </c>
      <c r="E423" t="inlineStr">
        <is>
          <t>FALUN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883-2022</t>
        </is>
      </c>
      <c r="B424" s="1" t="n">
        <v>44571</v>
      </c>
      <c r="C424" s="1" t="n">
        <v>45718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1015-2022</t>
        </is>
      </c>
      <c r="B425" s="1" t="n">
        <v>44571</v>
      </c>
      <c r="C425" s="1" t="n">
        <v>45718</v>
      </c>
      <c r="D425" t="inlineStr">
        <is>
          <t>DALARNAS LÄN</t>
        </is>
      </c>
      <c r="E425" t="inlineStr">
        <is>
          <t>FALUN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1696-2022</t>
        </is>
      </c>
      <c r="B426" s="1" t="n">
        <v>44574</v>
      </c>
      <c r="C426" s="1" t="n">
        <v>45718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2686-2022</t>
        </is>
      </c>
      <c r="B427" s="1" t="n">
        <v>44580</v>
      </c>
      <c r="C427" s="1" t="n">
        <v>45718</v>
      </c>
      <c r="D427" t="inlineStr">
        <is>
          <t>DALARNAS LÄN</t>
        </is>
      </c>
      <c r="E427" t="inlineStr">
        <is>
          <t>FALUN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2906-2022</t>
        </is>
      </c>
      <c r="B428" s="1" t="n">
        <v>44581</v>
      </c>
      <c r="C428" s="1" t="n">
        <v>45718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3207-2022</t>
        </is>
      </c>
      <c r="B429" s="1" t="n">
        <v>44582</v>
      </c>
      <c r="C429" s="1" t="n">
        <v>45718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3264-2022</t>
        </is>
      </c>
      <c r="B430" s="1" t="n">
        <v>44583</v>
      </c>
      <c r="C430" s="1" t="n">
        <v>45718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3579-2022</t>
        </is>
      </c>
      <c r="B431" s="1" t="n">
        <v>44586</v>
      </c>
      <c r="C431" s="1" t="n">
        <v>45718</v>
      </c>
      <c r="D431" t="inlineStr">
        <is>
          <t>DALARNAS LÄN</t>
        </is>
      </c>
      <c r="E431" t="inlineStr">
        <is>
          <t>FALUN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3689-2022</t>
        </is>
      </c>
      <c r="B432" s="1" t="n">
        <v>44586</v>
      </c>
      <c r="C432" s="1" t="n">
        <v>45718</v>
      </c>
      <c r="D432" t="inlineStr">
        <is>
          <t>DALARNAS LÄN</t>
        </is>
      </c>
      <c r="E432" t="inlineStr">
        <is>
          <t>FALUN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3879-2022</t>
        </is>
      </c>
      <c r="B433" s="1" t="n">
        <v>44586</v>
      </c>
      <c r="C433" s="1" t="n">
        <v>45718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3965-2022</t>
        </is>
      </c>
      <c r="B434" s="1" t="n">
        <v>44587</v>
      </c>
      <c r="C434" s="1" t="n">
        <v>45718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4000-2022</t>
        </is>
      </c>
      <c r="B435" s="1" t="n">
        <v>44587</v>
      </c>
      <c r="C435" s="1" t="n">
        <v>45718</v>
      </c>
      <c r="D435" t="inlineStr">
        <is>
          <t>DALARNAS LÄN</t>
        </is>
      </c>
      <c r="E435" t="inlineStr">
        <is>
          <t>FALUN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4249-2022</t>
        </is>
      </c>
      <c r="B436" s="1" t="n">
        <v>44588</v>
      </c>
      <c r="C436" s="1" t="n">
        <v>45718</v>
      </c>
      <c r="D436" t="inlineStr">
        <is>
          <t>DALARNAS LÄN</t>
        </is>
      </c>
      <c r="E436" t="inlineStr">
        <is>
          <t>FALUN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4314-2022</t>
        </is>
      </c>
      <c r="B437" s="1" t="n">
        <v>44588</v>
      </c>
      <c r="C437" s="1" t="n">
        <v>45718</v>
      </c>
      <c r="D437" t="inlineStr">
        <is>
          <t>DALARNAS LÄN</t>
        </is>
      </c>
      <c r="E437" t="inlineStr">
        <is>
          <t>FALUN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7248-2022</t>
        </is>
      </c>
      <c r="B438" s="1" t="n">
        <v>44606</v>
      </c>
      <c r="C438" s="1" t="n">
        <v>45718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7620-2022</t>
        </is>
      </c>
      <c r="B439" s="1" t="n">
        <v>44607</v>
      </c>
      <c r="C439" s="1" t="n">
        <v>45718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10076-2022</t>
        </is>
      </c>
      <c r="B440" s="1" t="n">
        <v>44621</v>
      </c>
      <c r="C440" s="1" t="n">
        <v>45718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10209-2022</t>
        </is>
      </c>
      <c r="B441" s="1" t="n">
        <v>44622</v>
      </c>
      <c r="C441" s="1" t="n">
        <v>45718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11233-2022</t>
        </is>
      </c>
      <c r="B442" s="1" t="n">
        <v>44629</v>
      </c>
      <c r="C442" s="1" t="n">
        <v>45718</v>
      </c>
      <c r="D442" t="inlineStr">
        <is>
          <t>DALARNAS LÄN</t>
        </is>
      </c>
      <c r="E442" t="inlineStr">
        <is>
          <t>FALUN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11593-2022</t>
        </is>
      </c>
      <c r="B443" s="1" t="n">
        <v>44631</v>
      </c>
      <c r="C443" s="1" t="n">
        <v>45718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12049-2022</t>
        </is>
      </c>
      <c r="B444" s="1" t="n">
        <v>44636</v>
      </c>
      <c r="C444" s="1" t="n">
        <v>45718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12223-2022</t>
        </is>
      </c>
      <c r="B445" s="1" t="n">
        <v>44637</v>
      </c>
      <c r="C445" s="1" t="n">
        <v>45718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12224-2022</t>
        </is>
      </c>
      <c r="B446" s="1" t="n">
        <v>44637</v>
      </c>
      <c r="C446" s="1" t="n">
        <v>45718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12226-2022</t>
        </is>
      </c>
      <c r="B447" s="1" t="n">
        <v>44637</v>
      </c>
      <c r="C447" s="1" t="n">
        <v>45718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12446-2022</t>
        </is>
      </c>
      <c r="B448" s="1" t="n">
        <v>44638</v>
      </c>
      <c r="C448" s="1" t="n">
        <v>45718</v>
      </c>
      <c r="D448" t="inlineStr">
        <is>
          <t>DALARNAS LÄN</t>
        </is>
      </c>
      <c r="E448" t="inlineStr">
        <is>
          <t>FALUN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13186-2022</t>
        </is>
      </c>
      <c r="B449" s="1" t="n">
        <v>44644</v>
      </c>
      <c r="C449" s="1" t="n">
        <v>45718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13187-2022</t>
        </is>
      </c>
      <c r="B450" s="1" t="n">
        <v>44644</v>
      </c>
      <c r="C450" s="1" t="n">
        <v>45718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13189-2022</t>
        </is>
      </c>
      <c r="B451" s="1" t="n">
        <v>44644</v>
      </c>
      <c r="C451" s="1" t="n">
        <v>45718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13532-2022</t>
        </is>
      </c>
      <c r="B452" s="1" t="n">
        <v>44648</v>
      </c>
      <c r="C452" s="1" t="n">
        <v>45718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13538-2022</t>
        </is>
      </c>
      <c r="B453" s="1" t="n">
        <v>44648</v>
      </c>
      <c r="C453" s="1" t="n">
        <v>45718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13566-2022</t>
        </is>
      </c>
      <c r="B454" s="1" t="n">
        <v>44648</v>
      </c>
      <c r="C454" s="1" t="n">
        <v>45718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13531-2022</t>
        </is>
      </c>
      <c r="B455" s="1" t="n">
        <v>44648</v>
      </c>
      <c r="C455" s="1" t="n">
        <v>45718</v>
      </c>
      <c r="D455" t="inlineStr">
        <is>
          <t>DALARNAS LÄN</t>
        </is>
      </c>
      <c r="E455" t="inlineStr">
        <is>
          <t>FALUN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13561-2022</t>
        </is>
      </c>
      <c r="B456" s="1" t="n">
        <v>44648</v>
      </c>
      <c r="C456" s="1" t="n">
        <v>45718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13584-2022</t>
        </is>
      </c>
      <c r="B457" s="1" t="n">
        <v>44648</v>
      </c>
      <c r="C457" s="1" t="n">
        <v>45718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13536-2022</t>
        </is>
      </c>
      <c r="B458" s="1" t="n">
        <v>44648</v>
      </c>
      <c r="C458" s="1" t="n">
        <v>45718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13569-2022</t>
        </is>
      </c>
      <c r="B459" s="1" t="n">
        <v>44648</v>
      </c>
      <c r="C459" s="1" t="n">
        <v>45718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13583-2022</t>
        </is>
      </c>
      <c r="B460" s="1" t="n">
        <v>44648</v>
      </c>
      <c r="C460" s="1" t="n">
        <v>45718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13540-2022</t>
        </is>
      </c>
      <c r="B461" s="1" t="n">
        <v>44648</v>
      </c>
      <c r="C461" s="1" t="n">
        <v>45718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13557-2022</t>
        </is>
      </c>
      <c r="B462" s="1" t="n">
        <v>44648</v>
      </c>
      <c r="C462" s="1" t="n">
        <v>45718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13586-2022</t>
        </is>
      </c>
      <c r="B463" s="1" t="n">
        <v>44648</v>
      </c>
      <c r="C463" s="1" t="n">
        <v>45718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14538-2022</t>
        </is>
      </c>
      <c r="B464" s="1" t="n">
        <v>44655</v>
      </c>
      <c r="C464" s="1" t="n">
        <v>45718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15193-2022</t>
        </is>
      </c>
      <c r="B465" s="1" t="n">
        <v>44658</v>
      </c>
      <c r="C465" s="1" t="n">
        <v>45718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15250-2022</t>
        </is>
      </c>
      <c r="B466" s="1" t="n">
        <v>44658</v>
      </c>
      <c r="C466" s="1" t="n">
        <v>45718</v>
      </c>
      <c r="D466" t="inlineStr">
        <is>
          <t>DALARNAS LÄN</t>
        </is>
      </c>
      <c r="E466" t="inlineStr">
        <is>
          <t>FALUN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15540-2022</t>
        </is>
      </c>
      <c r="B467" s="1" t="n">
        <v>44662</v>
      </c>
      <c r="C467" s="1" t="n">
        <v>45718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15916-2022</t>
        </is>
      </c>
      <c r="B468" s="1" t="n">
        <v>44664</v>
      </c>
      <c r="C468" s="1" t="n">
        <v>45718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15936-2022</t>
        </is>
      </c>
      <c r="B469" s="1" t="n">
        <v>44664</v>
      </c>
      <c r="C469" s="1" t="n">
        <v>45718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15929-2022</t>
        </is>
      </c>
      <c r="B470" s="1" t="n">
        <v>44664</v>
      </c>
      <c r="C470" s="1" t="n">
        <v>45718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18463-2022</t>
        </is>
      </c>
      <c r="B471" s="1" t="n">
        <v>44686</v>
      </c>
      <c r="C471" s="1" t="n">
        <v>45718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19054-2022</t>
        </is>
      </c>
      <c r="B472" s="1" t="n">
        <v>44691</v>
      </c>
      <c r="C472" s="1" t="n">
        <v>45718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19491-2022</t>
        </is>
      </c>
      <c r="B473" s="1" t="n">
        <v>44693</v>
      </c>
      <c r="C473" s="1" t="n">
        <v>45718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19903-2022</t>
        </is>
      </c>
      <c r="B474" s="1" t="n">
        <v>44697</v>
      </c>
      <c r="C474" s="1" t="n">
        <v>45718</v>
      </c>
      <c r="D474" t="inlineStr">
        <is>
          <t>DALARNAS LÄN</t>
        </is>
      </c>
      <c r="E474" t="inlineStr">
        <is>
          <t>FALUN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20142-2022</t>
        </is>
      </c>
      <c r="B475" s="1" t="n">
        <v>44698</v>
      </c>
      <c r="C475" s="1" t="n">
        <v>45718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20167-2022</t>
        </is>
      </c>
      <c r="B476" s="1" t="n">
        <v>44698</v>
      </c>
      <c r="C476" s="1" t="n">
        <v>45718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20903-2022</t>
        </is>
      </c>
      <c r="B477" s="1" t="n">
        <v>44701</v>
      </c>
      <c r="C477" s="1" t="n">
        <v>45718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20895-2022</t>
        </is>
      </c>
      <c r="B478" s="1" t="n">
        <v>44701</v>
      </c>
      <c r="C478" s="1" t="n">
        <v>45718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21169-2022</t>
        </is>
      </c>
      <c r="B479" s="1" t="n">
        <v>44704</v>
      </c>
      <c r="C479" s="1" t="n">
        <v>45718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21116-2022</t>
        </is>
      </c>
      <c r="B480" s="1" t="n">
        <v>44704</v>
      </c>
      <c r="C480" s="1" t="n">
        <v>45718</v>
      </c>
      <c r="D480" t="inlineStr">
        <is>
          <t>DALARNAS LÄN</t>
        </is>
      </c>
      <c r="E480" t="inlineStr">
        <is>
          <t>FALUN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21788-2022</t>
        </is>
      </c>
      <c r="B481" s="1" t="n">
        <v>44708</v>
      </c>
      <c r="C481" s="1" t="n">
        <v>45718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21874-2022</t>
        </is>
      </c>
      <c r="B482" s="1" t="n">
        <v>44711</v>
      </c>
      <c r="C482" s="1" t="n">
        <v>45718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22739-2022</t>
        </is>
      </c>
      <c r="B483" s="1" t="n">
        <v>44714</v>
      </c>
      <c r="C483" s="1" t="n">
        <v>45718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22843-2022</t>
        </is>
      </c>
      <c r="B484" s="1" t="n">
        <v>44715</v>
      </c>
      <c r="C484" s="1" t="n">
        <v>45718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22909-2022</t>
        </is>
      </c>
      <c r="B485" s="1" t="n">
        <v>44715</v>
      </c>
      <c r="C485" s="1" t="n">
        <v>45718</v>
      </c>
      <c r="D485" t="inlineStr">
        <is>
          <t>DALARNAS LÄN</t>
        </is>
      </c>
      <c r="E485" t="inlineStr">
        <is>
          <t>FALUN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23626-2022</t>
        </is>
      </c>
      <c r="B486" s="1" t="n">
        <v>44721</v>
      </c>
      <c r="C486" s="1" t="n">
        <v>45718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24131-2022</t>
        </is>
      </c>
      <c r="B487" s="1" t="n">
        <v>44725</v>
      </c>
      <c r="C487" s="1" t="n">
        <v>45718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24844-2022</t>
        </is>
      </c>
      <c r="B488" s="1" t="n">
        <v>44728</v>
      </c>
      <c r="C488" s="1" t="n">
        <v>45718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25440-2022</t>
        </is>
      </c>
      <c r="B489" s="1" t="n">
        <v>44732</v>
      </c>
      <c r="C489" s="1" t="n">
        <v>45718</v>
      </c>
      <c r="D489" t="inlineStr">
        <is>
          <t>DALARNAS LÄN</t>
        </is>
      </c>
      <c r="E489" t="inlineStr">
        <is>
          <t>FALUN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26615-2022</t>
        </is>
      </c>
      <c r="B490" s="1" t="n">
        <v>44739</v>
      </c>
      <c r="C490" s="1" t="n">
        <v>45718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26883-2022</t>
        </is>
      </c>
      <c r="B491" s="1" t="n">
        <v>44740</v>
      </c>
      <c r="C491" s="1" t="n">
        <v>45718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27501-2022</t>
        </is>
      </c>
      <c r="B492" s="1" t="n">
        <v>44742</v>
      </c>
      <c r="C492" s="1" t="n">
        <v>45718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27495-2022</t>
        </is>
      </c>
      <c r="B493" s="1" t="n">
        <v>44742</v>
      </c>
      <c r="C493" s="1" t="n">
        <v>45718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28833-2022</t>
        </is>
      </c>
      <c r="B494" s="1" t="n">
        <v>44749</v>
      </c>
      <c r="C494" s="1" t="n">
        <v>45718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29318-2022</t>
        </is>
      </c>
      <c r="B495" s="1" t="n">
        <v>44751</v>
      </c>
      <c r="C495" s="1" t="n">
        <v>45718</v>
      </c>
      <c r="D495" t="inlineStr">
        <is>
          <t>DALARNAS LÄN</t>
        </is>
      </c>
      <c r="E495" t="inlineStr">
        <is>
          <t>FALUN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29863-2022</t>
        </is>
      </c>
      <c r="B496" s="1" t="n">
        <v>44755</v>
      </c>
      <c r="C496" s="1" t="n">
        <v>45718</v>
      </c>
      <c r="D496" t="inlineStr">
        <is>
          <t>DALARNAS LÄN</t>
        </is>
      </c>
      <c r="E496" t="inlineStr">
        <is>
          <t>FALUN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29856-2022</t>
        </is>
      </c>
      <c r="B497" s="1" t="n">
        <v>44755</v>
      </c>
      <c r="C497" s="1" t="n">
        <v>45718</v>
      </c>
      <c r="D497" t="inlineStr">
        <is>
          <t>DALARNAS LÄN</t>
        </is>
      </c>
      <c r="E497" t="inlineStr">
        <is>
          <t>FALUN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29844-2022</t>
        </is>
      </c>
      <c r="B498" s="1" t="n">
        <v>44755</v>
      </c>
      <c r="C498" s="1" t="n">
        <v>45718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29850-2022</t>
        </is>
      </c>
      <c r="B499" s="1" t="n">
        <v>44755</v>
      </c>
      <c r="C499" s="1" t="n">
        <v>45718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29878-2022</t>
        </is>
      </c>
      <c r="B500" s="1" t="n">
        <v>44755</v>
      </c>
      <c r="C500" s="1" t="n">
        <v>45718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31618-2022</t>
        </is>
      </c>
      <c r="B501" s="1" t="n">
        <v>44775</v>
      </c>
      <c r="C501" s="1" t="n">
        <v>45718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31623-2022</t>
        </is>
      </c>
      <c r="B502" s="1" t="n">
        <v>44775</v>
      </c>
      <c r="C502" s="1" t="n">
        <v>45718</v>
      </c>
      <c r="D502" t="inlineStr">
        <is>
          <t>DALARNAS LÄN</t>
        </is>
      </c>
      <c r="E502" t="inlineStr">
        <is>
          <t>FALUN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31673-2022</t>
        </is>
      </c>
      <c r="B503" s="1" t="n">
        <v>44776</v>
      </c>
      <c r="C503" s="1" t="n">
        <v>45718</v>
      </c>
      <c r="D503" t="inlineStr">
        <is>
          <t>DALARNAS LÄN</t>
        </is>
      </c>
      <c r="E503" t="inlineStr">
        <is>
          <t>FALUN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33548-2022</t>
        </is>
      </c>
      <c r="B504" s="1" t="n">
        <v>44789</v>
      </c>
      <c r="C504" s="1" t="n">
        <v>45718</v>
      </c>
      <c r="D504" t="inlineStr">
        <is>
          <t>DALARNAS LÄN</t>
        </is>
      </c>
      <c r="E504" t="inlineStr">
        <is>
          <t>FALUN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34507-2022</t>
        </is>
      </c>
      <c r="B505" s="1" t="n">
        <v>44792</v>
      </c>
      <c r="C505" s="1" t="n">
        <v>45718</v>
      </c>
      <c r="D505" t="inlineStr">
        <is>
          <t>DALARNAS LÄN</t>
        </is>
      </c>
      <c r="E505" t="inlineStr">
        <is>
          <t>FALUN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34508-2022</t>
        </is>
      </c>
      <c r="B506" s="1" t="n">
        <v>44792</v>
      </c>
      <c r="C506" s="1" t="n">
        <v>45718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34509-2022</t>
        </is>
      </c>
      <c r="B507" s="1" t="n">
        <v>44792</v>
      </c>
      <c r="C507" s="1" t="n">
        <v>45718</v>
      </c>
      <c r="D507" t="inlineStr">
        <is>
          <t>DALARNAS LÄN</t>
        </is>
      </c>
      <c r="E507" t="inlineStr">
        <is>
          <t>FALUN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34511-2022</t>
        </is>
      </c>
      <c r="B508" s="1" t="n">
        <v>44792</v>
      </c>
      <c r="C508" s="1" t="n">
        <v>45718</v>
      </c>
      <c r="D508" t="inlineStr">
        <is>
          <t>DALARNAS LÄN</t>
        </is>
      </c>
      <c r="E508" t="inlineStr">
        <is>
          <t>FALUN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34953-2022</t>
        </is>
      </c>
      <c r="B509" s="1" t="n">
        <v>44796</v>
      </c>
      <c r="C509" s="1" t="n">
        <v>45718</v>
      </c>
      <c r="D509" t="inlineStr">
        <is>
          <t>DALARNAS LÄN</t>
        </is>
      </c>
      <c r="E509" t="inlineStr">
        <is>
          <t>FALUN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35063-2022</t>
        </is>
      </c>
      <c r="B510" s="1" t="n">
        <v>44797</v>
      </c>
      <c r="C510" s="1" t="n">
        <v>45718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35382-2022</t>
        </is>
      </c>
      <c r="B511" s="1" t="n">
        <v>44798</v>
      </c>
      <c r="C511" s="1" t="n">
        <v>45718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35379-2022</t>
        </is>
      </c>
      <c r="B512" s="1" t="n">
        <v>44798</v>
      </c>
      <c r="C512" s="1" t="n">
        <v>45718</v>
      </c>
      <c r="D512" t="inlineStr">
        <is>
          <t>DALARNAS LÄN</t>
        </is>
      </c>
      <c r="E512" t="inlineStr">
        <is>
          <t>FALUN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35807-2022</t>
        </is>
      </c>
      <c r="B513" s="1" t="n">
        <v>44802</v>
      </c>
      <c r="C513" s="1" t="n">
        <v>45718</v>
      </c>
      <c r="D513" t="inlineStr">
        <is>
          <t>DALARNAS LÄN</t>
        </is>
      </c>
      <c r="E513" t="inlineStr">
        <is>
          <t>FALUN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35981-2022</t>
        </is>
      </c>
      <c r="B514" s="1" t="n">
        <v>44802</v>
      </c>
      <c r="C514" s="1" t="n">
        <v>45718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36425-2022</t>
        </is>
      </c>
      <c r="B515" s="1" t="n">
        <v>44804</v>
      </c>
      <c r="C515" s="1" t="n">
        <v>45718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36966-2022</t>
        </is>
      </c>
      <c r="B516" s="1" t="n">
        <v>44806</v>
      </c>
      <c r="C516" s="1" t="n">
        <v>45718</v>
      </c>
      <c r="D516" t="inlineStr">
        <is>
          <t>DALARNAS LÄN</t>
        </is>
      </c>
      <c r="E516" t="inlineStr">
        <is>
          <t>FALUN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37059-2022</t>
        </is>
      </c>
      <c r="B517" s="1" t="n">
        <v>44806</v>
      </c>
      <c r="C517" s="1" t="n">
        <v>45718</v>
      </c>
      <c r="D517" t="inlineStr">
        <is>
          <t>DALARNAS LÄN</t>
        </is>
      </c>
      <c r="E517" t="inlineStr">
        <is>
          <t>FALUN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37157-2022</t>
        </is>
      </c>
      <c r="B518" s="1" t="n">
        <v>44806</v>
      </c>
      <c r="C518" s="1" t="n">
        <v>45718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37314-2022</t>
        </is>
      </c>
      <c r="B519" s="1" t="n">
        <v>44809</v>
      </c>
      <c r="C519" s="1" t="n">
        <v>45718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37460-2022</t>
        </is>
      </c>
      <c r="B520" s="1" t="n">
        <v>44809</v>
      </c>
      <c r="C520" s="1" t="n">
        <v>45718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37612-2022</t>
        </is>
      </c>
      <c r="B521" s="1" t="n">
        <v>44810</v>
      </c>
      <c r="C521" s="1" t="n">
        <v>45718</v>
      </c>
      <c r="D521" t="inlineStr">
        <is>
          <t>DALARNAS LÄN</t>
        </is>
      </c>
      <c r="E521" t="inlineStr">
        <is>
          <t>FALUN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38329-2022</t>
        </is>
      </c>
      <c r="B522" s="1" t="n">
        <v>44812</v>
      </c>
      <c r="C522" s="1" t="n">
        <v>45718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38517-2022</t>
        </is>
      </c>
      <c r="B523" s="1" t="n">
        <v>44813</v>
      </c>
      <c r="C523" s="1" t="n">
        <v>45718</v>
      </c>
      <c r="D523" t="inlineStr">
        <is>
          <t>DALARNAS LÄN</t>
        </is>
      </c>
      <c r="E523" t="inlineStr">
        <is>
          <t>FALUN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39872-2022</t>
        </is>
      </c>
      <c r="B524" s="1" t="n">
        <v>44819</v>
      </c>
      <c r="C524" s="1" t="n">
        <v>45718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39824-2022</t>
        </is>
      </c>
      <c r="B525" s="1" t="n">
        <v>44819</v>
      </c>
      <c r="C525" s="1" t="n">
        <v>45718</v>
      </c>
      <c r="D525" t="inlineStr">
        <is>
          <t>DALARNAS LÄN</t>
        </is>
      </c>
      <c r="E525" t="inlineStr">
        <is>
          <t>FALUN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40426-2022</t>
        </is>
      </c>
      <c r="B526" s="1" t="n">
        <v>44823</v>
      </c>
      <c r="C526" s="1" t="n">
        <v>45718</v>
      </c>
      <c r="D526" t="inlineStr">
        <is>
          <t>DALARNAS LÄN</t>
        </is>
      </c>
      <c r="E526" t="inlineStr">
        <is>
          <t>FALUN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40635-2022</t>
        </is>
      </c>
      <c r="B527" s="1" t="n">
        <v>44824</v>
      </c>
      <c r="C527" s="1" t="n">
        <v>45718</v>
      </c>
      <c r="D527" t="inlineStr">
        <is>
          <t>DALARNAS LÄN</t>
        </is>
      </c>
      <c r="E527" t="inlineStr">
        <is>
          <t>FALUN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40634-2022</t>
        </is>
      </c>
      <c r="B528" s="1" t="n">
        <v>44824</v>
      </c>
      <c r="C528" s="1" t="n">
        <v>45718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40853-2022</t>
        </is>
      </c>
      <c r="B529" s="1" t="n">
        <v>44825</v>
      </c>
      <c r="C529" s="1" t="n">
        <v>45718</v>
      </c>
      <c r="D529" t="inlineStr">
        <is>
          <t>DALARNAS LÄN</t>
        </is>
      </c>
      <c r="E529" t="inlineStr">
        <is>
          <t>FALUN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41286-2022</t>
        </is>
      </c>
      <c r="B530" s="1" t="n">
        <v>44826</v>
      </c>
      <c r="C530" s="1" t="n">
        <v>45718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41291-2022</t>
        </is>
      </c>
      <c r="B531" s="1" t="n">
        <v>44826</v>
      </c>
      <c r="C531" s="1" t="n">
        <v>45718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41281-2022</t>
        </is>
      </c>
      <c r="B532" s="1" t="n">
        <v>44826</v>
      </c>
      <c r="C532" s="1" t="n">
        <v>45718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41439-2022</t>
        </is>
      </c>
      <c r="B533" s="1" t="n">
        <v>44826</v>
      </c>
      <c r="C533" s="1" t="n">
        <v>45718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41436-2022</t>
        </is>
      </c>
      <c r="B534" s="1" t="n">
        <v>44826</v>
      </c>
      <c r="C534" s="1" t="n">
        <v>45718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41593-2022</t>
        </is>
      </c>
      <c r="B535" s="1" t="n">
        <v>44827</v>
      </c>
      <c r="C535" s="1" t="n">
        <v>45718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41664-2022</t>
        </is>
      </c>
      <c r="B536" s="1" t="n">
        <v>44827</v>
      </c>
      <c r="C536" s="1" t="n">
        <v>45718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42135-2022</t>
        </is>
      </c>
      <c r="B537" s="1" t="n">
        <v>44830</v>
      </c>
      <c r="C537" s="1" t="n">
        <v>45718</v>
      </c>
      <c r="D537" t="inlineStr">
        <is>
          <t>DALARNAS LÄN</t>
        </is>
      </c>
      <c r="E537" t="inlineStr">
        <is>
          <t>FALUN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42187-2022</t>
        </is>
      </c>
      <c r="B538" s="1" t="n">
        <v>44830</v>
      </c>
      <c r="C538" s="1" t="n">
        <v>45718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41961-2022</t>
        </is>
      </c>
      <c r="B539" s="1" t="n">
        <v>44830</v>
      </c>
      <c r="C539" s="1" t="n">
        <v>45718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42188-2022</t>
        </is>
      </c>
      <c r="B540" s="1" t="n">
        <v>44830</v>
      </c>
      <c r="C540" s="1" t="n">
        <v>45718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42433-2022</t>
        </is>
      </c>
      <c r="B541" s="1" t="n">
        <v>44831</v>
      </c>
      <c r="C541" s="1" t="n">
        <v>45718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42455-2022</t>
        </is>
      </c>
      <c r="B542" s="1" t="n">
        <v>44831</v>
      </c>
      <c r="C542" s="1" t="n">
        <v>45718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42445-2022</t>
        </is>
      </c>
      <c r="B543" s="1" t="n">
        <v>44831</v>
      </c>
      <c r="C543" s="1" t="n">
        <v>45718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43005-2022</t>
        </is>
      </c>
      <c r="B544" s="1" t="n">
        <v>44833</v>
      </c>
      <c r="C544" s="1" t="n">
        <v>45718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42953-2022</t>
        </is>
      </c>
      <c r="B545" s="1" t="n">
        <v>44833</v>
      </c>
      <c r="C545" s="1" t="n">
        <v>45718</v>
      </c>
      <c r="D545" t="inlineStr">
        <is>
          <t>DALARNAS LÄN</t>
        </is>
      </c>
      <c r="E545" t="inlineStr">
        <is>
          <t>FALUN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43377-2022</t>
        </is>
      </c>
      <c r="B546" s="1" t="n">
        <v>44834</v>
      </c>
      <c r="C546" s="1" t="n">
        <v>45718</v>
      </c>
      <c r="D546" t="inlineStr">
        <is>
          <t>DALARNAS LÄN</t>
        </is>
      </c>
      <c r="E546" t="inlineStr">
        <is>
          <t>FALUN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44779-2022</t>
        </is>
      </c>
      <c r="B547" s="1" t="n">
        <v>44841</v>
      </c>
      <c r="C547" s="1" t="n">
        <v>45718</v>
      </c>
      <c r="D547" t="inlineStr">
        <is>
          <t>DALARNAS LÄN</t>
        </is>
      </c>
      <c r="E547" t="inlineStr">
        <is>
          <t>FALUN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46259-2022</t>
        </is>
      </c>
      <c r="B548" s="1" t="n">
        <v>44847</v>
      </c>
      <c r="C548" s="1" t="n">
        <v>45718</v>
      </c>
      <c r="D548" t="inlineStr">
        <is>
          <t>DALARNAS LÄN</t>
        </is>
      </c>
      <c r="E548" t="inlineStr">
        <is>
          <t>FALUN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46252-2022</t>
        </is>
      </c>
      <c r="B549" s="1" t="n">
        <v>44847</v>
      </c>
      <c r="C549" s="1" t="n">
        <v>45718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45718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45718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45718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45718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45718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45718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45718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45718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45718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45718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45718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45718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45718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45718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45718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45718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45718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45718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45718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45718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45718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45718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45718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45718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45718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45718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45718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45718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45718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45718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45718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45718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45718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45718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45718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45718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45718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45718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45718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45718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45718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45718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45718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45718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45718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45718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45718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45718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45718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45718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45718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45718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45718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45718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45718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45718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45718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45718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45718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45718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45718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45718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45718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45718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45718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45718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45718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45718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45718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45718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45718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45718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45718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45718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45718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45718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45718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45718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45718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45718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45718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45718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45718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45718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45718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45718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45718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45718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45718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45718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45718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45718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45718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45718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45718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45718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45718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45718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45718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45718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45718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45718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45718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45718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45718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45718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45718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45718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45718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45718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45718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45718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45718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45718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45718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45718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45718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45718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45718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45718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45718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45718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45718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45718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45718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45718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45718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45718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45718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45718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45718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45718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45718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45718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45718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45718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45718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45718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45718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45718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45718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45718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45718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45718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45718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45718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45718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45718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45718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45718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45718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45718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45718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45718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45718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45718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45718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45718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45718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45718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45718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45718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45718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45718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45718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45718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45718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45718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45718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45718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45718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45718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45718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45718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45718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45718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45718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45718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45718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45718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45718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45718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45718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45718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45718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45718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45718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45718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45718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45718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45718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45718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45718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45718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45718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45718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45718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45718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45718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45718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45718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45718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45718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45718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45718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45718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45718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45718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45718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45718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45718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45718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45718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45718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45718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45718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45718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45718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45718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45718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45718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45718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45718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45718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45718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45718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45718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45718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45718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45718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45718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45718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45718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45718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45718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45718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45718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45718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45718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45718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45718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45718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45718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45718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45718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45718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45718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45718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45718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45718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45718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45718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45718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45718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45718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45718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45718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45718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45718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45718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45718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45718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45718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45718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45718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45718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45718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45718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45718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45718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45718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45718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45718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45718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45718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45718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45718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45718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45718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45718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45718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45718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45718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45718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45718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45718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45718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45718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45718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45718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45718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45718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45718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45718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45718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45718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45718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45718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45718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45718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45718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45718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45718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45718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45718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45718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45718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45718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45718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45718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45718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45718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45718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45718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45718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45718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45718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45718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45718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45718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45718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45718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45718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45718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45718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45718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45718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45718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45718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45718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45718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45718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45718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45718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45718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45718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45718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45718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45718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45718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45718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45718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45718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45718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45718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45718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45718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45718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45718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45718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45718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45718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45718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45718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45718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45718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45718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45718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45718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45718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45718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45718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45718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45718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45718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45718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45718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45718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45718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45718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45718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45718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45718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45718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45718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45718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45718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45718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45718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45718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45718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45718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45718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45718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45718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45718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45718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45718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45718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45718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45718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45718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45718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45718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45718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45718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45718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45718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45718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45718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45718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45718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45718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45718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45718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45718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45718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45718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45718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45718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45718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45718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45718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45718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45718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45718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45718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45718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45718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45718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45718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45718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45718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45718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45718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45718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45718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45718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45718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45718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45718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45718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45718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45718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45718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45718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45718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45718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45718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45718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45718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45718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45718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45718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45718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45718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45718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45718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45718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45718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45718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45718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45718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45718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45718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45718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45718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45718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45718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45718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45718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45718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45718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45718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45718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45718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45718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45718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45718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45718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45718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45718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45718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45718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45718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45718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45718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45718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45718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45718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45718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45718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45718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45718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45718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45718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45718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45718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45718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45718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45718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45718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45718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45718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45718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45718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45718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45718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45718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45718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45718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45718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45718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45718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45718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45718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45718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45718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45718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45718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45718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45718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45718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45718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45718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45718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45718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45718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45718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45718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45718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45718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45718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45718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45718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45718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45718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45718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45718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45718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45718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45718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45718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45718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45718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45718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45718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45718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45718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45718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45718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45718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45718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45718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45718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45718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45718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45718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45718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45718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45718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45718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45718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45718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45718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45718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45718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45718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45718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45718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45718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45718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45718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45718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45718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45718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45718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45718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45718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45718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45718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45718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45718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45718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45718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45718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45718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45718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45718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45718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45718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45718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45718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45718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45718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45718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45718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45718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45718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45718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45718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45718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45718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45718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45718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45718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45718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45718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45718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45718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45718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45718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45718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45718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45718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45718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45718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45718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45718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45718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45718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45718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45718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45718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45718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45718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45718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45718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45718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45718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45718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45718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45718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45718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45718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45718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45718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45718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45718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45718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45718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45718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45718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45718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45718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45718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45718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45718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45718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45718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45718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45718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45718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45718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45718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45718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45718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45718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45718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45718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45718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45718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45718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45718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45718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45718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45718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45718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45718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45718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45718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45718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45718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45718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45718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45718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45718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45718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45718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45718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45718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45718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45718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45718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45718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45718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45718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45718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45718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45718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45718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45718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45718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45718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45718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45718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45718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45718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45718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45718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45718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45718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45718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45718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45718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45718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45718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45718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45718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45718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45718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45718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45718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45718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45718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45718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45718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45718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45718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45718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45718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45718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45718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45718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45718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45718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45718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45718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45718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45718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45718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45718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45718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45718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45718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45718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45718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45718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45718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45718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45718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45718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45718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45718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45718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45718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45718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45718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45718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45718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45718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45718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45718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45718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45718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45718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45718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45718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45718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45718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45718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45718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45718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45718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45718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45718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45718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45718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45718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45718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45718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45718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45718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45718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45718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45718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45718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45718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45718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45718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45718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45718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45718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45718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45718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45718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45718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45718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45718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45718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45718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45718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45718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45718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45718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45718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45718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45718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45718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45718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45718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45718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45718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45718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45718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45718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45718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45718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45718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45718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45718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45718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45718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45718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45718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45718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45718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45718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45718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45718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45718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45718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45718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45718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45718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45718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45718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45718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45718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45718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45718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45718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45718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45718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45718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45718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45718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45718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45718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45718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45718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45718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45718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45718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45718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45718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45718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45718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45718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45718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45718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45718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45718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45718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45718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45718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45718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45718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45718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45718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45718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45718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45718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45718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45718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45718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45718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45718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45718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45718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45718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45718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45718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45718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45718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45718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45718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45718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45718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45718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45718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45718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45718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45718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45718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45718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45718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45718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45718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45718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45718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45718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45718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45718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45718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45718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45718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45718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45718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45718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45718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45718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45718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45718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45718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45718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45718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45718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45718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45718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45718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45718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45718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45718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45718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45718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45718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45718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45718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45718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45718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45718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45718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45718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45718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45718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45718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45718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45718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45718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45718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45718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45718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45718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45718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45718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45718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45718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45718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45718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45718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45718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45718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45718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45718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45718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45718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45718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45718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45718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45718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45718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45718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45718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45718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45718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45718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45718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45718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45718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45718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45718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45718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45718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45718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45718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45718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45718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45718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45718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45718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45718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45718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45718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45718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45718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45718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45718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45718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45718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45718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45718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45718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45718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45718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45718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45718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45718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45718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45718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45718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9222-2025</t>
        </is>
      </c>
      <c r="B1531" s="1" t="n">
        <v>45714</v>
      </c>
      <c r="C1531" s="1" t="n">
        <v>45718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45718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45718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45718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9657-2025</t>
        </is>
      </c>
      <c r="B1535" s="1" t="n">
        <v>45716</v>
      </c>
      <c r="C1535" s="1" t="n">
        <v>45718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2025-03-02T17:02:37Z</dcterms:created>
  <dcterms:modified xmlns:dcterms="http://purl.org/dc/terms/" xmlns:xsi="http://www.w3.org/2001/XMLSchema-instance" xsi:type="dcterms:W3CDTF">2025-03-02T17:02:38Z</dcterms:modified>
</cp:coreProperties>
</file>