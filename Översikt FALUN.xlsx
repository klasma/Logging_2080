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46298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46298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46298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46298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46298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46298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46298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46298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46298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46298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46298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46298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46298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46298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46298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46298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46298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46298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46298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46298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46298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46298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46298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643-2026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46298</v>
      </c>
      <c r="F38" t="inlineStr">
        <is>
          <t>DALARNAS LÄN</t>
        </is>
      </c>
      <c r="G38" t="inlineStr">
        <is>
          <t>FALUN</t>
        </is>
      </c>
      <c r="I38" t="n">
        <v>41.8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7</v>
      </c>
      <c r="U38" t="n">
        <v>1</v>
      </c>
      <c r="V38" s="2" t="inlineStr">
        <is>
          <t>Dropptaggsvamp
Tjäder
Större vattensalamander
Skogsödla</t>
        </is>
      </c>
      <c r="W38">
        <f>HYPERLINK("https://klasma.github.io/Logging_2080/artfynd/A 643-2026 artfynd.xlsx", "A 643-2026")</f>
        <v/>
      </c>
      <c r="X38">
        <f>HYPERLINK("https://klasma.github.io/Logging_2080/kartor/A 643-2026 karta.png", "A 643-2026")</f>
        <v/>
      </c>
      <c r="Y38">
        <f>HYPERLINK("https://klasma.github.io/Logging_2080/kartor_geotiff/A 643-2026 georefererad karta.tif", "A 643-2026")</f>
        <v/>
      </c>
      <c r="AA38">
        <f>HYPERLINK("https://klasma.github.io/Logging_2080/klagomål/A 643-2026 FSC-klagomål.docx", "A 643-2026")</f>
        <v/>
      </c>
      <c r="AB38">
        <f>HYPERLINK("https://klasma.github.io/Logging_2080/klagomålsmail/A 643-2026 FSC-klagomål mail.docx", "A 643-2026")</f>
        <v/>
      </c>
      <c r="AC38">
        <f>HYPERLINK("https://klasma.github.io/Logging_2080/tillsyn/A 643-2026 tillsynsbegäran.docx", "A 643-2026")</f>
        <v/>
      </c>
      <c r="AD38">
        <f>HYPERLINK("https://klasma.github.io/Logging_2080/tillsynsmail/A 643-2026 tillsynsbegäran mail.docx", "A 643-2026")</f>
        <v/>
      </c>
      <c r="AE38">
        <f>HYPERLINK("https://klasma.github.io/Logging_2080/fåglar/A 643-2026 prioriterade fågelarter.docx", "A 643-2026")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46298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46298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46298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46298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46298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46298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46298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46298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46298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46298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46298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46298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46298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55724-2025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46298</v>
      </c>
      <c r="F55" t="inlineStr">
        <is>
          <t>DALARNAS LÄN</t>
        </is>
      </c>
      <c r="G55" t="inlineStr">
        <is>
          <t>FALUN</t>
        </is>
      </c>
      <c r="I55" t="n">
        <v>3.4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Mindre märgborre
Blåsippa
Spillkråka</t>
        </is>
      </c>
      <c r="W55">
        <f>HYPERLINK("https://klasma.github.io/Logging_2080/artfynd/A 55724-2025 artfynd.xlsx", "A 55724-2025")</f>
        <v/>
      </c>
      <c r="X55">
        <f>HYPERLINK("https://klasma.github.io/Logging_2080/kartor/A 55724-2025 karta.png", "A 55724-2025")</f>
        <v/>
      </c>
      <c r="Y55">
        <f>HYPERLINK("https://klasma.github.io/Logging_2080/kartor_geotiff/A 55724-2025 georefererad karta.tif", "A 55724-2025")</f>
        <v/>
      </c>
      <c r="AA55">
        <f>HYPERLINK("https://klasma.github.io/Logging_2080/klagomål/A 55724-2025 FSC-klagomål.docx", "A 55724-2025")</f>
        <v/>
      </c>
      <c r="AB55">
        <f>HYPERLINK("https://klasma.github.io/Logging_2080/klagomålsmail/A 55724-2025 FSC-klagomål mail.docx", "A 55724-2025")</f>
        <v/>
      </c>
      <c r="AC55">
        <f>HYPERLINK("https://klasma.github.io/Logging_2080/tillsyn/A 55724-2025 tillsynsbegäran.docx", "A 55724-2025")</f>
        <v/>
      </c>
      <c r="AD55">
        <f>HYPERLINK("https://klasma.github.io/Logging_2080/tillsynsmail/A 55724-2025 tillsynsbegäran mail.docx", "A 55724-2025")</f>
        <v/>
      </c>
      <c r="AE55">
        <f>HYPERLINK("https://klasma.github.io/Logging_2080/fåglar/A 55724-2025 prioriterade fågelarter.docx", "A 55724-2025")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46298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46298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46298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46298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46298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46298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46298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46298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39108-2026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46287</v>
      </c>
      <c r="E64" s="1" t="n">
        <v>46298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21.6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Gammelgransskål
Liten svartspik</t>
        </is>
      </c>
      <c r="W64">
        <f>HYPERLINK("https://klasma.github.io/Logging_2080/artfynd/A 39108-2026 artfynd.xlsx", "A 39108-2026")</f>
        <v/>
      </c>
      <c r="X64">
        <f>HYPERLINK("https://klasma.github.io/Logging_2080/kartor/A 39108-2026 karta.png", "A 39108-2026")</f>
        <v/>
      </c>
      <c r="Y64">
        <f>HYPERLINK("https://klasma.github.io/Logging_2080/kartor_geotiff/A 39108-2026 georefererad karta.tif", "A 39108-2026")</f>
        <v/>
      </c>
      <c r="AA64">
        <f>HYPERLINK("https://klasma.github.io/Logging_2080/klagomål/A 39108-2026 FSC-klagomål.docx", "A 39108-2026")</f>
        <v/>
      </c>
      <c r="AB64">
        <f>HYPERLINK("https://klasma.github.io/Logging_2080/klagomålsmail/A 39108-2026 FSC-klagomål mail.docx", "A 39108-2026")</f>
        <v/>
      </c>
      <c r="AC64">
        <f>HYPERLINK("https://klasma.github.io/Logging_2080/tillsyn/A 39108-2026 tillsynsbegäran.docx", "A 39108-2026")</f>
        <v/>
      </c>
      <c r="AD64">
        <f>HYPERLINK("https://klasma.github.io/Logging_2080/tillsynsmail/A 39108-2026 tillsynsbegäran mail.docx", "A 39108-2026")</f>
        <v/>
      </c>
    </row>
    <row r="65" ht="15" customHeight="1">
      <c r="A65" t="inlineStr">
        <is>
          <t>A 6317-2023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44965</v>
      </c>
      <c r="E65" s="1" t="n">
        <v>46298</v>
      </c>
      <c r="F65" t="inlineStr">
        <is>
          <t>DALARNAS LÄN</t>
        </is>
      </c>
      <c r="G65" t="inlineStr">
        <is>
          <t>FALUN</t>
        </is>
      </c>
      <c r="I65" t="n">
        <v>1.4</v>
      </c>
      <c r="J65" t="n">
        <v>1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2</v>
      </c>
      <c r="V65" s="2" t="inlineStr">
        <is>
          <t>Gullpudra
Sparvuggla
Svavelriska</t>
        </is>
      </c>
      <c r="W65">
        <f>HYPERLINK("https://klasma.github.io/Logging_2080/artfynd/A 6317-2023 artfynd.xlsx", "A 6317-2023")</f>
        <v/>
      </c>
      <c r="X65">
        <f>HYPERLINK("https://klasma.github.io/Logging_2080/kartor/A 6317-2023 karta.png", "A 6317-2023")</f>
        <v/>
      </c>
      <c r="Y65">
        <f>HYPERLINK("https://klasma.github.io/Logging_2080/kartor_geotiff/A 6317-2023 georefererad karta.tif", "A 6317-2023")</f>
        <v/>
      </c>
      <c r="AA65">
        <f>HYPERLINK("https://klasma.github.io/Logging_2080/klagomål/A 6317-2023 FSC-klagomål.docx", "A 6317-2023")</f>
        <v/>
      </c>
      <c r="AB65">
        <f>HYPERLINK("https://klasma.github.io/Logging_2080/klagomålsmail/A 6317-2023 FSC-klagomål mail.docx", "A 6317-2023")</f>
        <v/>
      </c>
      <c r="AC65">
        <f>HYPERLINK("https://klasma.github.io/Logging_2080/tillsyn/A 6317-2023 tillsynsbegäran.docx", "A 6317-2023")</f>
        <v/>
      </c>
      <c r="AD65">
        <f>HYPERLINK("https://klasma.github.io/Logging_2080/tillsynsmail/A 6317-2023 tillsynsbegäran mail.docx", "A 6317-2023")</f>
        <v/>
      </c>
      <c r="AE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46298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46298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46298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46298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46298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46298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46298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22969-2025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46298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Gul taggsvamp
Dofttaggsvamp</t>
        </is>
      </c>
      <c r="W73">
        <f>HYPERLINK("https://klasma.github.io/Logging_2080/artfynd/A 22969-2025 artfynd.xlsx", "A 22969-2025")</f>
        <v/>
      </c>
      <c r="X73">
        <f>HYPERLINK("https://klasma.github.io/Logging_2080/kartor/A 22969-2025 karta.png", "A 22969-2025")</f>
        <v/>
      </c>
      <c r="Y73">
        <f>HYPERLINK("https://klasma.github.io/Logging_2080/kartor_geotiff/A 22969-2025 georefererad karta.tif", "A 22969-2025")</f>
        <v/>
      </c>
      <c r="AA73">
        <f>HYPERLINK("https://klasma.github.io/Logging_2080/klagomål/A 22969-2025 FSC-klagomål.docx", "A 22969-2025")</f>
        <v/>
      </c>
      <c r="AB73">
        <f>HYPERLINK("https://klasma.github.io/Logging_2080/klagomålsmail/A 22969-2025 FSC-klagomål mail.docx", "A 22969-2025")</f>
        <v/>
      </c>
      <c r="AC73">
        <f>HYPERLINK("https://klasma.github.io/Logging_2080/tillsyn/A 22969-2025 tillsynsbegäran.docx", "A 22969-2025")</f>
        <v/>
      </c>
      <c r="AD73">
        <f>HYPERLINK("https://klasma.github.io/Logging_2080/tillsynsmail/A 22969-2025 tillsynsbegäran mail.docx", "A 22969-2025")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46298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46298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46298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46298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46298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46298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46298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46298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12431-2026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46298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Kärrviol
Revlummer</t>
        </is>
      </c>
      <c r="W82">
        <f>HYPERLINK("https://klasma.github.io/Logging_2080/artfynd/A 12431-2026 artfynd.xlsx", "A 12431-2026")</f>
        <v/>
      </c>
      <c r="X82">
        <f>HYPERLINK("https://klasma.github.io/Logging_2080/kartor/A 12431-2026 karta.png", "A 12431-2026")</f>
        <v/>
      </c>
      <c r="Y82">
        <f>HYPERLINK("https://klasma.github.io/Logging_2080/kartor_geotiff/A 12431-2026 georefererad karta.tif", "A 12431-2026")</f>
        <v/>
      </c>
      <c r="AA82">
        <f>HYPERLINK("https://klasma.github.io/Logging_2080/klagomål/A 12431-2026 FSC-klagomål.docx", "A 12431-2026")</f>
        <v/>
      </c>
      <c r="AB82">
        <f>HYPERLINK("https://klasma.github.io/Logging_2080/klagomålsmail/A 12431-2026 FSC-klagomål mail.docx", "A 12431-2026")</f>
        <v/>
      </c>
      <c r="AC82">
        <f>HYPERLINK("https://klasma.github.io/Logging_2080/tillsyn/A 12431-2026 tillsynsbegäran.docx", "A 12431-2026")</f>
        <v/>
      </c>
      <c r="AD82">
        <f>HYPERLINK("https://klasma.github.io/Logging_2080/tillsynsmail/A 12431-2026 tillsynsbegäran mail.docx", "A 12431-2026")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46298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18714-2023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46298</v>
      </c>
      <c r="F84" t="inlineStr">
        <is>
          <t>DALARNAS LÄN</t>
        </is>
      </c>
      <c r="G84" t="inlineStr">
        <is>
          <t>FALUN</t>
        </is>
      </c>
      <c r="I84" t="n">
        <v>1.8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Bronshjon</t>
        </is>
      </c>
      <c r="W84">
        <f>HYPERLINK("https://klasma.github.io/Logging_2080/artfynd/A 18714-2023 artfynd.xlsx", "A 18714-2023")</f>
        <v/>
      </c>
      <c r="X84">
        <f>HYPERLINK("https://klasma.github.io/Logging_2080/kartor/A 18714-2023 karta.png", "A 18714-2023")</f>
        <v/>
      </c>
      <c r="Y84">
        <f>HYPERLINK("https://klasma.github.io/Logging_2080/kartor_geotiff/A 18714-2023 georefererad karta.tif", "A 18714-2023")</f>
        <v/>
      </c>
      <c r="AA84">
        <f>HYPERLINK("https://klasma.github.io/Logging_2080/klagomål/A 18714-2023 FSC-klagomål.docx", "A 18714-2023")</f>
        <v/>
      </c>
      <c r="AB84">
        <f>HYPERLINK("https://klasma.github.io/Logging_2080/klagomålsmail/A 18714-2023 FSC-klagomål mail.docx", "A 18714-2023")</f>
        <v/>
      </c>
      <c r="AC84">
        <f>HYPERLINK("https://klasma.github.io/Logging_2080/tillsyn/A 18714-2023 tillsynsbegäran.docx", "A 18714-2023")</f>
        <v/>
      </c>
      <c r="AD84">
        <f>HYPERLINK("https://klasma.github.io/Logging_2080/tillsynsmail/A 18714-2023 tillsynsbegäran mail.docx", "A 18714-2023")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46298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46298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46298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29791-2025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46298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6.7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Knärot
Ullticka</t>
        </is>
      </c>
      <c r="W88">
        <f>HYPERLINK("https://klasma.github.io/Logging_2080/artfynd/A 29791-2025 artfynd.xlsx", "A 29791-2025")</f>
        <v/>
      </c>
      <c r="X88">
        <f>HYPERLINK("https://klasma.github.io/Logging_2080/kartor/A 29791-2025 karta.png", "A 29791-2025")</f>
        <v/>
      </c>
      <c r="Y88">
        <f>HYPERLINK("https://klasma.github.io/Logging_2080/kartor_geotiff/A 29791-2025 georefererad karta.tif", "A 29791-2025")</f>
        <v/>
      </c>
      <c r="Z88">
        <f>HYPERLINK("https://klasma.github.io/Logging_2080/knärot/A 29791-2025 karta knärot.png", "A 29791-2025")</f>
        <v/>
      </c>
      <c r="AA88">
        <f>HYPERLINK("https://klasma.github.io/Logging_2080/klagomål/A 29791-2025 FSC-klagomål.docx", "A 29791-2025")</f>
        <v/>
      </c>
      <c r="AB88">
        <f>HYPERLINK("https://klasma.github.io/Logging_2080/klagomålsmail/A 29791-2025 FSC-klagomål mail.docx", "A 29791-2025")</f>
        <v/>
      </c>
      <c r="AC88">
        <f>HYPERLINK("https://klasma.github.io/Logging_2080/tillsyn/A 29791-2025 tillsynsbegäran.docx", "A 29791-2025")</f>
        <v/>
      </c>
      <c r="AD88">
        <f>HYPERLINK("https://klasma.github.io/Logging_2080/tillsynsmail/A 29791-2025 tillsynsbegäran mail.docx", "A 29791-2025")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46298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46298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26586-2023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46298</v>
      </c>
      <c r="F91" t="inlineStr">
        <is>
          <t>DALARNAS LÄN</t>
        </is>
      </c>
      <c r="G91" t="inlineStr">
        <is>
          <t>FALUN</t>
        </is>
      </c>
      <c r="I91" t="n">
        <v>6.1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Spillkråka
Tjäder</t>
        </is>
      </c>
      <c r="W91">
        <f>HYPERLINK("https://klasma.github.io/Logging_2080/artfynd/A 26586-2023 artfynd.xlsx", "A 26586-2023")</f>
        <v/>
      </c>
      <c r="X91">
        <f>HYPERLINK("https://klasma.github.io/Logging_2080/kartor/A 26586-2023 karta.png", "A 26586-2023")</f>
        <v/>
      </c>
      <c r="Y91">
        <f>HYPERLINK("https://klasma.github.io/Logging_2080/kartor_geotiff/A 26586-2023 georefererad karta.tif", "A 26586-2023")</f>
        <v/>
      </c>
      <c r="AA91">
        <f>HYPERLINK("https://klasma.github.io/Logging_2080/klagomål/A 26586-2023 FSC-klagomål.docx", "A 26586-2023")</f>
        <v/>
      </c>
      <c r="AB91">
        <f>HYPERLINK("https://klasma.github.io/Logging_2080/klagomålsmail/A 26586-2023 FSC-klagomål mail.docx", "A 26586-2023")</f>
        <v/>
      </c>
      <c r="AC91">
        <f>HYPERLINK("https://klasma.github.io/Logging_2080/tillsyn/A 26586-2023 tillsynsbegäran.docx", "A 26586-2023")</f>
        <v/>
      </c>
      <c r="AD91">
        <f>HYPERLINK("https://klasma.github.io/Logging_2080/tillsynsmail/A 26586-2023 tillsynsbegäran mail.docx", "A 26586-2023")</f>
        <v/>
      </c>
      <c r="AE91">
        <f>HYPERLINK("https://klasma.github.io/Logging_2080/fåglar/A 26586-2023 prioriterade fågelarter.docx", "A 26586-2023")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46298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46298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46298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46298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46298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8751-2024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46298</v>
      </c>
      <c r="F97" t="inlineStr">
        <is>
          <t>DALARNAS LÄN</t>
        </is>
      </c>
      <c r="G97" t="inlineStr">
        <is>
          <t>FALUN</t>
        </is>
      </c>
      <c r="I97" t="n">
        <v>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Vanlig groda</t>
        </is>
      </c>
      <c r="W97">
        <f>HYPERLINK("https://klasma.github.io/Logging_2080/artfynd/A 8751-2024 artfynd.xlsx", "A 8751-2024")</f>
        <v/>
      </c>
      <c r="X97">
        <f>HYPERLINK("https://klasma.github.io/Logging_2080/kartor/A 8751-2024 karta.png", "A 8751-2024")</f>
        <v/>
      </c>
      <c r="Y97">
        <f>HYPERLINK("https://klasma.github.io/Logging_2080/kartor_geotiff/A 8751-2024 georefererad karta.tif", "A 8751-2024")</f>
        <v/>
      </c>
      <c r="Z97">
        <f>HYPERLINK("https://klasma.github.io/Logging_2080/knärot/A 8751-2024 karta knärot.png", "A 8751-2024")</f>
        <v/>
      </c>
      <c r="AA97">
        <f>HYPERLINK("https://klasma.github.io/Logging_2080/klagomål/A 8751-2024 FSC-klagomål.docx", "A 8751-2024")</f>
        <v/>
      </c>
      <c r="AB97">
        <f>HYPERLINK("https://klasma.github.io/Logging_2080/klagomålsmail/A 8751-2024 FSC-klagomål mail.docx", "A 8751-2024")</f>
        <v/>
      </c>
      <c r="AC97">
        <f>HYPERLINK("https://klasma.github.io/Logging_2080/tillsyn/A 8751-2024 tillsynsbegäran.docx", "A 8751-2024")</f>
        <v/>
      </c>
      <c r="AD97">
        <f>HYPERLINK("https://klasma.github.io/Logging_2080/tillsynsmail/A 8751-2024 tillsynsbegäran mail.docx", "A 8751-2024")</f>
        <v/>
      </c>
    </row>
    <row r="98" ht="15" customHeight="1">
      <c r="A98" t="inlineStr">
        <is>
          <t>A 45869-2023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46298</v>
      </c>
      <c r="F98" t="inlineStr">
        <is>
          <t>DALARNAS LÄN</t>
        </is>
      </c>
      <c r="G98" t="inlineStr">
        <is>
          <t>FALUN</t>
        </is>
      </c>
      <c r="I98" t="n">
        <v>2.8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Mindre vattensalamander
Vanlig padda</t>
        </is>
      </c>
      <c r="W98">
        <f>HYPERLINK("https://klasma.github.io/Logging_2080/artfynd/A 45869-2023 artfynd.xlsx", "A 45869-2023")</f>
        <v/>
      </c>
      <c r="X98">
        <f>HYPERLINK("https://klasma.github.io/Logging_2080/kartor/A 45869-2023 karta.png", "A 45869-2023")</f>
        <v/>
      </c>
      <c r="Y98">
        <f>HYPERLINK("https://klasma.github.io/Logging_2080/kartor_geotiff/A 45869-2023 georefererad karta.tif", "A 45869-2023")</f>
        <v/>
      </c>
      <c r="AA98">
        <f>HYPERLINK("https://klasma.github.io/Logging_2080/klagomål/A 45869-2023 FSC-klagomål.docx", "A 45869-2023")</f>
        <v/>
      </c>
      <c r="AB98">
        <f>HYPERLINK("https://klasma.github.io/Logging_2080/klagomålsmail/A 45869-2023 FSC-klagomål mail.docx", "A 45869-2023")</f>
        <v/>
      </c>
      <c r="AC98">
        <f>HYPERLINK("https://klasma.github.io/Logging_2080/tillsyn/A 45869-2023 tillsynsbegäran.docx", "A 45869-2023")</f>
        <v/>
      </c>
      <c r="AD98">
        <f>HYPERLINK("https://klasma.github.io/Logging_2080/tillsynsmail/A 45869-2023 tillsynsbegäran mail.docx", "A 45869-2023")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46298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46298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46298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46298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46298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1342-2026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46298</v>
      </c>
      <c r="F104" t="inlineStr">
        <is>
          <t>DALARNAS LÄN</t>
        </is>
      </c>
      <c r="G104" t="inlineStr">
        <is>
          <t>FALUN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HYPERLINK("https://klasma.github.io/Logging_2080/artfynd/A 1342-2026 artfynd.xlsx", "A 1342-2026")</f>
        <v/>
      </c>
      <c r="X104">
        <f>HYPERLINK("https://klasma.github.io/Logging_2080/kartor/A 1342-2026 karta.png", "A 1342-2026")</f>
        <v/>
      </c>
      <c r="Y104">
        <f>HYPERLINK("https://klasma.github.io/Logging_2080/kartor_geotiff/A 1342-2026 georefererad karta.tif", "A 1342-2026")</f>
        <v/>
      </c>
      <c r="AA104">
        <f>HYPERLINK("https://klasma.github.io/Logging_2080/klagomål/A 1342-2026 FSC-klagomål.docx", "A 1342-2026")</f>
        <v/>
      </c>
      <c r="AB104">
        <f>HYPERLINK("https://klasma.github.io/Logging_2080/klagomålsmail/A 1342-2026 FSC-klagomål mail.docx", "A 1342-2026")</f>
        <v/>
      </c>
      <c r="AC104">
        <f>HYPERLINK("https://klasma.github.io/Logging_2080/tillsyn/A 1342-2026 tillsynsbegäran.docx", "A 1342-2026")</f>
        <v/>
      </c>
      <c r="AD104">
        <f>HYPERLINK("https://klasma.github.io/Logging_2080/tillsynsmail/A 1342-2026 tillsynsbegäran mail.docx", "A 1342-2026")</f>
        <v/>
      </c>
    </row>
    <row r="105" ht="15" customHeight="1">
      <c r="A105" t="inlineStr">
        <is>
          <t>A 1317-2026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46298</v>
      </c>
      <c r="F105" t="inlineStr">
        <is>
          <t>DALARNAS LÄN</t>
        </is>
      </c>
      <c r="G105" t="inlineStr">
        <is>
          <t>FALUN</t>
        </is>
      </c>
      <c r="I105" t="n">
        <v>27.3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 groddlummer</t>
        </is>
      </c>
      <c r="W105">
        <f>HYPERLINK("https://klasma.github.io/Logging_2080/artfynd/A 1317-2026 artfynd.xlsx", "A 1317-2026")</f>
        <v/>
      </c>
      <c r="X105">
        <f>HYPERLINK("https://klasma.github.io/Logging_2080/kartor/A 1317-2026 karta.png", "A 1317-2026")</f>
        <v/>
      </c>
      <c r="Y105">
        <f>HYPERLINK("https://klasma.github.io/Logging_2080/kartor_geotiff/A 1317-2026 georefererad karta.tif", "A 1317-2026")</f>
        <v/>
      </c>
      <c r="AA105">
        <f>HYPERLINK("https://klasma.github.io/Logging_2080/klagomål/A 1317-2026 FSC-klagomål.docx", "A 1317-2026")</f>
        <v/>
      </c>
      <c r="AB105">
        <f>HYPERLINK("https://klasma.github.io/Logging_2080/klagomålsmail/A 1317-2026 FSC-klagomål mail.docx", "A 1317-2026")</f>
        <v/>
      </c>
      <c r="AC105">
        <f>HYPERLINK("https://klasma.github.io/Logging_2080/tillsyn/A 1317-2026 tillsynsbegäran.docx", "A 1317-2026")</f>
        <v/>
      </c>
      <c r="AD105">
        <f>HYPERLINK("https://klasma.github.io/Logging_2080/tillsynsmail/A 1317-2026 tillsynsbegäran mail.docx", "A 1317-2026")</f>
        <v/>
      </c>
    </row>
    <row r="106" ht="15" customHeight="1">
      <c r="A106" t="inlineStr">
        <is>
          <t>A 46963-2023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46298</v>
      </c>
      <c r="F106" t="inlineStr">
        <is>
          <t>DALARNAS LÄN</t>
        </is>
      </c>
      <c r="G106" t="inlineStr">
        <is>
          <t>FALUN</t>
        </is>
      </c>
      <c r="I106" t="n">
        <v>13.6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HYPERLINK("https://klasma.github.io/Logging_2080/artfynd/A 46963-2023 artfynd.xlsx", "A 46963-2023")</f>
        <v/>
      </c>
      <c r="X106">
        <f>HYPERLINK("https://klasma.github.io/Logging_2080/kartor/A 46963-2023 karta.png", "A 46963-2023")</f>
        <v/>
      </c>
      <c r="Y106">
        <f>HYPERLINK("https://klasma.github.io/Logging_2080/kartor_geotiff/A 46963-2023 georefererad karta.tif", "A 46963-2023")</f>
        <v/>
      </c>
      <c r="AA106">
        <f>HYPERLINK("https://klasma.github.io/Logging_2080/klagomål/A 46963-2023 FSC-klagomål.docx", "A 46963-2023")</f>
        <v/>
      </c>
      <c r="AB106">
        <f>HYPERLINK("https://klasma.github.io/Logging_2080/klagomålsmail/A 46963-2023 FSC-klagomål mail.docx", "A 46963-2023")</f>
        <v/>
      </c>
      <c r="AC106">
        <f>HYPERLINK("https://klasma.github.io/Logging_2080/tillsyn/A 46963-2023 tillsynsbegäran.docx", "A 46963-2023")</f>
        <v/>
      </c>
      <c r="AD106">
        <f>HYPERLINK("https://klasma.github.io/Logging_2080/tillsynsmail/A 46963-2023 tillsynsbegäran mail.docx", "A 46963-2023")</f>
        <v/>
      </c>
      <c r="AE106">
        <f>HYPERLINK("https://klasma.github.io/Logging_2080/fåglar/A 46963-2023 prioriterade fågelarter.docx", "A 46963-2023")</f>
        <v/>
      </c>
    </row>
    <row r="107" ht="15" customHeight="1">
      <c r="A107" t="inlineStr">
        <is>
          <t>A 12927-2023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45001</v>
      </c>
      <c r="E107" s="1" t="n">
        <v>46298</v>
      </c>
      <c r="F107" t="inlineStr">
        <is>
          <t>DALARNAS LÄN</t>
        </is>
      </c>
      <c r="G107" t="inlineStr">
        <is>
          <t>FALUN</t>
        </is>
      </c>
      <c r="I107" t="n">
        <v>0.3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HYPERLINK("https://klasma.github.io/Logging_2080/artfynd/A 12927-2023 artfynd.xlsx", "A 12927-2023")</f>
        <v/>
      </c>
      <c r="X107">
        <f>HYPERLINK("https://klasma.github.io/Logging_2080/kartor/A 12927-2023 karta.png", "A 12927-2023")</f>
        <v/>
      </c>
      <c r="Y107">
        <f>HYPERLINK("https://klasma.github.io/Logging_2080/kartor_geotiff/A 12927-2023 georefererad karta.tif", "A 12927-2023")</f>
        <v/>
      </c>
      <c r="Z107">
        <f>HYPERLINK("https://klasma.github.io/Logging_2080/knärot/A 12927-2023 karta knärot.png", "A 12927-2023")</f>
        <v/>
      </c>
      <c r="AA107">
        <f>HYPERLINK("https://klasma.github.io/Logging_2080/klagomål/A 12927-2023 FSC-klagomål.docx", "A 12927-2023")</f>
        <v/>
      </c>
      <c r="AB107">
        <f>HYPERLINK("https://klasma.github.io/Logging_2080/klagomålsmail/A 12927-2023 FSC-klagomål mail.docx", "A 12927-2023")</f>
        <v/>
      </c>
      <c r="AC107">
        <f>HYPERLINK("https://klasma.github.io/Logging_2080/tillsyn/A 12927-2023 tillsynsbegäran.docx", "A 12927-2023")</f>
        <v/>
      </c>
      <c r="AD107">
        <f>HYPERLINK("https://klasma.github.io/Logging_2080/tillsynsmail/A 12927-2023 tillsynsbegäran mail.docx", "A 12927-2023")</f>
        <v/>
      </c>
    </row>
    <row r="108" ht="15" customHeight="1">
      <c r="A108" t="inlineStr">
        <is>
          <t>A 42364-2025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46298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24.1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Fläcknycklar</t>
        </is>
      </c>
      <c r="W108">
        <f>HYPERLINK("https://klasma.github.io/Logging_2080/artfynd/A 42364-2025 artfynd.xlsx", "A 42364-2025")</f>
        <v/>
      </c>
      <c r="X108">
        <f>HYPERLINK("https://klasma.github.io/Logging_2080/kartor/A 42364-2025 karta.png", "A 42364-2025")</f>
        <v/>
      </c>
      <c r="Y108">
        <f>HYPERLINK("https://klasma.github.io/Logging_2080/kartor_geotiff/A 42364-2025 georefererad karta.tif", "A 42364-2025")</f>
        <v/>
      </c>
      <c r="AA108">
        <f>HYPERLINK("https://klasma.github.io/Logging_2080/klagomål/A 42364-2025 FSC-klagomål.docx", "A 42364-2025")</f>
        <v/>
      </c>
      <c r="AB108">
        <f>HYPERLINK("https://klasma.github.io/Logging_2080/klagomålsmail/A 42364-2025 FSC-klagomål mail.docx", "A 42364-2025")</f>
        <v/>
      </c>
      <c r="AC108">
        <f>HYPERLINK("https://klasma.github.io/Logging_2080/tillsyn/A 42364-2025 tillsynsbegäran.docx", "A 42364-2025")</f>
        <v/>
      </c>
      <c r="AD108">
        <f>HYPERLINK("https://klasma.github.io/Logging_2080/tillsynsmail/A 42364-2025 tillsynsbegäran mail.docx", "A 42364-2025")</f>
        <v/>
      </c>
    </row>
    <row r="109" ht="15" customHeight="1">
      <c r="A109" t="inlineStr">
        <is>
          <t>A 3454-2026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46298</v>
      </c>
      <c r="F109" t="inlineStr">
        <is>
          <t>DALARNAS LÄN</t>
        </is>
      </c>
      <c r="G109" t="inlineStr">
        <is>
          <t>FALUN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Brudsporre</t>
        </is>
      </c>
      <c r="W109">
        <f>HYPERLINK("https://klasma.github.io/Logging_2080/artfynd/A 3454-2026 artfynd.xlsx", "A 3454-2026")</f>
        <v/>
      </c>
      <c r="X109">
        <f>HYPERLINK("https://klasma.github.io/Logging_2080/kartor/A 3454-2026 karta.png", "A 3454-2026")</f>
        <v/>
      </c>
      <c r="Y109">
        <f>HYPERLINK("https://klasma.github.io/Logging_2080/kartor_geotiff/A 3454-2026 georefererad karta.tif", "A 3454-2026")</f>
        <v/>
      </c>
      <c r="AA109">
        <f>HYPERLINK("https://klasma.github.io/Logging_2080/klagomål/A 3454-2026 FSC-klagomål.docx", "A 3454-2026")</f>
        <v/>
      </c>
      <c r="AB109">
        <f>HYPERLINK("https://klasma.github.io/Logging_2080/klagomålsmail/A 3454-2026 FSC-klagomål mail.docx", "A 3454-2026")</f>
        <v/>
      </c>
      <c r="AC109">
        <f>HYPERLINK("https://klasma.github.io/Logging_2080/tillsyn/A 3454-2026 tillsynsbegäran.docx", "A 3454-2026")</f>
        <v/>
      </c>
      <c r="AD109">
        <f>HYPERLINK("https://klasma.github.io/Logging_2080/tillsynsmail/A 3454-2026 tillsynsbegäran mail.docx", "A 3454-2026")</f>
        <v/>
      </c>
    </row>
    <row r="110" ht="15" customHeight="1">
      <c r="A110" t="inlineStr">
        <is>
          <t>A 4921-2026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46298</v>
      </c>
      <c r="F110" t="inlineStr">
        <is>
          <t>DALARNAS LÄN</t>
        </is>
      </c>
      <c r="G110" t="inlineStr">
        <is>
          <t>FALUN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4921-2026 artfynd.xlsx", "A 4921-2026")</f>
        <v/>
      </c>
      <c r="X110">
        <f>HYPERLINK("https://klasma.github.io/Logging_2080/kartor/A 4921-2026 karta.png", "A 4921-2026")</f>
        <v/>
      </c>
      <c r="Y110">
        <f>HYPERLINK("https://klasma.github.io/Logging_2080/kartor_geotiff/A 4921-2026 georefererad karta.tif", "A 4921-2026")</f>
        <v/>
      </c>
      <c r="AA110">
        <f>HYPERLINK("https://klasma.github.io/Logging_2080/klagomål/A 4921-2026 FSC-klagomål.docx", "A 4921-2026")</f>
        <v/>
      </c>
      <c r="AB110">
        <f>HYPERLINK("https://klasma.github.io/Logging_2080/klagomålsmail/A 4921-2026 FSC-klagomål mail.docx", "A 4921-2026")</f>
        <v/>
      </c>
      <c r="AC110">
        <f>HYPERLINK("https://klasma.github.io/Logging_2080/tillsyn/A 4921-2026 tillsynsbegäran.docx", "A 4921-2026")</f>
        <v/>
      </c>
      <c r="AD110">
        <f>HYPERLINK("https://klasma.github.io/Logging_2080/tillsynsmail/A 4921-2026 tillsynsbegäran mail.docx", "A 4921-2026")</f>
        <v/>
      </c>
    </row>
    <row r="111" ht="15" customHeight="1">
      <c r="A111" t="inlineStr">
        <is>
          <t>A 32584-2024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46298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HYPERLINK("https://klasma.github.io/Logging_2080/artfynd/A 32584-2024 artfynd.xlsx", "A 32584-2024")</f>
        <v/>
      </c>
      <c r="X111">
        <f>HYPERLINK("https://klasma.github.io/Logging_2080/kartor/A 32584-2024 karta.png", "A 32584-2024")</f>
        <v/>
      </c>
      <c r="Y111">
        <f>HYPERLINK("https://klasma.github.io/Logging_2080/kartor_geotiff/A 32584-2024 georefererad karta.tif", "A 32584-2024")</f>
        <v/>
      </c>
      <c r="AA111">
        <f>HYPERLINK("https://klasma.github.io/Logging_2080/klagomål/A 32584-2024 FSC-klagomål.docx", "A 32584-2024")</f>
        <v/>
      </c>
      <c r="AB111">
        <f>HYPERLINK("https://klasma.github.io/Logging_2080/klagomålsmail/A 32584-2024 FSC-klagomål mail.docx", "A 32584-2024")</f>
        <v/>
      </c>
      <c r="AC111">
        <f>HYPERLINK("https://klasma.github.io/Logging_2080/tillsyn/A 32584-2024 tillsynsbegäran.docx", "A 32584-2024")</f>
        <v/>
      </c>
      <c r="AD111">
        <f>HYPERLINK("https://klasma.github.io/Logging_2080/tillsynsmail/A 32584-2024 tillsynsbegäran mail.docx", "A 32584-2024")</f>
        <v/>
      </c>
    </row>
    <row r="112" ht="15" customHeight="1">
      <c r="A112" t="inlineStr">
        <is>
          <t>A 3552-2026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46298</v>
      </c>
      <c r="F112" t="inlineStr">
        <is>
          <t>DALARNAS LÄN</t>
        </is>
      </c>
      <c r="G112" t="inlineStr">
        <is>
          <t>FALUN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3552-2026 artfynd.xlsx", "A 3552-2026")</f>
        <v/>
      </c>
      <c r="X112">
        <f>HYPERLINK("https://klasma.github.io/Logging_2080/kartor/A 3552-2026 karta.png", "A 3552-2026")</f>
        <v/>
      </c>
      <c r="Y112">
        <f>HYPERLINK("https://klasma.github.io/Logging_2080/kartor_geotiff/A 3552-2026 georefererad karta.tif", "A 3552-2026")</f>
        <v/>
      </c>
      <c r="AA112">
        <f>HYPERLINK("https://klasma.github.io/Logging_2080/klagomål/A 3552-2026 FSC-klagomål.docx", "A 3552-2026")</f>
        <v/>
      </c>
      <c r="AB112">
        <f>HYPERLINK("https://klasma.github.io/Logging_2080/klagomålsmail/A 3552-2026 FSC-klagomål mail.docx", "A 3552-2026")</f>
        <v/>
      </c>
      <c r="AC112">
        <f>HYPERLINK("https://klasma.github.io/Logging_2080/tillsyn/A 3552-2026 tillsynsbegäran.docx", "A 3552-2026")</f>
        <v/>
      </c>
      <c r="AD112">
        <f>HYPERLINK("https://klasma.github.io/Logging_2080/tillsynsmail/A 3552-2026 tillsynsbegäran mail.docx", "A 3552-2026")</f>
        <v/>
      </c>
      <c r="AE112">
        <f>HYPERLINK("https://klasma.github.io/Logging_2080/fåglar/A 3552-2026 prioriterade fågelarter.docx", "A 3552-2026")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46298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Knärot</t>
        </is>
      </c>
      <c r="W113">
        <f>HYPERLINK("https://klasma.github.io/Logging_2080/artfynd/A 4537-2026 artfynd.xlsx", "A 4537-2026")</f>
        <v/>
      </c>
      <c r="X113">
        <f>HYPERLINK("https://klasma.github.io/Logging_2080/kartor/A 4537-2026 karta.png", "A 4537-2026")</f>
        <v/>
      </c>
      <c r="Y113">
        <f>HYPERLINK("https://klasma.github.io/Logging_2080/kartor_geotiff/A 4537-2026 georefererad karta.tif", "A 4537-2026")</f>
        <v/>
      </c>
      <c r="Z113">
        <f>HYPERLINK("https://klasma.github.io/Logging_2080/knärot/A 4537-2026 karta knärot.png", "A 4537-2026")</f>
        <v/>
      </c>
      <c r="AA113">
        <f>HYPERLINK("https://klasma.github.io/Logging_2080/klagomål/A 4537-2026 FSC-klagomål.docx", "A 4537-2026")</f>
        <v/>
      </c>
      <c r="AB113">
        <f>HYPERLINK("https://klasma.github.io/Logging_2080/klagomålsmail/A 4537-2026 FSC-klagomål mail.docx", "A 4537-2026")</f>
        <v/>
      </c>
      <c r="AC113">
        <f>HYPERLINK("https://klasma.github.io/Logging_2080/tillsyn/A 4537-2026 tillsynsbegäran.docx", "A 4537-2026")</f>
        <v/>
      </c>
      <c r="AD113">
        <f>HYPERLINK("https://klasma.github.io/Logging_2080/tillsynsmail/A 4537-2026 tillsynsbegäran mail.docx", "A 4537-2026")</f>
        <v/>
      </c>
    </row>
    <row r="114" ht="15" customHeight="1">
      <c r="A114" t="inlineStr">
        <is>
          <t>A 6962-2026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46056</v>
      </c>
      <c r="E114" s="1" t="n">
        <v>46298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20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6962-2026 artfynd.xlsx", "A 6962-2026")</f>
        <v/>
      </c>
      <c r="X114">
        <f>HYPERLINK("https://klasma.github.io/Logging_2080/kartor/A 6962-2026 karta.png", "A 6962-2026")</f>
        <v/>
      </c>
      <c r="Y114">
        <f>HYPERLINK("https://klasma.github.io/Logging_2080/kartor_geotiff/A 6962-2026 georefererad karta.tif", "A 6962-2026")</f>
        <v/>
      </c>
      <c r="AA114">
        <f>HYPERLINK("https://klasma.github.io/Logging_2080/klagomål/A 6962-2026 FSC-klagomål.docx", "A 6962-2026")</f>
        <v/>
      </c>
      <c r="AB114">
        <f>HYPERLINK("https://klasma.github.io/Logging_2080/klagomålsmail/A 6962-2026 FSC-klagomål mail.docx", "A 6962-2026")</f>
        <v/>
      </c>
      <c r="AC114">
        <f>HYPERLINK("https://klasma.github.io/Logging_2080/tillsyn/A 6962-2026 tillsynsbegäran.docx", "A 6962-2026")</f>
        <v/>
      </c>
      <c r="AD114">
        <f>HYPERLINK("https://klasma.github.io/Logging_2080/tillsynsmail/A 6962-2026 tillsynsbegäran mail.docx", "A 6962-2026")</f>
        <v/>
      </c>
    </row>
    <row r="115" ht="15" customHeight="1">
      <c r="A115" t="inlineStr">
        <is>
          <t>A 6951-2026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46298</v>
      </c>
      <c r="F115" t="inlineStr">
        <is>
          <t>DALARNAS LÄN</t>
        </is>
      </c>
      <c r="G115" t="inlineStr">
        <is>
          <t>FALUN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6951-2026 artfynd.xlsx", "A 6951-2026")</f>
        <v/>
      </c>
      <c r="X115">
        <f>HYPERLINK("https://klasma.github.io/Logging_2080/kartor/A 6951-2026 karta.png", "A 6951-2026")</f>
        <v/>
      </c>
      <c r="Y115">
        <f>HYPERLINK("https://klasma.github.io/Logging_2080/kartor_geotiff/A 6951-2026 georefererad karta.tif", "A 6951-2026")</f>
        <v/>
      </c>
      <c r="AA115">
        <f>HYPERLINK("https://klasma.github.io/Logging_2080/klagomål/A 6951-2026 FSC-klagomål.docx", "A 6951-2026")</f>
        <v/>
      </c>
      <c r="AB115">
        <f>HYPERLINK("https://klasma.github.io/Logging_2080/klagomålsmail/A 6951-2026 FSC-klagomål mail.docx", "A 6951-2026")</f>
        <v/>
      </c>
      <c r="AC115">
        <f>HYPERLINK("https://klasma.github.io/Logging_2080/tillsyn/A 6951-2026 tillsynsbegäran.docx", "A 6951-2026")</f>
        <v/>
      </c>
      <c r="AD115">
        <f>HYPERLINK("https://klasma.github.io/Logging_2080/tillsynsmail/A 6951-2026 tillsynsbegäran mail.docx", "A 6951-2026")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46298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6968-2026 artfynd.xlsx", "A 6968-2026")</f>
        <v/>
      </c>
      <c r="X116">
        <f>HYPERLINK("https://klasma.github.io/Logging_2080/kartor/A 6968-2026 karta.png", "A 6968-2026")</f>
        <v/>
      </c>
      <c r="Y116">
        <f>HYPERLINK("https://klasma.github.io/Logging_2080/kartor_geotiff/A 6968-2026 georefererad karta.tif", "A 6968-2026")</f>
        <v/>
      </c>
      <c r="AA116">
        <f>HYPERLINK("https://klasma.github.io/Logging_2080/klagomål/A 6968-2026 FSC-klagomål.docx", "A 6968-2026")</f>
        <v/>
      </c>
      <c r="AB116">
        <f>HYPERLINK("https://klasma.github.io/Logging_2080/klagomålsmail/A 6968-2026 FSC-klagomål mail.docx", "A 6968-2026")</f>
        <v/>
      </c>
      <c r="AC116">
        <f>HYPERLINK("https://klasma.github.io/Logging_2080/tillsyn/A 6968-2026 tillsynsbegäran.docx", "A 6968-2026")</f>
        <v/>
      </c>
      <c r="AD116">
        <f>HYPERLINK("https://klasma.github.io/Logging_2080/tillsynsmail/A 6968-2026 tillsynsbegäran mail.docx", "A 6968-2026")</f>
        <v/>
      </c>
    </row>
    <row r="117" ht="15" customHeight="1">
      <c r="A117" t="inlineStr">
        <is>
          <t>A 51870-2022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46298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Tretåig hackspett</t>
        </is>
      </c>
      <c r="W117">
        <f>HYPERLINK("https://klasma.github.io/Logging_2080/artfynd/A 51870-2022 artfynd.xlsx", "A 51870-2022")</f>
        <v/>
      </c>
      <c r="X117">
        <f>HYPERLINK("https://klasma.github.io/Logging_2080/kartor/A 51870-2022 karta.png", "A 51870-2022")</f>
        <v/>
      </c>
      <c r="Y117">
        <f>HYPERLINK("https://klasma.github.io/Logging_2080/kartor_geotiff/A 51870-2022 georefererad karta.tif", "A 51870-2022")</f>
        <v/>
      </c>
      <c r="AA117">
        <f>HYPERLINK("https://klasma.github.io/Logging_2080/klagomål/A 51870-2022 FSC-klagomål.docx", "A 51870-2022")</f>
        <v/>
      </c>
      <c r="AB117">
        <f>HYPERLINK("https://klasma.github.io/Logging_2080/klagomålsmail/A 51870-2022 FSC-klagomål mail.docx", "A 51870-2022")</f>
        <v/>
      </c>
      <c r="AC117">
        <f>HYPERLINK("https://klasma.github.io/Logging_2080/tillsyn/A 51870-2022 tillsynsbegäran.docx", "A 51870-2022")</f>
        <v/>
      </c>
      <c r="AD117">
        <f>HYPERLINK("https://klasma.github.io/Logging_2080/tillsynsmail/A 51870-2022 tillsynsbegäran mail.docx", "A 51870-2022")</f>
        <v/>
      </c>
      <c r="AE117">
        <f>HYPERLINK("https://klasma.github.io/Logging_2080/fåglar/A 51870-2022 prioriterade fågelarter.docx", "A 51870-2022")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46298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t="n">
        <v>0</v>
      </c>
      <c r="V118" s="2" t="inlineStr">
        <is>
          <t>Brun gräsfjäril</t>
        </is>
      </c>
      <c r="W118">
        <f>HYPERLINK("https://klasma.github.io/Logging_2080/artfynd/A 49374-2025 artfynd.xlsx", "A 49374-2025")</f>
        <v/>
      </c>
      <c r="X118">
        <f>HYPERLINK("https://klasma.github.io/Logging_2080/kartor/A 49374-2025 karta.png", "A 49374-2025")</f>
        <v/>
      </c>
      <c r="Y118">
        <f>HYPERLINK("https://klasma.github.io/Logging_2080/kartor_geotiff/A 49374-2025 georefererad karta.tif", "A 49374-2025")</f>
        <v/>
      </c>
      <c r="AA118">
        <f>HYPERLINK("https://klasma.github.io/Logging_2080/klagomål/A 49374-2025 FSC-klagomål.docx", "A 49374-2025")</f>
        <v/>
      </c>
      <c r="AB118">
        <f>HYPERLINK("https://klasma.github.io/Logging_2080/klagomålsmail/A 49374-2025 FSC-klagomål mail.docx", "A 49374-2025")</f>
        <v/>
      </c>
      <c r="AC118">
        <f>HYPERLINK("https://klasma.github.io/Logging_2080/tillsyn/A 49374-2025 tillsynsbegäran.docx", "A 49374-2025")</f>
        <v/>
      </c>
      <c r="AD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26776-2025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46298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Skör kvastmossa</t>
        </is>
      </c>
      <c r="W119">
        <f>HYPERLINK("https://klasma.github.io/Logging_2080/artfynd/A 26776-2025 artfynd.xlsx", "A 26776-2025")</f>
        <v/>
      </c>
      <c r="X119">
        <f>HYPERLINK("https://klasma.github.io/Logging_2080/kartor/A 26776-2025 karta.png", "A 26776-2025")</f>
        <v/>
      </c>
      <c r="Y119">
        <f>HYPERLINK("https://klasma.github.io/Logging_2080/kartor_geotiff/A 26776-2025 georefererad karta.tif", "A 26776-2025")</f>
        <v/>
      </c>
      <c r="AA119">
        <f>HYPERLINK("https://klasma.github.io/Logging_2080/klagomål/A 26776-2025 FSC-klagomål.docx", "A 26776-2025")</f>
        <v/>
      </c>
      <c r="AB119">
        <f>HYPERLINK("https://klasma.github.io/Logging_2080/klagomålsmail/A 26776-2025 FSC-klagomål mail.docx", "A 26776-2025")</f>
        <v/>
      </c>
      <c r="AC119">
        <f>HYPERLINK("https://klasma.github.io/Logging_2080/tillsyn/A 26776-2025 tillsynsbegäran.docx", "A 26776-2025")</f>
        <v/>
      </c>
      <c r="AD119">
        <f>HYPERLINK("https://klasma.github.io/Logging_2080/tillsynsmail/A 26776-2025 tillsynsbegäran mail.docx", "A 26776-2025")</f>
        <v/>
      </c>
    </row>
    <row r="120" ht="15" customHeight="1">
      <c r="A120" t="inlineStr">
        <is>
          <t>A 11038-2026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46298</v>
      </c>
      <c r="F120" t="inlineStr">
        <is>
          <t>DALARNAS LÄN</t>
        </is>
      </c>
      <c r="G120" t="inlineStr">
        <is>
          <t>FALUN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HYPERLINK("https://klasma.github.io/Logging_2080/artfynd/A 11038-2026 artfynd.xlsx", "A 11038-2026")</f>
        <v/>
      </c>
      <c r="X120">
        <f>HYPERLINK("https://klasma.github.io/Logging_2080/kartor/A 11038-2026 karta.png", "A 11038-2026")</f>
        <v/>
      </c>
      <c r="Y120">
        <f>HYPERLINK("https://klasma.github.io/Logging_2080/kartor_geotiff/A 11038-2026 georefererad karta.tif", "A 11038-2026")</f>
        <v/>
      </c>
      <c r="AA120">
        <f>HYPERLINK("https://klasma.github.io/Logging_2080/klagomål/A 11038-2026 FSC-klagomål.docx", "A 11038-2026")</f>
        <v/>
      </c>
      <c r="AB120">
        <f>HYPERLINK("https://klasma.github.io/Logging_2080/klagomålsmail/A 11038-2026 FSC-klagomål mail.docx", "A 11038-2026")</f>
        <v/>
      </c>
      <c r="AC120">
        <f>HYPERLINK("https://klasma.github.io/Logging_2080/tillsyn/A 11038-2026 tillsynsbegäran.docx", "A 11038-2026")</f>
        <v/>
      </c>
      <c r="AD120">
        <f>HYPERLINK("https://klasma.github.io/Logging_2080/tillsynsmail/A 11038-2026 tillsynsbegäran mail.docx", "A 11038-2026")</f>
        <v/>
      </c>
    </row>
    <row r="121" ht="15" customHeight="1">
      <c r="A121" t="inlineStr">
        <is>
          <t>A 21813-2023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46298</v>
      </c>
      <c r="F121" t="inlineStr">
        <is>
          <t>DALARNAS LÄN</t>
        </is>
      </c>
      <c r="G121" t="inlineStr">
        <is>
          <t>FALUN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Brun gräsfjäril</t>
        </is>
      </c>
      <c r="W121">
        <f>HYPERLINK("https://klasma.github.io/Logging_2080/artfynd/A 21813-2023 artfynd.xlsx", "A 21813-2023")</f>
        <v/>
      </c>
      <c r="X121">
        <f>HYPERLINK("https://klasma.github.io/Logging_2080/kartor/A 21813-2023 karta.png", "A 21813-2023")</f>
        <v/>
      </c>
      <c r="Y121">
        <f>HYPERLINK("https://klasma.github.io/Logging_2080/kartor_geotiff/A 21813-2023 georefererad karta.tif", "A 21813-2023")</f>
        <v/>
      </c>
      <c r="AA121">
        <f>HYPERLINK("https://klasma.github.io/Logging_2080/klagomål/A 21813-2023 FSC-klagomål.docx", "A 21813-2023")</f>
        <v/>
      </c>
      <c r="AB121">
        <f>HYPERLINK("https://klasma.github.io/Logging_2080/klagomålsmail/A 21813-2023 FSC-klagomål mail.docx", "A 21813-2023")</f>
        <v/>
      </c>
      <c r="AC121">
        <f>HYPERLINK("https://klasma.github.io/Logging_2080/tillsyn/A 21813-2023 tillsynsbegäran.docx", "A 21813-2023")</f>
        <v/>
      </c>
      <c r="AD121">
        <f>HYPERLINK("https://klasma.github.io/Logging_2080/tillsynsmail/A 21813-2023 tillsynsbegäran mail.docx", "A 21813-2023")</f>
        <v/>
      </c>
    </row>
    <row r="122" ht="15" customHeight="1">
      <c r="A122" t="inlineStr">
        <is>
          <t>A 12257-2026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46298</v>
      </c>
      <c r="F122" t="inlineStr">
        <is>
          <t>DALARNAS LÄN</t>
        </is>
      </c>
      <c r="G122" t="inlineStr">
        <is>
          <t>FALUN</t>
        </is>
      </c>
      <c r="I122" t="n">
        <v>1.6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HYPERLINK("https://klasma.github.io/Logging_2080/artfynd/A 12257-2026 artfynd.xlsx", "A 12257-2026")</f>
        <v/>
      </c>
      <c r="X122">
        <f>HYPERLINK("https://klasma.github.io/Logging_2080/kartor/A 12257-2026 karta.png", "A 12257-2026")</f>
        <v/>
      </c>
      <c r="Y122">
        <f>HYPERLINK("https://klasma.github.io/Logging_2080/kartor_geotiff/A 12257-2026 georefererad karta.tif", "A 12257-2026")</f>
        <v/>
      </c>
      <c r="AA122">
        <f>HYPERLINK("https://klasma.github.io/Logging_2080/klagomål/A 12257-2026 FSC-klagomål.docx", "A 12257-2026")</f>
        <v/>
      </c>
      <c r="AB122">
        <f>HYPERLINK("https://klasma.github.io/Logging_2080/klagomålsmail/A 12257-2026 FSC-klagomål mail.docx", "A 12257-2026")</f>
        <v/>
      </c>
      <c r="AC122">
        <f>HYPERLINK("https://klasma.github.io/Logging_2080/tillsyn/A 12257-2026 tillsynsbegäran.docx", "A 12257-2026")</f>
        <v/>
      </c>
      <c r="AD122">
        <f>HYPERLINK("https://klasma.github.io/Logging_2080/tillsynsmail/A 12257-2026 tillsynsbegäran mail.docx", "A 12257-2026")</f>
        <v/>
      </c>
      <c r="AE122">
        <f>HYPERLINK("https://klasma.github.io/Logging_2080/fåglar/A 12257-2026 prioriterade fågelarter.docx", "A 12257-2026")</f>
        <v/>
      </c>
    </row>
    <row r="123" ht="15" customHeight="1">
      <c r="A123" t="inlineStr">
        <is>
          <t>A 13205-2026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46298</v>
      </c>
      <c r="F123" t="inlineStr">
        <is>
          <t>DALARNAS LÄN</t>
        </is>
      </c>
      <c r="G123" t="inlineStr">
        <is>
          <t>FALUN</t>
        </is>
      </c>
      <c r="I123" t="n">
        <v>4.6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Sotriska</t>
        </is>
      </c>
      <c r="W123">
        <f>HYPERLINK("https://klasma.github.io/Logging_2080/artfynd/A 13205-2026 artfynd.xlsx", "A 13205-2026")</f>
        <v/>
      </c>
      <c r="X123">
        <f>HYPERLINK("https://klasma.github.io/Logging_2080/kartor/A 13205-2026 karta.png", "A 13205-2026")</f>
        <v/>
      </c>
      <c r="Y123">
        <f>HYPERLINK("https://klasma.github.io/Logging_2080/kartor_geotiff/A 13205-2026 georefererad karta.tif", "A 13205-2026")</f>
        <v/>
      </c>
      <c r="AA123">
        <f>HYPERLINK("https://klasma.github.io/Logging_2080/klagomål/A 13205-2026 FSC-klagomål.docx", "A 13205-2026")</f>
        <v/>
      </c>
      <c r="AB123">
        <f>HYPERLINK("https://klasma.github.io/Logging_2080/klagomålsmail/A 13205-2026 FSC-klagomål mail.docx", "A 13205-2026")</f>
        <v/>
      </c>
      <c r="AC123">
        <f>HYPERLINK("https://klasma.github.io/Logging_2080/tillsyn/A 13205-2026 tillsynsbegäran.docx", "A 13205-2026")</f>
        <v/>
      </c>
      <c r="AD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15178-2026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46298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17.1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Stjärntagging</t>
        </is>
      </c>
      <c r="W124">
        <f>HYPERLINK("https://klasma.github.io/Logging_2080/artfynd/A 15178-2026 artfynd.xlsx", "A 15178-2026")</f>
        <v/>
      </c>
      <c r="X124">
        <f>HYPERLINK("https://klasma.github.io/Logging_2080/kartor/A 15178-2026 karta.png", "A 15178-2026")</f>
        <v/>
      </c>
      <c r="Y124">
        <f>HYPERLINK("https://klasma.github.io/Logging_2080/kartor_geotiff/A 15178-2026 georefererad karta.tif", "A 15178-2026")</f>
        <v/>
      </c>
      <c r="AA124">
        <f>HYPERLINK("https://klasma.github.io/Logging_2080/klagomål/A 15178-2026 FSC-klagomål.docx", "A 15178-2026")</f>
        <v/>
      </c>
      <c r="AB124">
        <f>HYPERLINK("https://klasma.github.io/Logging_2080/klagomålsmail/A 15178-2026 FSC-klagomål mail.docx", "A 15178-2026")</f>
        <v/>
      </c>
      <c r="AC124">
        <f>HYPERLINK("https://klasma.github.io/Logging_2080/tillsyn/A 15178-2026 tillsynsbegäran.docx", "A 15178-2026")</f>
        <v/>
      </c>
      <c r="AD124">
        <f>HYPERLINK("https://klasma.github.io/Logging_2080/tillsynsmail/A 15178-2026 tillsynsbegäran mail.docx", "A 15178-2026")</f>
        <v/>
      </c>
    </row>
    <row r="125" ht="15" customHeight="1">
      <c r="A125" t="inlineStr">
        <is>
          <t>A 28679-2025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46298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11.3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28679-2025 artfynd.xlsx", "A 28679-2025")</f>
        <v/>
      </c>
      <c r="X125">
        <f>HYPERLINK("https://klasma.github.io/Logging_2080/kartor/A 28679-2025 karta.png", "A 28679-2025")</f>
        <v/>
      </c>
      <c r="Y125">
        <f>HYPERLINK("https://klasma.github.io/Logging_2080/kartor_geotiff/A 28679-2025 georefererad karta.tif", "A 28679-2025")</f>
        <v/>
      </c>
      <c r="AA125">
        <f>HYPERLINK("https://klasma.github.io/Logging_2080/klagomål/A 28679-2025 FSC-klagomål.docx", "A 28679-2025")</f>
        <v/>
      </c>
      <c r="AB125">
        <f>HYPERLINK("https://klasma.github.io/Logging_2080/klagomålsmail/A 28679-2025 FSC-klagomål mail.docx", "A 28679-2025")</f>
        <v/>
      </c>
      <c r="AC125">
        <f>HYPERLINK("https://klasma.github.io/Logging_2080/tillsyn/A 28679-2025 tillsynsbegäran.docx", "A 28679-2025")</f>
        <v/>
      </c>
      <c r="AD125">
        <f>HYPERLINK("https://klasma.github.io/Logging_2080/tillsynsmail/A 28679-2025 tillsynsbegäran mail.docx", "A 28679-2025")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46298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46298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54134-2024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46298</v>
      </c>
      <c r="F128" t="inlineStr">
        <is>
          <t>DALARNAS LÄN</t>
        </is>
      </c>
      <c r="G128" t="inlineStr">
        <is>
          <t>FALUN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54134-2024 artfynd.xlsx", "A 54134-2024")</f>
        <v/>
      </c>
      <c r="X128">
        <f>HYPERLINK("https://klasma.github.io/Logging_2080/kartor/A 54134-2024 karta.png", "A 54134-2024")</f>
        <v/>
      </c>
      <c r="Y128">
        <f>HYPERLINK("https://klasma.github.io/Logging_2080/kartor_geotiff/A 54134-2024 georefererad karta.tif", "A 54134-2024")</f>
        <v/>
      </c>
      <c r="AA128">
        <f>HYPERLINK("https://klasma.github.io/Logging_2080/klagomål/A 54134-2024 FSC-klagomål.docx", "A 54134-2024")</f>
        <v/>
      </c>
      <c r="AB128">
        <f>HYPERLINK("https://klasma.github.io/Logging_2080/klagomålsmail/A 54134-2024 FSC-klagomål mail.docx", "A 54134-2024")</f>
        <v/>
      </c>
      <c r="AC128">
        <f>HYPERLINK("https://klasma.github.io/Logging_2080/tillsyn/A 54134-2024 tillsynsbegäran.docx", "A 54134-2024")</f>
        <v/>
      </c>
      <c r="AD128">
        <f>HYPERLINK("https://klasma.github.io/Logging_2080/tillsynsmail/A 54134-2024 tillsynsbegäran mail.docx", "A 54134-2024")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46298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5764-2026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46298</v>
      </c>
      <c r="F130" t="inlineStr">
        <is>
          <t>DALARNAS LÄN</t>
        </is>
      </c>
      <c r="G130" t="inlineStr">
        <is>
          <t>FALUN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HYPERLINK("https://klasma.github.io/Logging_2080/artfynd/A 5764-2026 artfynd.xlsx", "A 5764-2026")</f>
        <v/>
      </c>
      <c r="X130">
        <f>HYPERLINK("https://klasma.github.io/Logging_2080/kartor/A 5764-2026 karta.png", "A 5764-2026")</f>
        <v/>
      </c>
      <c r="Y130">
        <f>HYPERLINK("https://klasma.github.io/Logging_2080/kartor_geotiff/A 5764-2026 georefererad karta.tif", "A 5764-2026")</f>
        <v/>
      </c>
      <c r="AA130">
        <f>HYPERLINK("https://klasma.github.io/Logging_2080/klagomål/A 5764-2026 FSC-klagomål.docx", "A 5764-2026")</f>
        <v/>
      </c>
      <c r="AB130">
        <f>HYPERLINK("https://klasma.github.io/Logging_2080/klagomålsmail/A 5764-2026 FSC-klagomål mail.docx", "A 5764-2026")</f>
        <v/>
      </c>
      <c r="AC130">
        <f>HYPERLINK("https://klasma.github.io/Logging_2080/tillsyn/A 5764-2026 tillsynsbegäran.docx", "A 5764-2026")</f>
        <v/>
      </c>
      <c r="AD130">
        <f>HYPERLINK("https://klasma.github.io/Logging_2080/tillsynsmail/A 5764-2026 tillsynsbegäran mail.docx", "A 5764-2026")</f>
        <v/>
      </c>
    </row>
    <row r="131" ht="15" customHeight="1">
      <c r="A131" t="inlineStr">
        <is>
          <t>A 20701-2026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46298</v>
      </c>
      <c r="F131" t="inlineStr">
        <is>
          <t>DALARNAS LÄN</t>
        </is>
      </c>
      <c r="G131" t="inlineStr">
        <is>
          <t>FALUN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Grönsiska</t>
        </is>
      </c>
      <c r="W131">
        <f>HYPERLINK("https://klasma.github.io/Logging_2080/artfynd/A 20701-2026 artfynd.xlsx", "A 20701-2026")</f>
        <v/>
      </c>
      <c r="X131">
        <f>HYPERLINK("https://klasma.github.io/Logging_2080/kartor/A 20701-2026 karta.png", "A 20701-2026")</f>
        <v/>
      </c>
      <c r="Y131">
        <f>HYPERLINK("https://klasma.github.io/Logging_2080/kartor_geotiff/A 20701-2026 georefererad karta.tif", "A 20701-2026")</f>
        <v/>
      </c>
      <c r="AA131">
        <f>HYPERLINK("https://klasma.github.io/Logging_2080/klagomål/A 20701-2026 FSC-klagomål.docx", "A 20701-2026")</f>
        <v/>
      </c>
      <c r="AB131">
        <f>HYPERLINK("https://klasma.github.io/Logging_2080/klagomålsmail/A 20701-2026 FSC-klagomål mail.docx", "A 20701-2026")</f>
        <v/>
      </c>
      <c r="AC131">
        <f>HYPERLINK("https://klasma.github.io/Logging_2080/tillsyn/A 20701-2026 tillsynsbegäran.docx", "A 20701-2026")</f>
        <v/>
      </c>
      <c r="AD131">
        <f>HYPERLINK("https://klasma.github.io/Logging_2080/tillsynsmail/A 20701-2026 tillsynsbegäran mail.docx", "A 20701-2026")</f>
        <v/>
      </c>
    </row>
    <row r="132" ht="15" customHeight="1">
      <c r="A132" t="inlineStr">
        <is>
          <t>A 36199-2025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46298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Rynkskinn</t>
        </is>
      </c>
      <c r="W132">
        <f>HYPERLINK("https://klasma.github.io/Logging_2080/artfynd/A 36199-2025 artfynd.xlsx", "A 36199-2025")</f>
        <v/>
      </c>
      <c r="X132">
        <f>HYPERLINK("https://klasma.github.io/Logging_2080/kartor/A 36199-2025 karta.png", "A 36199-2025")</f>
        <v/>
      </c>
      <c r="Y132">
        <f>HYPERLINK("https://klasma.github.io/Logging_2080/kartor_geotiff/A 36199-2025 georefererad karta.tif", "A 36199-2025")</f>
        <v/>
      </c>
      <c r="AA132">
        <f>HYPERLINK("https://klasma.github.io/Logging_2080/klagomål/A 36199-2025 FSC-klagomål.docx", "A 36199-2025")</f>
        <v/>
      </c>
      <c r="AB132">
        <f>HYPERLINK("https://klasma.github.io/Logging_2080/klagomålsmail/A 36199-2025 FSC-klagomål mail.docx", "A 36199-2025")</f>
        <v/>
      </c>
      <c r="AC132">
        <f>HYPERLINK("https://klasma.github.io/Logging_2080/tillsyn/A 36199-2025 tillsynsbegäran.docx", "A 36199-2025")</f>
        <v/>
      </c>
      <c r="AD132">
        <f>HYPERLINK("https://klasma.github.io/Logging_2080/tillsynsmail/A 36199-2025 tillsynsbegäran mail.docx", "A 36199-2025")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46298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61661-2024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46298</v>
      </c>
      <c r="F134" t="inlineStr">
        <is>
          <t>DALARNAS LÄN</t>
        </is>
      </c>
      <c r="G134" t="inlineStr">
        <is>
          <t>FALUN</t>
        </is>
      </c>
      <c r="I134" t="n">
        <v>9.300000000000001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HYPERLINK("https://klasma.github.io/Logging_2080/artfynd/A 61661-2024 artfynd.xlsx", "A 61661-2024")</f>
        <v/>
      </c>
      <c r="X134">
        <f>HYPERLINK("https://klasma.github.io/Logging_2080/kartor/A 61661-2024 karta.png", "A 61661-2024")</f>
        <v/>
      </c>
      <c r="Y134">
        <f>HYPERLINK("https://klasma.github.io/Logging_2080/kartor_geotiff/A 61661-2024 georefererad karta.tif", "A 61661-2024")</f>
        <v/>
      </c>
      <c r="AA134">
        <f>HYPERLINK("https://klasma.github.io/Logging_2080/klagomål/A 61661-2024 FSC-klagomål.docx", "A 61661-2024")</f>
        <v/>
      </c>
      <c r="AB134">
        <f>HYPERLINK("https://klasma.github.io/Logging_2080/klagomålsmail/A 61661-2024 FSC-klagomål mail.docx", "A 61661-2024")</f>
        <v/>
      </c>
      <c r="AC134">
        <f>HYPERLINK("https://klasma.github.io/Logging_2080/tillsyn/A 61661-2024 tillsynsbegäran.docx", "A 61661-2024")</f>
        <v/>
      </c>
      <c r="AD134">
        <f>HYPERLINK("https://klasma.github.io/Logging_2080/tillsynsmail/A 61661-2024 tillsynsbegäran mail.docx", "A 61661-2024")</f>
        <v/>
      </c>
    </row>
    <row r="135" ht="15" customHeight="1">
      <c r="A135" t="inlineStr">
        <is>
          <t>A 22784-2024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46298</v>
      </c>
      <c r="F135" t="inlineStr">
        <is>
          <t>DALARNAS LÄN</t>
        </is>
      </c>
      <c r="G135" t="inlineStr">
        <is>
          <t>FALUN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HYPERLINK("https://klasma.github.io/Logging_2080/artfynd/A 22784-2024 artfynd.xlsx", "A 22784-2024")</f>
        <v/>
      </c>
      <c r="X135">
        <f>HYPERLINK("https://klasma.github.io/Logging_2080/kartor/A 22784-2024 karta.png", "A 22784-2024")</f>
        <v/>
      </c>
      <c r="Y135">
        <f>HYPERLINK("https://klasma.github.io/Logging_2080/kartor_geotiff/A 22784-2024 georefererad karta.tif", "A 22784-2024")</f>
        <v/>
      </c>
      <c r="AA135">
        <f>HYPERLINK("https://klasma.github.io/Logging_2080/klagomål/A 22784-2024 FSC-klagomål.docx", "A 22784-2024")</f>
        <v/>
      </c>
      <c r="AB135">
        <f>HYPERLINK("https://klasma.github.io/Logging_2080/klagomålsmail/A 22784-2024 FSC-klagomål mail.docx", "A 22784-2024")</f>
        <v/>
      </c>
      <c r="AC135">
        <f>HYPERLINK("https://klasma.github.io/Logging_2080/tillsyn/A 22784-2024 tillsynsbegäran.docx", "A 22784-2024")</f>
        <v/>
      </c>
      <c r="AD135">
        <f>HYPERLINK("https://klasma.github.io/Logging_2080/tillsynsmail/A 22784-2024 tillsynsbegäran mail.docx", "A 22784-2024")</f>
        <v/>
      </c>
      <c r="AE135">
        <f>HYPERLINK("https://klasma.github.io/Logging_2080/fåglar/A 22784-2024 prioriterade fågelarter.docx", "A 22784-2024")</f>
        <v/>
      </c>
    </row>
    <row r="136" ht="15" customHeight="1">
      <c r="A136" t="inlineStr">
        <is>
          <t>A 35379-2022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46298</v>
      </c>
      <c r="F136" t="inlineStr">
        <is>
          <t>DALARNAS LÄN</t>
        </is>
      </c>
      <c r="G136" t="inlineStr">
        <is>
          <t>FALUN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HYPERLINK("https://klasma.github.io/Logging_2080/artfynd/A 35379-2022 artfynd.xlsx", "A 35379-2022")</f>
        <v/>
      </c>
      <c r="X136">
        <f>HYPERLINK("https://klasma.github.io/Logging_2080/kartor/A 35379-2022 karta.png", "A 35379-2022")</f>
        <v/>
      </c>
      <c r="Y136">
        <f>HYPERLINK("https://klasma.github.io/Logging_2080/kartor_geotiff/A 35379-2022 georefererad karta.tif", "A 35379-2022")</f>
        <v/>
      </c>
      <c r="AA136">
        <f>HYPERLINK("https://klasma.github.io/Logging_2080/klagomål/A 35379-2022 FSC-klagomål.docx", "A 35379-2022")</f>
        <v/>
      </c>
      <c r="AB136">
        <f>HYPERLINK("https://klasma.github.io/Logging_2080/klagomålsmail/A 35379-2022 FSC-klagomål mail.docx", "A 35379-2022")</f>
        <v/>
      </c>
      <c r="AC136">
        <f>HYPERLINK("https://klasma.github.io/Logging_2080/tillsyn/A 35379-2022 tillsynsbegäran.docx", "A 35379-2022")</f>
        <v/>
      </c>
      <c r="AD136">
        <f>HYPERLINK("https://klasma.github.io/Logging_2080/tillsynsmail/A 35379-2022 tillsynsbegäran mail.docx", "A 35379-2022")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46298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46298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46298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46298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46298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15598-2026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46298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18.2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15598-2026 artfynd.xlsx", "A 15598-2026")</f>
        <v/>
      </c>
      <c r="X142">
        <f>HYPERLINK("https://klasma.github.io/Logging_2080/kartor/A 15598-2026 karta.png", "A 15598-2026")</f>
        <v/>
      </c>
      <c r="Y142">
        <f>HYPERLINK("https://klasma.github.io/Logging_2080/kartor_geotiff/A 15598-2026 georefererad karta.tif", "A 15598-2026")</f>
        <v/>
      </c>
      <c r="AA142">
        <f>HYPERLINK("https://klasma.github.io/Logging_2080/klagomål/A 15598-2026 FSC-klagomål.docx", "A 15598-2026")</f>
        <v/>
      </c>
      <c r="AB142">
        <f>HYPERLINK("https://klasma.github.io/Logging_2080/klagomålsmail/A 15598-2026 FSC-klagomål mail.docx", "A 15598-2026")</f>
        <v/>
      </c>
      <c r="AC142">
        <f>HYPERLINK("https://klasma.github.io/Logging_2080/tillsyn/A 15598-2026 tillsynsbegäran.docx", "A 15598-2026")</f>
        <v/>
      </c>
      <c r="AD142">
        <f>HYPERLINK("https://klasma.github.io/Logging_2080/tillsynsmail/A 15598-2026 tillsynsbegäran mail.docx", "A 15598-2026")</f>
        <v/>
      </c>
      <c r="AE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46298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27316-2026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46298</v>
      </c>
      <c r="F144" t="inlineStr">
        <is>
          <t>DALARNAS LÄN</t>
        </is>
      </c>
      <c r="G144" t="inlineStr">
        <is>
          <t>FALUN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27316-2026 artfynd.xlsx", "A 27316-2026")</f>
        <v/>
      </c>
      <c r="X144">
        <f>HYPERLINK("https://klasma.github.io/Logging_2080/kartor/A 27316-2026 karta.png", "A 27316-2026")</f>
        <v/>
      </c>
      <c r="Y144">
        <f>HYPERLINK("https://klasma.github.io/Logging_2080/kartor_geotiff/A 27316-2026 georefererad karta.tif", "A 27316-2026")</f>
        <v/>
      </c>
      <c r="AA144">
        <f>HYPERLINK("https://klasma.github.io/Logging_2080/klagomål/A 27316-2026 FSC-klagomål.docx", "A 27316-2026")</f>
        <v/>
      </c>
      <c r="AB144">
        <f>HYPERLINK("https://klasma.github.io/Logging_2080/klagomålsmail/A 27316-2026 FSC-klagomål mail.docx", "A 27316-2026")</f>
        <v/>
      </c>
      <c r="AC144">
        <f>HYPERLINK("https://klasma.github.io/Logging_2080/tillsyn/A 27316-2026 tillsynsbegäran.docx", "A 27316-2026")</f>
        <v/>
      </c>
      <c r="AD144">
        <f>HYPERLINK("https://klasma.github.io/Logging_2080/tillsynsmail/A 27316-2026 tillsynsbegäran mail.docx", "A 27316-2026")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46298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46298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HYPERLINK("https://klasma.github.io/Logging_2080/artfynd/A 27627-2026 artfynd.xlsx", "A 27627-2026")</f>
        <v/>
      </c>
      <c r="X146">
        <f>HYPERLINK("https://klasma.github.io/Logging_2080/kartor/A 27627-2026 karta.png", "A 27627-2026")</f>
        <v/>
      </c>
      <c r="Y146">
        <f>HYPERLINK("https://klasma.github.io/Logging_2080/kartor_geotiff/A 27627-2026 georefererad karta.tif", "A 27627-2026")</f>
        <v/>
      </c>
      <c r="Z146">
        <f>HYPERLINK("https://klasma.github.io/Logging_2080/knärot/A 27627-2026 karta knärot.png", "A 27627-2026")</f>
        <v/>
      </c>
      <c r="AA146">
        <f>HYPERLINK("https://klasma.github.io/Logging_2080/klagomål/A 27627-2026 FSC-klagomål.docx", "A 27627-2026")</f>
        <v/>
      </c>
      <c r="AB146">
        <f>HYPERLINK("https://klasma.github.io/Logging_2080/klagomålsmail/A 27627-2026 FSC-klagomål mail.docx", "A 27627-2026")</f>
        <v/>
      </c>
      <c r="AC146">
        <f>HYPERLINK("https://klasma.github.io/Logging_2080/tillsyn/A 27627-2026 tillsynsbegäran.docx", "A 27627-2026")</f>
        <v/>
      </c>
      <c r="AD146">
        <f>HYPERLINK("https://klasma.github.io/Logging_2080/tillsynsmail/A 27627-2026 tillsynsbegäran mail.docx", "A 27627-2026")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46298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19727-2026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46298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24.3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Flodpärlmussla</t>
        </is>
      </c>
      <c r="W148">
        <f>HYPERLINK("https://klasma.github.io/Logging_2080/artfynd/A 19727-2026 artfynd.xlsx", "A 19727-2026")</f>
        <v/>
      </c>
      <c r="X148">
        <f>HYPERLINK("https://klasma.github.io/Logging_2080/kartor/A 19727-2026 karta.png", "A 19727-2026")</f>
        <v/>
      </c>
      <c r="Y148">
        <f>HYPERLINK("https://klasma.github.io/Logging_2080/kartor_geotiff/A 19727-2026 georefererad karta.tif", "A 19727-2026")</f>
        <v/>
      </c>
      <c r="AA148">
        <f>HYPERLINK("https://klasma.github.io/Logging_2080/klagomål/A 19727-2026 FSC-klagomål.docx", "A 19727-2026")</f>
        <v/>
      </c>
      <c r="AB148">
        <f>HYPERLINK("https://klasma.github.io/Logging_2080/klagomålsmail/A 19727-2026 FSC-klagomål mail.docx", "A 19727-2026")</f>
        <v/>
      </c>
      <c r="AC148">
        <f>HYPERLINK("https://klasma.github.io/Logging_2080/tillsyn/A 19727-2026 tillsynsbegäran.docx", "A 19727-2026")</f>
        <v/>
      </c>
      <c r="AD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46298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29133-2026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46298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HYPERLINK("https://klasma.github.io/Logging_2080/artfynd/A 29133-2026 artfynd.xlsx", "A 29133-2026")</f>
        <v/>
      </c>
      <c r="X150">
        <f>HYPERLINK("https://klasma.github.io/Logging_2080/kartor/A 29133-2026 karta.png", "A 29133-2026")</f>
        <v/>
      </c>
      <c r="Y150">
        <f>HYPERLINK("https://klasma.github.io/Logging_2080/kartor_geotiff/A 29133-2026 georefererad karta.tif", "A 29133-2026")</f>
        <v/>
      </c>
      <c r="AA150">
        <f>HYPERLINK("https://klasma.github.io/Logging_2080/klagomål/A 29133-2026 FSC-klagomål.docx", "A 29133-2026")</f>
        <v/>
      </c>
      <c r="AB150">
        <f>HYPERLINK("https://klasma.github.io/Logging_2080/klagomålsmail/A 29133-2026 FSC-klagomål mail.docx", "A 29133-2026")</f>
        <v/>
      </c>
      <c r="AC150">
        <f>HYPERLINK("https://klasma.github.io/Logging_2080/tillsyn/A 29133-2026 tillsynsbegäran.docx", "A 29133-2026")</f>
        <v/>
      </c>
      <c r="AD150">
        <f>HYPERLINK("https://klasma.github.io/Logging_2080/tillsynsmail/A 29133-2026 tillsynsbegäran mail.docx", "A 29133-2026")</f>
        <v/>
      </c>
    </row>
    <row r="151" ht="15" customHeight="1">
      <c r="A151" t="inlineStr">
        <is>
          <t>A 56138-2024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46298</v>
      </c>
      <c r="F151" t="inlineStr">
        <is>
          <t>DALARNAS LÄN</t>
        </is>
      </c>
      <c r="G151" t="inlineStr">
        <is>
          <t>FALUN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0</v>
      </c>
      <c r="V151" s="2" t="inlineStr">
        <is>
          <t>Citronporing</t>
        </is>
      </c>
      <c r="W151">
        <f>HYPERLINK("https://klasma.github.io/Logging_2080/artfynd/A 56138-2024 artfynd.xlsx", "A 56138-2024")</f>
        <v/>
      </c>
      <c r="X151">
        <f>HYPERLINK("https://klasma.github.io/Logging_2080/kartor/A 56138-2024 karta.png", "A 56138-2024")</f>
        <v/>
      </c>
      <c r="Y151">
        <f>HYPERLINK("https://klasma.github.io/Logging_2080/kartor_geotiff/A 56138-2024 georefererad karta.tif", "A 56138-2024")</f>
        <v/>
      </c>
      <c r="AA151">
        <f>HYPERLINK("https://klasma.github.io/Logging_2080/klagomål/A 56138-2024 FSC-klagomål.docx", "A 56138-2024")</f>
        <v/>
      </c>
      <c r="AB151">
        <f>HYPERLINK("https://klasma.github.io/Logging_2080/klagomålsmail/A 56138-2024 FSC-klagomål mail.docx", "A 56138-2024")</f>
        <v/>
      </c>
      <c r="AC151">
        <f>HYPERLINK("https://klasma.github.io/Logging_2080/tillsyn/A 56138-2024 tillsynsbegäran.docx", "A 56138-2024")</f>
        <v/>
      </c>
      <c r="AD151">
        <f>HYPERLINK("https://klasma.github.io/Logging_2080/tillsynsmail/A 56138-2024 tillsynsbegäran mail.docx", "A 56138-2024")</f>
        <v/>
      </c>
    </row>
    <row r="152" ht="15" customHeight="1">
      <c r="A152" t="inlineStr">
        <is>
          <t>A 35000-2026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46259</v>
      </c>
      <c r="E152" s="1" t="n">
        <v>46298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18.4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35000-2026 artfynd.xlsx", "A 35000-2026")</f>
        <v/>
      </c>
      <c r="X152">
        <f>HYPERLINK("https://klasma.github.io/Logging_2080/kartor/A 35000-2026 karta.png", "A 35000-2026")</f>
        <v/>
      </c>
      <c r="Y152">
        <f>HYPERLINK("https://klasma.github.io/Logging_2080/kartor_geotiff/A 35000-2026 georefererad karta.tif", "A 35000-2026")</f>
        <v/>
      </c>
      <c r="AA152">
        <f>HYPERLINK("https://klasma.github.io/Logging_2080/klagomål/A 35000-2026 FSC-klagomål.docx", "A 35000-2026")</f>
        <v/>
      </c>
      <c r="AB152">
        <f>HYPERLINK("https://klasma.github.io/Logging_2080/klagomålsmail/A 35000-2026 FSC-klagomål mail.docx", "A 35000-2026")</f>
        <v/>
      </c>
      <c r="AC152">
        <f>HYPERLINK("https://klasma.github.io/Logging_2080/tillsyn/A 35000-2026 tillsynsbegäran.docx", "A 35000-2026")</f>
        <v/>
      </c>
      <c r="AD152">
        <f>HYPERLINK("https://klasma.github.io/Logging_2080/tillsynsmail/A 35000-2026 tillsynsbegäran mail.docx", "A 35000-2026")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46298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35218-2026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46298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4.5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Fläcknycklar</t>
        </is>
      </c>
      <c r="W154">
        <f>HYPERLINK("https://klasma.github.io/Logging_2080/artfynd/A 35218-2026 artfynd.xlsx", "A 35218-2026")</f>
        <v/>
      </c>
      <c r="X154">
        <f>HYPERLINK("https://klasma.github.io/Logging_2080/kartor/A 35218-2026 karta.png", "A 35218-2026")</f>
        <v/>
      </c>
      <c r="Y154">
        <f>HYPERLINK("https://klasma.github.io/Logging_2080/kartor_geotiff/A 35218-2026 georefererad karta.tif", "A 35218-2026")</f>
        <v/>
      </c>
      <c r="AA154">
        <f>HYPERLINK("https://klasma.github.io/Logging_2080/klagomål/A 35218-2026 FSC-klagomål.docx", "A 35218-2026")</f>
        <v/>
      </c>
      <c r="AB154">
        <f>HYPERLINK("https://klasma.github.io/Logging_2080/klagomålsmail/A 35218-2026 FSC-klagomål mail.docx", "A 35218-2026")</f>
        <v/>
      </c>
      <c r="AC154">
        <f>HYPERLINK("https://klasma.github.io/Logging_2080/tillsyn/A 35218-2026 tillsynsbegäran.docx", "A 35218-2026")</f>
        <v/>
      </c>
      <c r="AD154">
        <f>HYPERLINK("https://klasma.github.io/Logging_2080/tillsynsmail/A 35218-2026 tillsynsbegäran mail.docx", "A 35218-2026")</f>
        <v/>
      </c>
    </row>
    <row r="155" ht="15" customHeight="1">
      <c r="A155" t="inlineStr">
        <is>
          <t>A 40853-2022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46298</v>
      </c>
      <c r="F155" t="inlineStr">
        <is>
          <t>DALARNAS LÄN</t>
        </is>
      </c>
      <c r="G155" t="inlineStr">
        <is>
          <t>FALUN</t>
        </is>
      </c>
      <c r="I155" t="n">
        <v>7.2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Sparvuggla</t>
        </is>
      </c>
      <c r="W155">
        <f>HYPERLINK("https://klasma.github.io/Logging_2080/artfynd/A 40853-2022 artfynd.xlsx", "A 40853-2022")</f>
        <v/>
      </c>
      <c r="X155">
        <f>HYPERLINK("https://klasma.github.io/Logging_2080/kartor/A 40853-2022 karta.png", "A 40853-2022")</f>
        <v/>
      </c>
      <c r="Y155">
        <f>HYPERLINK("https://klasma.github.io/Logging_2080/kartor_geotiff/A 40853-2022 georefererad karta.tif", "A 40853-2022")</f>
        <v/>
      </c>
      <c r="AA155">
        <f>HYPERLINK("https://klasma.github.io/Logging_2080/klagomål/A 40853-2022 FSC-klagomål.docx", "A 40853-2022")</f>
        <v/>
      </c>
      <c r="AB155">
        <f>HYPERLINK("https://klasma.github.io/Logging_2080/klagomålsmail/A 40853-2022 FSC-klagomål mail.docx", "A 40853-2022")</f>
        <v/>
      </c>
      <c r="AC155">
        <f>HYPERLINK("https://klasma.github.io/Logging_2080/tillsyn/A 40853-2022 tillsynsbegäran.docx", "A 40853-2022")</f>
        <v/>
      </c>
      <c r="AD155">
        <f>HYPERLINK("https://klasma.github.io/Logging_2080/tillsynsmail/A 40853-2022 tillsynsbegäran mail.docx", "A 40853-2022")</f>
        <v/>
      </c>
      <c r="AE155">
        <f>HYPERLINK("https://klasma.github.io/Logging_2080/fåglar/A 40853-2022 prioriterade fågelarter.docx", "A 40853-2022")</f>
        <v/>
      </c>
    </row>
    <row r="156" ht="15" customHeight="1">
      <c r="A156" t="inlineStr">
        <is>
          <t>A 22069-2023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46298</v>
      </c>
      <c r="F156" t="inlineStr">
        <is>
          <t>DALARNAS LÄN</t>
        </is>
      </c>
      <c r="G156" t="inlineStr">
        <is>
          <t>FALUN</t>
        </is>
      </c>
      <c r="I156" t="n">
        <v>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3</v>
      </c>
      <c r="U156" t="n">
        <v>0</v>
      </c>
      <c r="V156" s="2" t="inlineStr">
        <is>
          <t>Brun gräsfjäril</t>
        </is>
      </c>
      <c r="W156">
        <f>HYPERLINK("https://klasma.github.io/Logging_2080/artfynd/A 22069-2023 artfynd.xlsx", "A 22069-2023")</f>
        <v/>
      </c>
      <c r="X156">
        <f>HYPERLINK("https://klasma.github.io/Logging_2080/kartor/A 22069-2023 karta.png", "A 22069-2023")</f>
        <v/>
      </c>
      <c r="Y156">
        <f>HYPERLINK("https://klasma.github.io/Logging_2080/kartor_geotiff/A 22069-2023 georefererad karta.tif", "A 22069-2023")</f>
        <v/>
      </c>
      <c r="AA156">
        <f>HYPERLINK("https://klasma.github.io/Logging_2080/klagomål/A 22069-2023 FSC-klagomål.docx", "A 22069-2023")</f>
        <v/>
      </c>
      <c r="AB156">
        <f>HYPERLINK("https://klasma.github.io/Logging_2080/klagomålsmail/A 22069-2023 FSC-klagomål mail.docx", "A 22069-2023")</f>
        <v/>
      </c>
      <c r="AC156">
        <f>HYPERLINK("https://klasma.github.io/Logging_2080/tillsyn/A 22069-2023 tillsynsbegäran.docx", "A 22069-2023")</f>
        <v/>
      </c>
      <c r="AD156">
        <f>HYPERLINK("https://klasma.github.io/Logging_2080/tillsynsmail/A 22069-2023 tillsynsbegäran mail.docx", "A 22069-2023")</f>
        <v/>
      </c>
    </row>
    <row r="157" ht="15" customHeight="1">
      <c r="A157" t="inlineStr">
        <is>
          <t>A 18067-2023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46298</v>
      </c>
      <c r="F157" t="inlineStr">
        <is>
          <t>DALARNAS LÄN</t>
        </is>
      </c>
      <c r="G157" t="inlineStr">
        <is>
          <t>FALUN</t>
        </is>
      </c>
      <c r="I157" t="n">
        <v>7.7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Ögonpyrola</t>
        </is>
      </c>
      <c r="W157">
        <f>HYPERLINK("https://klasma.github.io/Logging_2080/artfynd/A 18067-2023 artfynd.xlsx", "A 18067-2023")</f>
        <v/>
      </c>
      <c r="X157">
        <f>HYPERLINK("https://klasma.github.io/Logging_2080/kartor/A 18067-2023 karta.png", "A 18067-2023")</f>
        <v/>
      </c>
      <c r="Y157">
        <f>HYPERLINK("https://klasma.github.io/Logging_2080/kartor_geotiff/A 18067-2023 georefererad karta.tif", "A 18067-2023")</f>
        <v/>
      </c>
      <c r="AA157">
        <f>HYPERLINK("https://klasma.github.io/Logging_2080/klagomål/A 18067-2023 FSC-klagomål.docx", "A 18067-2023")</f>
        <v/>
      </c>
      <c r="AB157">
        <f>HYPERLINK("https://klasma.github.io/Logging_2080/klagomålsmail/A 18067-2023 FSC-klagomål mail.docx", "A 18067-2023")</f>
        <v/>
      </c>
      <c r="AC157">
        <f>HYPERLINK("https://klasma.github.io/Logging_2080/tillsyn/A 18067-2023 tillsynsbegäran.docx", "A 18067-2023")</f>
        <v/>
      </c>
      <c r="AD157">
        <f>HYPERLINK("https://klasma.github.io/Logging_2080/tillsynsmail/A 18067-2023 tillsynsbegäran mail.docx", "A 18067-2023")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46298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46298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46298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46298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HYPERLINK("https://klasma.github.io/Logging_2080/artfynd/A 1010-2023 artfynd.xlsx", "A 1010-2023")</f>
        <v/>
      </c>
      <c r="X161">
        <f>HYPERLINK("https://klasma.github.io/Logging_2080/kartor/A 1010-2023 karta.png", "A 1010-2023")</f>
        <v/>
      </c>
      <c r="Y161">
        <f>HYPERLINK("https://klasma.github.io/Logging_2080/kartor_geotiff/A 1010-2023 georefererad karta.tif", "A 1010-2023")</f>
        <v/>
      </c>
      <c r="AA161">
        <f>HYPERLINK("https://klasma.github.io/Logging_2080/klagomål/A 1010-2023 FSC-klagomål.docx", "A 1010-2023")</f>
        <v/>
      </c>
      <c r="AB161">
        <f>HYPERLINK("https://klasma.github.io/Logging_2080/klagomålsmail/A 1010-2023 FSC-klagomål mail.docx", "A 1010-2023")</f>
        <v/>
      </c>
      <c r="AC161">
        <f>HYPERLINK("https://klasma.github.io/Logging_2080/tillsyn/A 1010-2023 tillsynsbegäran.docx", "A 1010-2023")</f>
        <v/>
      </c>
      <c r="AD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46298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46298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46298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46298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46298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46298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46298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46298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46298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46298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46298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46298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46298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46298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46298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46298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46298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46298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46298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46298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46298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46298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46298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46298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46298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46298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46298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46298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46298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46298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46298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46298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46298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46298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46298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46298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46298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46298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46298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46298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46298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46298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46298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46298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46298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46298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46298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46298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46298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46298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46298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45634</v>
      </c>
      <c r="E213" s="1" t="n">
        <v>46298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46298</v>
      </c>
      <c r="F214" t="inlineStr">
        <is>
          <t>DALARNAS LÄN</t>
        </is>
      </c>
      <c r="G214" t="inlineStr">
        <is>
          <t>FALUN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46298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46298</v>
      </c>
      <c r="F216" t="inlineStr">
        <is>
          <t>DALARNAS LÄN</t>
        </is>
      </c>
      <c r="G216" t="inlineStr">
        <is>
          <t>FALUN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44755</v>
      </c>
      <c r="E217" s="1" t="n">
        <v>46298</v>
      </c>
      <c r="F217" t="inlineStr">
        <is>
          <t>DALARNAS LÄN</t>
        </is>
      </c>
      <c r="G217" t="inlineStr">
        <is>
          <t>FALUN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46298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46298</v>
      </c>
      <c r="F219" t="inlineStr">
        <is>
          <t>DALARNAS LÄN</t>
        </is>
      </c>
      <c r="G219" t="inlineStr">
        <is>
          <t>FALUN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46298</v>
      </c>
      <c r="F220" t="inlineStr">
        <is>
          <t>DALARNAS LÄN</t>
        </is>
      </c>
      <c r="G220" t="inlineStr">
        <is>
          <t>FALUN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46298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46298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46298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46298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46298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45317</v>
      </c>
      <c r="E226" s="1" t="n">
        <v>46298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46298</v>
      </c>
      <c r="F227" t="inlineStr">
        <is>
          <t>DALARNAS LÄN</t>
        </is>
      </c>
      <c r="G227" t="inlineStr">
        <is>
          <t>FALUN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46298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46298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46298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46298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46298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46298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46298</v>
      </c>
      <c r="F234" t="inlineStr">
        <is>
          <t>DALARNAS LÄN</t>
        </is>
      </c>
      <c r="G234" t="inlineStr">
        <is>
          <t>FALUN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46298</v>
      </c>
      <c r="F235" t="inlineStr">
        <is>
          <t>DALARNAS LÄN</t>
        </is>
      </c>
      <c r="G235" t="inlineStr">
        <is>
          <t>FALUN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46298</v>
      </c>
      <c r="F236" t="inlineStr">
        <is>
          <t>DALARNAS LÄN</t>
        </is>
      </c>
      <c r="G236" t="inlineStr">
        <is>
          <t>FALUN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46298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45670</v>
      </c>
      <c r="E238" s="1" t="n">
        <v>46298</v>
      </c>
      <c r="F238" t="inlineStr">
        <is>
          <t>DALARNAS LÄN</t>
        </is>
      </c>
      <c r="G238" t="inlineStr">
        <is>
          <t>FALUN</t>
        </is>
      </c>
      <c r="I238" t="n">
        <v>13.5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46298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46298</v>
      </c>
      <c r="F240" t="inlineStr">
        <is>
          <t>DALARNAS LÄN</t>
        </is>
      </c>
      <c r="G240" t="inlineStr">
        <is>
          <t>FALUN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46298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46298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46298</v>
      </c>
      <c r="F243" t="inlineStr">
        <is>
          <t>DALARNAS LÄN</t>
        </is>
      </c>
      <c r="G243" t="inlineStr">
        <is>
          <t>FALUN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46298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46298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45389</v>
      </c>
      <c r="E246" s="1" t="n">
        <v>46298</v>
      </c>
      <c r="F246" t="inlineStr">
        <is>
          <t>DALARNAS LÄN</t>
        </is>
      </c>
      <c r="G246" t="inlineStr">
        <is>
          <t>FALUN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46298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46298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46298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46298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46298</v>
      </c>
      <c r="F251" t="inlineStr">
        <is>
          <t>DALARNAS LÄN</t>
        </is>
      </c>
      <c r="G251" t="inlineStr">
        <is>
          <t>FALUN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46298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46298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46298</v>
      </c>
      <c r="F254" t="inlineStr">
        <is>
          <t>DALARNAS LÄN</t>
        </is>
      </c>
      <c r="G254" t="inlineStr">
        <is>
          <t>FALUN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46298</v>
      </c>
      <c r="F255" t="inlineStr">
        <is>
          <t>DALARNAS LÄN</t>
        </is>
      </c>
      <c r="G255" t="inlineStr">
        <is>
          <t>FALUN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46298</v>
      </c>
      <c r="F256" t="inlineStr">
        <is>
          <t>DALARNAS LÄN</t>
        </is>
      </c>
      <c r="G256" t="inlineStr">
        <is>
          <t>FALUN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46298</v>
      </c>
      <c r="F257" t="inlineStr">
        <is>
          <t>DALARNAS LÄN</t>
        </is>
      </c>
      <c r="G257" t="inlineStr">
        <is>
          <t>FALUN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46298</v>
      </c>
      <c r="F258" t="inlineStr">
        <is>
          <t>DALARNAS LÄN</t>
        </is>
      </c>
      <c r="G258" t="inlineStr">
        <is>
          <t>FALUN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46298</v>
      </c>
      <c r="F259" t="inlineStr">
        <is>
          <t>DALARNAS LÄN</t>
        </is>
      </c>
      <c r="G259" t="inlineStr">
        <is>
          <t>FALUN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45535</v>
      </c>
      <c r="E260" s="1" t="n">
        <v>46298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46298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46298</v>
      </c>
      <c r="F262" t="inlineStr">
        <is>
          <t>DALARNAS LÄN</t>
        </is>
      </c>
      <c r="G262" t="inlineStr">
        <is>
          <t>FALUN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46298</v>
      </c>
      <c r="F263" t="inlineStr">
        <is>
          <t>DALARNAS LÄN</t>
        </is>
      </c>
      <c r="G263" t="inlineStr">
        <is>
          <t>FALUN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46298</v>
      </c>
      <c r="F264" t="inlineStr">
        <is>
          <t>DALARNAS LÄN</t>
        </is>
      </c>
      <c r="G264" t="inlineStr">
        <is>
          <t>FALUN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46026</v>
      </c>
      <c r="E265" s="1" t="n">
        <v>46298</v>
      </c>
      <c r="F265" t="inlineStr">
        <is>
          <t>DALARNAS LÄN</t>
        </is>
      </c>
      <c r="G265" t="inlineStr">
        <is>
          <t>FALUN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46298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46024</v>
      </c>
      <c r="E267" s="1" t="n">
        <v>46298</v>
      </c>
      <c r="F267" t="inlineStr">
        <is>
          <t>DALARNAS LÄN</t>
        </is>
      </c>
      <c r="G267" t="inlineStr">
        <is>
          <t>FALUN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46027</v>
      </c>
      <c r="E268" s="1" t="n">
        <v>46298</v>
      </c>
      <c r="F268" t="inlineStr">
        <is>
          <t>DALARNAS LÄN</t>
        </is>
      </c>
      <c r="G268" t="inlineStr">
        <is>
          <t>FALUN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46025</v>
      </c>
      <c r="E269" s="1" t="n">
        <v>46298</v>
      </c>
      <c r="F269" t="inlineStr">
        <is>
          <t>DALARNAS LÄN</t>
        </is>
      </c>
      <c r="G269" t="inlineStr">
        <is>
          <t>FALUN</t>
        </is>
      </c>
      <c r="I269" t="n">
        <v>46.9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46024</v>
      </c>
      <c r="E270" s="1" t="n">
        <v>46298</v>
      </c>
      <c r="F270" t="inlineStr">
        <is>
          <t>DALARNAS LÄN</t>
        </is>
      </c>
      <c r="G270" t="inlineStr">
        <is>
          <t>FALUN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46298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46298</v>
      </c>
      <c r="F272" t="inlineStr">
        <is>
          <t>DALARNAS LÄN</t>
        </is>
      </c>
      <c r="G272" t="inlineStr">
        <is>
          <t>FALUN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46025</v>
      </c>
      <c r="E273" s="1" t="n">
        <v>46298</v>
      </c>
      <c r="F273" t="inlineStr">
        <is>
          <t>DALARNAS LÄN</t>
        </is>
      </c>
      <c r="G273" t="inlineStr">
        <is>
          <t>FALUN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46298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46298</v>
      </c>
      <c r="F275" t="inlineStr">
        <is>
          <t>DALARNAS LÄN</t>
        </is>
      </c>
      <c r="G275" t="inlineStr">
        <is>
          <t>FALUN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46028</v>
      </c>
      <c r="E276" s="1" t="n">
        <v>46298</v>
      </c>
      <c r="F276" t="inlineStr">
        <is>
          <t>DALARNAS LÄN</t>
        </is>
      </c>
      <c r="G276" t="inlineStr">
        <is>
          <t>FALUN</t>
        </is>
      </c>
      <c r="I276" t="n">
        <v>34.8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46028</v>
      </c>
      <c r="E277" s="1" t="n">
        <v>46298</v>
      </c>
      <c r="F277" t="inlineStr">
        <is>
          <t>DALARNAS LÄN</t>
        </is>
      </c>
      <c r="G277" t="inlineStr">
        <is>
          <t>FALUN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46298</v>
      </c>
      <c r="F278" t="inlineStr">
        <is>
          <t>DALARNAS LÄN</t>
        </is>
      </c>
      <c r="G278" t="inlineStr">
        <is>
          <t>FALUN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46298</v>
      </c>
      <c r="F279" t="inlineStr">
        <is>
          <t>DALARNAS LÄN</t>
        </is>
      </c>
      <c r="G279" t="inlineStr">
        <is>
          <t>FALUN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46298</v>
      </c>
      <c r="F280" t="inlineStr">
        <is>
          <t>DALARNAS LÄN</t>
        </is>
      </c>
      <c r="G280" t="inlineStr">
        <is>
          <t>FALUN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46298</v>
      </c>
      <c r="F281" t="inlineStr">
        <is>
          <t>DALARNAS LÄN</t>
        </is>
      </c>
      <c r="G281" t="inlineStr">
        <is>
          <t>FALUN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46298</v>
      </c>
      <c r="F282" t="inlineStr">
        <is>
          <t>DALARNAS LÄN</t>
        </is>
      </c>
      <c r="G282" t="inlineStr">
        <is>
          <t>FALUN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46298</v>
      </c>
      <c r="F283" t="inlineStr">
        <is>
          <t>DALARNAS LÄN</t>
        </is>
      </c>
      <c r="G283" t="inlineStr">
        <is>
          <t>FALUN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46298</v>
      </c>
      <c r="F284" t="inlineStr">
        <is>
          <t>DALARNAS LÄN</t>
        </is>
      </c>
      <c r="G284" t="inlineStr">
        <is>
          <t>FALUN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46298</v>
      </c>
      <c r="F285" t="inlineStr">
        <is>
          <t>DALARNAS LÄN</t>
        </is>
      </c>
      <c r="G285" t="inlineStr">
        <is>
          <t>FALUN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46298</v>
      </c>
      <c r="F286" t="inlineStr">
        <is>
          <t>DALARNAS LÄN</t>
        </is>
      </c>
      <c r="G286" t="inlineStr">
        <is>
          <t>FALUN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46298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46298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28.2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62156-2023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45267</v>
      </c>
      <c r="E289" s="1" t="n">
        <v>46298</v>
      </c>
      <c r="F289" t="inlineStr">
        <is>
          <t>DALARNAS LÄN</t>
        </is>
      </c>
      <c r="G289" t="inlineStr">
        <is>
          <t>FALUN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46298</v>
      </c>
      <c r="F290" t="inlineStr">
        <is>
          <t>DALARNAS LÄN</t>
        </is>
      </c>
      <c r="G290" t="inlineStr">
        <is>
          <t>FALUN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46298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46298</v>
      </c>
      <c r="F292" t="inlineStr">
        <is>
          <t>DALARNAS LÄN</t>
        </is>
      </c>
      <c r="G292" t="inlineStr">
        <is>
          <t>FALUN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46298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46298</v>
      </c>
      <c r="F294" t="inlineStr">
        <is>
          <t>DALARNAS LÄN</t>
        </is>
      </c>
      <c r="G294" t="inlineStr">
        <is>
          <t>FALUN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46298</v>
      </c>
      <c r="F295" t="inlineStr">
        <is>
          <t>DALARNAS LÄN</t>
        </is>
      </c>
      <c r="G295" t="inlineStr">
        <is>
          <t>FALUN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45659</v>
      </c>
      <c r="E296" s="1" t="n">
        <v>46298</v>
      </c>
      <c r="F296" t="inlineStr">
        <is>
          <t>DALARNAS LÄN</t>
        </is>
      </c>
      <c r="G296" t="inlineStr">
        <is>
          <t>FALUN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46298</v>
      </c>
      <c r="F297" t="inlineStr">
        <is>
          <t>DALARNAS LÄN</t>
        </is>
      </c>
      <c r="G297" t="inlineStr">
        <is>
          <t>FALUN</t>
        </is>
      </c>
      <c r="I297" t="n">
        <v>37.9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46298</v>
      </c>
      <c r="F298" t="inlineStr">
        <is>
          <t>DALARNAS LÄN</t>
        </is>
      </c>
      <c r="G298" t="inlineStr">
        <is>
          <t>FALUN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46298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46298</v>
      </c>
      <c r="F300" t="inlineStr">
        <is>
          <t>DALARNAS LÄN</t>
        </is>
      </c>
      <c r="G300" t="inlineStr">
        <is>
          <t>FALUN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46298</v>
      </c>
      <c r="F301" t="inlineStr">
        <is>
          <t>DALARNAS LÄN</t>
        </is>
      </c>
      <c r="G301" t="inlineStr">
        <is>
          <t>FALUN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46298</v>
      </c>
      <c r="F302" t="inlineStr">
        <is>
          <t>DALARNAS LÄN</t>
        </is>
      </c>
      <c r="G302" t="inlineStr">
        <is>
          <t>FALUN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46298</v>
      </c>
      <c r="F303" t="inlineStr">
        <is>
          <t>DALARNAS LÄN</t>
        </is>
      </c>
      <c r="G303" t="inlineStr">
        <is>
          <t>FALUN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46298</v>
      </c>
      <c r="F304" t="inlineStr">
        <is>
          <t>DALARNAS LÄN</t>
        </is>
      </c>
      <c r="G304" t="inlineStr">
        <is>
          <t>FALUN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46298</v>
      </c>
      <c r="F305" t="inlineStr">
        <is>
          <t>DALARNAS LÄN</t>
        </is>
      </c>
      <c r="G305" t="inlineStr">
        <is>
          <t>FALUN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46298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46298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46298</v>
      </c>
      <c r="F308" t="inlineStr">
        <is>
          <t>DALARNAS LÄN</t>
        </is>
      </c>
      <c r="G308" t="inlineStr">
        <is>
          <t>FALUN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46298</v>
      </c>
      <c r="F309" t="inlineStr">
        <is>
          <t>DALARNAS LÄN</t>
        </is>
      </c>
      <c r="G309" t="inlineStr">
        <is>
          <t>FALUN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46298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46032</v>
      </c>
      <c r="E311" s="1" t="n">
        <v>46298</v>
      </c>
      <c r="F311" t="inlineStr">
        <is>
          <t>DALARNAS LÄN</t>
        </is>
      </c>
      <c r="G311" t="inlineStr">
        <is>
          <t>FALUN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35070-2024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45527</v>
      </c>
      <c r="E312" s="1" t="n">
        <v>46298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46298</v>
      </c>
      <c r="F313" t="inlineStr">
        <is>
          <t>DALARNAS LÄN</t>
        </is>
      </c>
      <c r="G313" t="inlineStr">
        <is>
          <t>FALUN</t>
        </is>
      </c>
      <c r="I313" t="n">
        <v>26.7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46032</v>
      </c>
      <c r="E314" s="1" t="n">
        <v>46298</v>
      </c>
      <c r="F314" t="inlineStr">
        <is>
          <t>DALARNAS LÄN</t>
        </is>
      </c>
      <c r="G314" t="inlineStr">
        <is>
          <t>FALUN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46298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46298</v>
      </c>
      <c r="F316" t="inlineStr">
        <is>
          <t>DALARNAS LÄN</t>
        </is>
      </c>
      <c r="G316" t="inlineStr">
        <is>
          <t>FALUN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44658</v>
      </c>
      <c r="E317" s="1" t="n">
        <v>46298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44740</v>
      </c>
      <c r="E318" s="1" t="n">
        <v>46298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46032</v>
      </c>
      <c r="E319" s="1" t="n">
        <v>46298</v>
      </c>
      <c r="F319" t="inlineStr">
        <is>
          <t>DALARNAS LÄN</t>
        </is>
      </c>
      <c r="G319" t="inlineStr">
        <is>
          <t>FALUN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46298</v>
      </c>
      <c r="F320" t="inlineStr">
        <is>
          <t>DALARNAS LÄN</t>
        </is>
      </c>
      <c r="G320" t="inlineStr">
        <is>
          <t>FALUN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46298</v>
      </c>
      <c r="F321" t="inlineStr">
        <is>
          <t>DALARNAS LÄN</t>
        </is>
      </c>
      <c r="G321" t="inlineStr">
        <is>
          <t>FALUN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46298</v>
      </c>
      <c r="F322" t="inlineStr">
        <is>
          <t>DALARNAS LÄN</t>
        </is>
      </c>
      <c r="G322" t="inlineStr">
        <is>
          <t>FALUN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46298</v>
      </c>
      <c r="F323" t="inlineStr">
        <is>
          <t>DALARNAS LÄN</t>
        </is>
      </c>
      <c r="G323" t="inlineStr">
        <is>
          <t>FALUN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46032</v>
      </c>
      <c r="E324" s="1" t="n">
        <v>46298</v>
      </c>
      <c r="F324" t="inlineStr">
        <is>
          <t>DALARNAS LÄN</t>
        </is>
      </c>
      <c r="G324" t="inlineStr">
        <is>
          <t>FALUN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46298</v>
      </c>
      <c r="F325" t="inlineStr">
        <is>
          <t>DALARNAS LÄN</t>
        </is>
      </c>
      <c r="G325" t="inlineStr">
        <is>
          <t>FALUN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46298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  <c r="Z326">
        <f>HYPERLINK("https://klasma.github.io/Logging_2080/knärot/A 1702-2026 karta knärot.png", "A 1702-2026")</f>
        <v/>
      </c>
      <c r="AA326">
        <f>HYPERLINK("https://klasma.github.io/Logging_2080/klagomål/A 1702-2026 FSC-klagomål.docx", "A 1702-2026")</f>
        <v/>
      </c>
      <c r="AB326">
        <f>HYPERLINK("https://klasma.github.io/Logging_2080/klagomålsmail/A 1702-2026 FSC-klagomål mail.docx", "A 1702-2026")</f>
        <v/>
      </c>
      <c r="AC326">
        <f>HYPERLINK("https://klasma.github.io/Logging_2080/tillsyn/A 1702-2026 tillsynsbegäran.docx", "A 1702-2026")</f>
        <v/>
      </c>
      <c r="AD326">
        <f>HYPERLINK("https://klasma.github.io/Logging_2080/tillsynsmail/A 1702-2026 tillsynsbegäran mail.docx", "A 1702-2026")</f>
        <v/>
      </c>
    </row>
    <row r="327" ht="15" customHeight="1">
      <c r="A327" t="inlineStr">
        <is>
          <t>A 2554-2026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46298</v>
      </c>
      <c r="F327" t="inlineStr">
        <is>
          <t>DALARNAS LÄN</t>
        </is>
      </c>
      <c r="G327" t="inlineStr">
        <is>
          <t>FALUN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46298</v>
      </c>
      <c r="F328" t="inlineStr">
        <is>
          <t>DALARNAS LÄN</t>
        </is>
      </c>
      <c r="G328" t="inlineStr">
        <is>
          <t>FALUN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46298</v>
      </c>
      <c r="F329" t="inlineStr">
        <is>
          <t>DALARNAS LÄN</t>
        </is>
      </c>
      <c r="G329" t="inlineStr">
        <is>
          <t>FALUN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46298</v>
      </c>
      <c r="F330" t="inlineStr">
        <is>
          <t>DALARNAS LÄN</t>
        </is>
      </c>
      <c r="G330" t="inlineStr">
        <is>
          <t>FALUN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46298</v>
      </c>
      <c r="F331" t="inlineStr">
        <is>
          <t>DALARNAS LÄN</t>
        </is>
      </c>
      <c r="G331" t="inlineStr">
        <is>
          <t>FALUN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46298</v>
      </c>
      <c r="F332" t="inlineStr">
        <is>
          <t>DALARNAS LÄN</t>
        </is>
      </c>
      <c r="G332" t="inlineStr">
        <is>
          <t>FALUN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46298</v>
      </c>
      <c r="F333" t="inlineStr">
        <is>
          <t>DALARNAS LÄN</t>
        </is>
      </c>
      <c r="G333" t="inlineStr">
        <is>
          <t>FALUN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46298</v>
      </c>
      <c r="F334" t="inlineStr">
        <is>
          <t>DALARNAS LÄN</t>
        </is>
      </c>
      <c r="G334" t="inlineStr">
        <is>
          <t>FALUN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46298</v>
      </c>
      <c r="F335" t="inlineStr">
        <is>
          <t>DALARNAS LÄN</t>
        </is>
      </c>
      <c r="G335" t="inlineStr">
        <is>
          <t>FALUN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46298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45597</v>
      </c>
      <c r="E337" s="1" t="n">
        <v>46298</v>
      </c>
      <c r="F337" t="inlineStr">
        <is>
          <t>DALARNAS LÄN</t>
        </is>
      </c>
      <c r="G337" t="inlineStr">
        <is>
          <t>FALUN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46298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46298</v>
      </c>
      <c r="F339" t="inlineStr">
        <is>
          <t>DALARNAS LÄN</t>
        </is>
      </c>
      <c r="G339" t="inlineStr">
        <is>
          <t>FALUN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46298</v>
      </c>
      <c r="F340" t="inlineStr">
        <is>
          <t>DALARNAS LÄN</t>
        </is>
      </c>
      <c r="G340" t="inlineStr">
        <is>
          <t>FALUN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46298</v>
      </c>
      <c r="F341" t="inlineStr">
        <is>
          <t>DALARNAS LÄN</t>
        </is>
      </c>
      <c r="G341" t="inlineStr">
        <is>
          <t>FALUN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46298</v>
      </c>
      <c r="F342" t="inlineStr">
        <is>
          <t>DALARNAS LÄN</t>
        </is>
      </c>
      <c r="G342" t="inlineStr">
        <is>
          <t>FALUN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46298</v>
      </c>
      <c r="F343" t="inlineStr">
        <is>
          <t>DALARNAS LÄN</t>
        </is>
      </c>
      <c r="G343" t="inlineStr">
        <is>
          <t>FALUN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46298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46298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45793</v>
      </c>
      <c r="E346" s="1" t="n">
        <v>46298</v>
      </c>
      <c r="F346" t="inlineStr">
        <is>
          <t>DALARNAS LÄN</t>
        </is>
      </c>
      <c r="G346" t="inlineStr">
        <is>
          <t>FALUN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46298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46298</v>
      </c>
      <c r="F348" t="inlineStr">
        <is>
          <t>DALARNAS LÄN</t>
        </is>
      </c>
      <c r="G348" t="inlineStr">
        <is>
          <t>FALUN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46298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46298</v>
      </c>
      <c r="F350" t="inlineStr">
        <is>
          <t>DALARNAS LÄN</t>
        </is>
      </c>
      <c r="G350" t="inlineStr">
        <is>
          <t>FALUN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46039</v>
      </c>
      <c r="E351" s="1" t="n">
        <v>46298</v>
      </c>
      <c r="F351" t="inlineStr">
        <is>
          <t>DALARNAS LÄN</t>
        </is>
      </c>
      <c r="G351" t="inlineStr">
        <is>
          <t>FALUN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46298</v>
      </c>
      <c r="F352" t="inlineStr">
        <is>
          <t>DALARNAS LÄN</t>
        </is>
      </c>
      <c r="G352" t="inlineStr">
        <is>
          <t>FALUN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46040</v>
      </c>
      <c r="E353" s="1" t="n">
        <v>46298</v>
      </c>
      <c r="F353" t="inlineStr">
        <is>
          <t>DALARNAS LÄN</t>
        </is>
      </c>
      <c r="G353" t="inlineStr">
        <is>
          <t>FALUN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46040</v>
      </c>
      <c r="E354" s="1" t="n">
        <v>46298</v>
      </c>
      <c r="F354" t="inlineStr">
        <is>
          <t>DALARNAS LÄN</t>
        </is>
      </c>
      <c r="G354" t="inlineStr">
        <is>
          <t>FALUN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46298</v>
      </c>
      <c r="F355" t="inlineStr">
        <is>
          <t>DALARNAS LÄN</t>
        </is>
      </c>
      <c r="G355" t="inlineStr">
        <is>
          <t>FALUN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46298</v>
      </c>
      <c r="F356" t="inlineStr">
        <is>
          <t>DALARNAS LÄN</t>
        </is>
      </c>
      <c r="G356" t="inlineStr">
        <is>
          <t>FALUN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44972</v>
      </c>
      <c r="E357" s="1" t="n">
        <v>46298</v>
      </c>
      <c r="F357" t="inlineStr">
        <is>
          <t>DALARNAS LÄN</t>
        </is>
      </c>
      <c r="G357" t="inlineStr">
        <is>
          <t>FALUN</t>
        </is>
      </c>
      <c r="I357" t="n">
        <v>26.1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46298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24.3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46298</v>
      </c>
      <c r="F359" t="inlineStr">
        <is>
          <t>DALARNAS LÄN</t>
        </is>
      </c>
      <c r="G359" t="inlineStr">
        <is>
          <t>FALUN</t>
        </is>
      </c>
      <c r="I359" t="n">
        <v>17.3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46298</v>
      </c>
      <c r="F360" t="inlineStr">
        <is>
          <t>DALARNAS LÄN</t>
        </is>
      </c>
      <c r="G360" t="inlineStr">
        <is>
          <t>FALUN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46298</v>
      </c>
      <c r="F361" t="inlineStr">
        <is>
          <t>DALARNAS LÄN</t>
        </is>
      </c>
      <c r="G361" t="inlineStr">
        <is>
          <t>FALUN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46298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46298</v>
      </c>
      <c r="F363" t="inlineStr">
        <is>
          <t>DALARNAS LÄN</t>
        </is>
      </c>
      <c r="G363" t="inlineStr">
        <is>
          <t>FALUN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46298</v>
      </c>
      <c r="F364" t="inlineStr">
        <is>
          <t>DALARNAS LÄN</t>
        </is>
      </c>
      <c r="G364" t="inlineStr">
        <is>
          <t>FALUN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46298</v>
      </c>
      <c r="F365" t="inlineStr">
        <is>
          <t>DALARNAS LÄN</t>
        </is>
      </c>
      <c r="G365" t="inlineStr">
        <is>
          <t>FALUN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46298</v>
      </c>
      <c r="F366" t="inlineStr">
        <is>
          <t>DALARNAS LÄN</t>
        </is>
      </c>
      <c r="G366" t="inlineStr">
        <is>
          <t>FALUN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46298</v>
      </c>
      <c r="F367" t="inlineStr">
        <is>
          <t>DALARNAS LÄN</t>
        </is>
      </c>
      <c r="G367" t="inlineStr">
        <is>
          <t>FALUN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46298</v>
      </c>
      <c r="F368" t="inlineStr">
        <is>
          <t>DALARNAS LÄN</t>
        </is>
      </c>
      <c r="G368" t="inlineStr">
        <is>
          <t>FALUN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46298</v>
      </c>
      <c r="F369" t="inlineStr">
        <is>
          <t>DALARNAS LÄN</t>
        </is>
      </c>
      <c r="G369" t="inlineStr">
        <is>
          <t>FALUN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46298</v>
      </c>
      <c r="F370" t="inlineStr">
        <is>
          <t>DALARNAS LÄN</t>
        </is>
      </c>
      <c r="G370" t="inlineStr">
        <is>
          <t>FALUN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46298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46298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46298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46298</v>
      </c>
      <c r="F374" t="inlineStr">
        <is>
          <t>DALARNAS LÄN</t>
        </is>
      </c>
      <c r="G374" t="inlineStr">
        <is>
          <t>FALUN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46298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46298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46298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46298</v>
      </c>
      <c r="F378" t="inlineStr">
        <is>
          <t>DALARNAS LÄN</t>
        </is>
      </c>
      <c r="G378" t="inlineStr">
        <is>
          <t>FALUN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46298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46298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46298</v>
      </c>
      <c r="F381" t="inlineStr">
        <is>
          <t>DALARNAS LÄN</t>
        </is>
      </c>
      <c r="G381" t="inlineStr">
        <is>
          <t>FALUN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45156</v>
      </c>
      <c r="E382" s="1" t="n">
        <v>46298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44833</v>
      </c>
      <c r="E383" s="1" t="n">
        <v>46298</v>
      </c>
      <c r="F383" t="inlineStr">
        <is>
          <t>DALARNAS LÄN</t>
        </is>
      </c>
      <c r="G383" t="inlineStr">
        <is>
          <t>FALUN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46298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46298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46298</v>
      </c>
      <c r="F386" t="inlineStr">
        <is>
          <t>DALARNAS LÄN</t>
        </is>
      </c>
      <c r="G386" t="inlineStr">
        <is>
          <t>FALUN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46298</v>
      </c>
      <c r="F387" t="inlineStr">
        <is>
          <t>DALARNAS LÄN</t>
        </is>
      </c>
      <c r="G387" t="inlineStr">
        <is>
          <t>FALUN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46298</v>
      </c>
      <c r="F388" t="inlineStr">
        <is>
          <t>DALARNAS LÄN</t>
        </is>
      </c>
      <c r="G388" t="inlineStr">
        <is>
          <t>FALUN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43257-2025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45910</v>
      </c>
      <c r="E389" s="1" t="n">
        <v>46298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43202-2025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45910</v>
      </c>
      <c r="E390" s="1" t="n">
        <v>46298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46298</v>
      </c>
      <c r="F391" t="inlineStr">
        <is>
          <t>DALARNAS LÄN</t>
        </is>
      </c>
      <c r="G391" t="inlineStr">
        <is>
          <t>FALUN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46298</v>
      </c>
      <c r="F392" t="inlineStr">
        <is>
          <t>DALARNAS LÄN</t>
        </is>
      </c>
      <c r="G392" t="inlineStr">
        <is>
          <t>FALUN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46298</v>
      </c>
      <c r="F393" t="inlineStr">
        <is>
          <t>DALARNAS LÄN</t>
        </is>
      </c>
      <c r="G393" t="inlineStr">
        <is>
          <t>FALUN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46031</v>
      </c>
      <c r="E394" s="1" t="n">
        <v>46298</v>
      </c>
      <c r="F394" t="inlineStr">
        <is>
          <t>DALARNAS LÄN</t>
        </is>
      </c>
      <c r="G394" t="inlineStr">
        <is>
          <t>FALUN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46298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46298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58623-2024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45635</v>
      </c>
      <c r="E397" s="1" t="n">
        <v>46298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46298</v>
      </c>
      <c r="F398" t="inlineStr">
        <is>
          <t>DALARNAS LÄN</t>
        </is>
      </c>
      <c r="G398" t="inlineStr">
        <is>
          <t>FALUN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69306-2021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46298</v>
      </c>
      <c r="F399" t="inlineStr">
        <is>
          <t>DALARNAS LÄN</t>
        </is>
      </c>
      <c r="G399" t="inlineStr">
        <is>
          <t>FALUN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46005</v>
      </c>
      <c r="E400" s="1" t="n">
        <v>46298</v>
      </c>
      <c r="F400" t="inlineStr">
        <is>
          <t>DALARNAS LÄN</t>
        </is>
      </c>
      <c r="G400" t="inlineStr">
        <is>
          <t>FALUN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46298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46298</v>
      </c>
      <c r="F402" t="inlineStr">
        <is>
          <t>DALARNAS LÄN</t>
        </is>
      </c>
      <c r="G402" t="inlineStr">
        <is>
          <t>FALUN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46298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46298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46298</v>
      </c>
      <c r="F405" t="inlineStr">
        <is>
          <t>DALARNAS LÄN</t>
        </is>
      </c>
      <c r="G405" t="inlineStr">
        <is>
          <t>FALUN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46298</v>
      </c>
      <c r="F406" t="inlineStr">
        <is>
          <t>DALARNAS LÄN</t>
        </is>
      </c>
      <c r="G406" t="inlineStr">
        <is>
          <t>FALUN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46025</v>
      </c>
      <c r="E407" s="1" t="n">
        <v>46298</v>
      </c>
      <c r="F407" t="inlineStr">
        <is>
          <t>DALARNAS LÄN</t>
        </is>
      </c>
      <c r="G407" t="inlineStr">
        <is>
          <t>FALUN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46298</v>
      </c>
      <c r="F408" t="inlineStr">
        <is>
          <t>DALARNAS LÄN</t>
        </is>
      </c>
      <c r="G408" t="inlineStr">
        <is>
          <t>FALUN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46298</v>
      </c>
      <c r="F409" t="inlineStr">
        <is>
          <t>DALARNAS LÄN</t>
        </is>
      </c>
      <c r="G409" t="inlineStr">
        <is>
          <t>FALUN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46298</v>
      </c>
      <c r="F410" t="inlineStr">
        <is>
          <t>DALARNAS LÄN</t>
        </is>
      </c>
      <c r="G410" t="inlineStr">
        <is>
          <t>FALUN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46298</v>
      </c>
      <c r="F411" t="inlineStr">
        <is>
          <t>DALARNAS LÄN</t>
        </is>
      </c>
      <c r="G411" t="inlineStr">
        <is>
          <t>FALUN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46298</v>
      </c>
      <c r="F412" t="inlineStr">
        <is>
          <t>DALARNAS LÄN</t>
        </is>
      </c>
      <c r="G412" t="inlineStr">
        <is>
          <t>FALUN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46049</v>
      </c>
      <c r="E413" s="1" t="n">
        <v>46298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46298</v>
      </c>
      <c r="F414" t="inlineStr">
        <is>
          <t>DALARNAS LÄN</t>
        </is>
      </c>
      <c r="G414" t="inlineStr">
        <is>
          <t>FALUN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46298</v>
      </c>
      <c r="F415" t="inlineStr">
        <is>
          <t>DALARNAS LÄN</t>
        </is>
      </c>
      <c r="G415" t="inlineStr">
        <is>
          <t>FALUN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46298</v>
      </c>
      <c r="F416" t="inlineStr">
        <is>
          <t>DALARNAS LÄN</t>
        </is>
      </c>
      <c r="G416" t="inlineStr">
        <is>
          <t>FALUN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46298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46298</v>
      </c>
      <c r="F418" t="inlineStr">
        <is>
          <t>DALARNAS LÄN</t>
        </is>
      </c>
      <c r="G418" t="inlineStr">
        <is>
          <t>FALUN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45652</v>
      </c>
      <c r="E419" s="1" t="n">
        <v>46298</v>
      </c>
      <c r="F419" t="inlineStr">
        <is>
          <t>DALARNAS LÄN</t>
        </is>
      </c>
      <c r="G419" t="inlineStr">
        <is>
          <t>FALUN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46298</v>
      </c>
      <c r="F420" t="inlineStr">
        <is>
          <t>DALARNAS LÄN</t>
        </is>
      </c>
      <c r="G420" t="inlineStr">
        <is>
          <t>FALUN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46298</v>
      </c>
      <c r="F421" t="inlineStr">
        <is>
          <t>DALARNAS LÄN</t>
        </is>
      </c>
      <c r="G421" t="inlineStr">
        <is>
          <t>FALUN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46298</v>
      </c>
      <c r="F422" t="inlineStr">
        <is>
          <t>DALARNAS LÄN</t>
        </is>
      </c>
      <c r="G422" t="inlineStr">
        <is>
          <t>FALUN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46298</v>
      </c>
      <c r="F423" t="inlineStr">
        <is>
          <t>DALARNAS LÄN</t>
        </is>
      </c>
      <c r="G423" t="inlineStr">
        <is>
          <t>FALUN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46298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46298</v>
      </c>
      <c r="F425" t="inlineStr">
        <is>
          <t>DALARNAS LÄN</t>
        </is>
      </c>
      <c r="G425" t="inlineStr">
        <is>
          <t>FALUN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46298</v>
      </c>
      <c r="F426" t="inlineStr">
        <is>
          <t>DALARNAS LÄN</t>
        </is>
      </c>
      <c r="G426" t="inlineStr">
        <is>
          <t>FALUN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45400</v>
      </c>
      <c r="E427" s="1" t="n">
        <v>46298</v>
      </c>
      <c r="F427" t="inlineStr">
        <is>
          <t>DALARNAS LÄN</t>
        </is>
      </c>
      <c r="G427" t="inlineStr">
        <is>
          <t>FALUN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46298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46046</v>
      </c>
      <c r="E429" s="1" t="n">
        <v>46298</v>
      </c>
      <c r="F429" t="inlineStr">
        <is>
          <t>DALARNAS LÄN</t>
        </is>
      </c>
      <c r="G429" t="inlineStr">
        <is>
          <t>FALUN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45435</v>
      </c>
      <c r="E430" s="1" t="n">
        <v>46298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46298</v>
      </c>
      <c r="F431" t="inlineStr">
        <is>
          <t>DALARNAS LÄN</t>
        </is>
      </c>
      <c r="G431" t="inlineStr">
        <is>
          <t>FALUN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46298</v>
      </c>
      <c r="F432" t="inlineStr">
        <is>
          <t>DALARNAS LÄN</t>
        </is>
      </c>
      <c r="G432" t="inlineStr">
        <is>
          <t>FALUN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46298</v>
      </c>
      <c r="F433" t="inlineStr">
        <is>
          <t>DALARNAS LÄN</t>
        </is>
      </c>
      <c r="G433" t="inlineStr">
        <is>
          <t>FALUN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46298</v>
      </c>
      <c r="F434" t="inlineStr">
        <is>
          <t>DALARNAS LÄN</t>
        </is>
      </c>
      <c r="G434" t="inlineStr">
        <is>
          <t>FALUN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42060-2024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45561</v>
      </c>
      <c r="E435" s="1" t="n">
        <v>46298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46298</v>
      </c>
      <c r="F436" t="inlineStr">
        <is>
          <t>DALARNAS LÄN</t>
        </is>
      </c>
      <c r="G436" t="inlineStr">
        <is>
          <t>FALUN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45314</v>
      </c>
      <c r="E437" s="1" t="n">
        <v>46298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46298</v>
      </c>
      <c r="F438" t="inlineStr">
        <is>
          <t>DALARNAS LÄN</t>
        </is>
      </c>
      <c r="G438" t="inlineStr">
        <is>
          <t>FALUN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45918</v>
      </c>
      <c r="E439" s="1" t="n">
        <v>46298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23.6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46051</v>
      </c>
      <c r="E440" s="1" t="n">
        <v>46298</v>
      </c>
      <c r="F440" t="inlineStr">
        <is>
          <t>DALARNAS LÄN</t>
        </is>
      </c>
      <c r="G440" t="inlineStr">
        <is>
          <t>FALUN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10940-2025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45723</v>
      </c>
      <c r="E441" s="1" t="n">
        <v>46298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46298</v>
      </c>
      <c r="F442" t="inlineStr">
        <is>
          <t>DALARNAS LÄN</t>
        </is>
      </c>
      <c r="G442" t="inlineStr">
        <is>
          <t>FALUN</t>
        </is>
      </c>
      <c r="I442" t="n">
        <v>20.2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46298</v>
      </c>
      <c r="F443" t="inlineStr">
        <is>
          <t>DALARNAS LÄN</t>
        </is>
      </c>
      <c r="G443" t="inlineStr">
        <is>
          <t>FALUN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46298</v>
      </c>
      <c r="F444" t="inlineStr">
        <is>
          <t>DALARNAS LÄN</t>
        </is>
      </c>
      <c r="G444" t="inlineStr">
        <is>
          <t>FALUN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46298</v>
      </c>
      <c r="F445" t="inlineStr">
        <is>
          <t>DALARNAS LÄN</t>
        </is>
      </c>
      <c r="G445" t="inlineStr">
        <is>
          <t>FALUN</t>
        </is>
      </c>
      <c r="H445" t="inlineStr">
        <is>
          <t>Kommuner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46298</v>
      </c>
      <c r="F446" t="inlineStr">
        <is>
          <t>DALARNAS LÄN</t>
        </is>
      </c>
      <c r="G446" t="inlineStr">
        <is>
          <t>FALUN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46051</v>
      </c>
      <c r="E447" s="1" t="n">
        <v>46298</v>
      </c>
      <c r="F447" t="inlineStr">
        <is>
          <t>DALARNAS LÄN</t>
        </is>
      </c>
      <c r="G447" t="inlineStr">
        <is>
          <t>FALUN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46298</v>
      </c>
      <c r="F448" t="inlineStr">
        <is>
          <t>DALARNAS LÄN</t>
        </is>
      </c>
      <c r="G448" t="inlineStr">
        <is>
          <t>FALUN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46298</v>
      </c>
      <c r="F449" t="inlineStr">
        <is>
          <t>DALARNAS LÄN</t>
        </is>
      </c>
      <c r="G449" t="inlineStr">
        <is>
          <t>FALUN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46298</v>
      </c>
      <c r="F450" t="inlineStr">
        <is>
          <t>DALARNAS LÄN</t>
        </is>
      </c>
      <c r="G450" t="inlineStr">
        <is>
          <t>FALUN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45584-2025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45922</v>
      </c>
      <c r="E451" s="1" t="n">
        <v>46298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2906-2022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44581</v>
      </c>
      <c r="E452" s="1" t="n">
        <v>46298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46298</v>
      </c>
      <c r="F453" t="inlineStr">
        <is>
          <t>DALARNAS LÄN</t>
        </is>
      </c>
      <c r="G453" t="inlineStr">
        <is>
          <t>FALUN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46298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46298</v>
      </c>
      <c r="F455" t="inlineStr">
        <is>
          <t>DALARNAS LÄN</t>
        </is>
      </c>
      <c r="G455" t="inlineStr">
        <is>
          <t>FALUN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46298</v>
      </c>
      <c r="F456" t="inlineStr">
        <is>
          <t>DALARNAS LÄN</t>
        </is>
      </c>
      <c r="G456" t="inlineStr">
        <is>
          <t>FALUN</t>
        </is>
      </c>
      <c r="I456" t="n">
        <v>18.9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46298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46298</v>
      </c>
      <c r="F458" t="inlineStr">
        <is>
          <t>DALARNAS LÄN</t>
        </is>
      </c>
      <c r="G458" t="inlineStr">
        <is>
          <t>FALUN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46298</v>
      </c>
      <c r="F459" t="inlineStr">
        <is>
          <t>DALARNAS LÄN</t>
        </is>
      </c>
      <c r="G459" t="inlineStr">
        <is>
          <t>FALUN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46298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46298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46298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45306</v>
      </c>
      <c r="E463" s="1" t="n">
        <v>46298</v>
      </c>
      <c r="F463" t="inlineStr">
        <is>
          <t>DALARNAS LÄN</t>
        </is>
      </c>
      <c r="G463" t="inlineStr">
        <is>
          <t>FALUN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46298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46298</v>
      </c>
      <c r="F465" t="inlineStr">
        <is>
          <t>DALARNAS LÄN</t>
        </is>
      </c>
      <c r="G465" t="inlineStr">
        <is>
          <t>FALUN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46298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46298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46298</v>
      </c>
      <c r="F468" t="inlineStr">
        <is>
          <t>DALARNAS LÄN</t>
        </is>
      </c>
      <c r="G468" t="inlineStr">
        <is>
          <t>FALUN</t>
        </is>
      </c>
      <c r="H468" t="inlineStr">
        <is>
          <t>Allmännings- och besparingsskogar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46298</v>
      </c>
      <c r="F469" t="inlineStr">
        <is>
          <t>DALARNAS LÄN</t>
        </is>
      </c>
      <c r="G469" t="inlineStr">
        <is>
          <t>FALUN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46298</v>
      </c>
      <c r="F470" t="inlineStr">
        <is>
          <t>DALARNAS LÄN</t>
        </is>
      </c>
      <c r="G470" t="inlineStr">
        <is>
          <t>FALUN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35941-2023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45148</v>
      </c>
      <c r="E471" s="1" t="n">
        <v>46298</v>
      </c>
      <c r="F471" t="inlineStr">
        <is>
          <t>DALARNAS LÄN</t>
        </is>
      </c>
      <c r="G471" t="inlineStr">
        <is>
          <t>FALUN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46298</v>
      </c>
      <c r="F472" t="inlineStr">
        <is>
          <t>DALARNAS LÄN</t>
        </is>
      </c>
      <c r="G472" t="inlineStr">
        <is>
          <t>FALUN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46298</v>
      </c>
      <c r="F473" t="inlineStr">
        <is>
          <t>DALARNAS LÄN</t>
        </is>
      </c>
      <c r="G473" t="inlineStr">
        <is>
          <t>FALUN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46055</v>
      </c>
      <c r="E474" s="1" t="n">
        <v>46298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46298</v>
      </c>
      <c r="F475" t="inlineStr">
        <is>
          <t>DALARNAS LÄN</t>
        </is>
      </c>
      <c r="G475" t="inlineStr">
        <is>
          <t>FALUN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46298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46298</v>
      </c>
      <c r="F477" t="inlineStr">
        <is>
          <t>DALARNAS LÄN</t>
        </is>
      </c>
      <c r="G477" t="inlineStr">
        <is>
          <t>FALUN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46298</v>
      </c>
      <c r="F478" t="inlineStr">
        <is>
          <t>DALARNAS LÄN</t>
        </is>
      </c>
      <c r="G478" t="inlineStr">
        <is>
          <t>FALUN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46298</v>
      </c>
      <c r="F479" t="inlineStr">
        <is>
          <t>DALARNAS LÄN</t>
        </is>
      </c>
      <c r="G479" t="inlineStr">
        <is>
          <t>FALUN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46298</v>
      </c>
      <c r="F480" t="inlineStr">
        <is>
          <t>DALARNAS LÄN</t>
        </is>
      </c>
      <c r="G480" t="inlineStr">
        <is>
          <t>FALUN</t>
        </is>
      </c>
      <c r="I480" t="n">
        <v>17.2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45155</v>
      </c>
      <c r="E481" s="1" t="n">
        <v>46298</v>
      </c>
      <c r="F481" t="inlineStr">
        <is>
          <t>DALARNAS LÄN</t>
        </is>
      </c>
      <c r="G481" t="inlineStr">
        <is>
          <t>FALUN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46298</v>
      </c>
      <c r="F482" t="inlineStr">
        <is>
          <t>DALARNAS LÄN</t>
        </is>
      </c>
      <c r="G482" t="inlineStr">
        <is>
          <t>FALUN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46298</v>
      </c>
      <c r="F483" t="inlineStr">
        <is>
          <t>DALARNAS LÄN</t>
        </is>
      </c>
      <c r="G483" t="inlineStr">
        <is>
          <t>FALUN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45519</v>
      </c>
      <c r="E484" s="1" t="n">
        <v>46298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46298</v>
      </c>
      <c r="F485" t="inlineStr">
        <is>
          <t>DALARNAS LÄN</t>
        </is>
      </c>
      <c r="G485" t="inlineStr">
        <is>
          <t>FALUN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46298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46298</v>
      </c>
      <c r="F487" t="inlineStr">
        <is>
          <t>DALARNAS LÄN</t>
        </is>
      </c>
      <c r="G487" t="inlineStr">
        <is>
          <t>FALUN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46298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46298</v>
      </c>
      <c r="F489" t="inlineStr">
        <is>
          <t>DALARNAS LÄN</t>
        </is>
      </c>
      <c r="G489" t="inlineStr">
        <is>
          <t>FALUN</t>
        </is>
      </c>
      <c r="I489" t="n">
        <v>12.3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46298</v>
      </c>
      <c r="F490" t="inlineStr">
        <is>
          <t>DALARNAS LÄN</t>
        </is>
      </c>
      <c r="G490" t="inlineStr">
        <is>
          <t>FALUN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45203</v>
      </c>
      <c r="E491" s="1" t="n">
        <v>46298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46298</v>
      </c>
      <c r="F492" t="inlineStr">
        <is>
          <t>DALARNAS LÄN</t>
        </is>
      </c>
      <c r="G492" t="inlineStr">
        <is>
          <t>FALUN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42954-2023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46298</v>
      </c>
      <c r="F493" t="inlineStr">
        <is>
          <t>DALARNAS LÄN</t>
        </is>
      </c>
      <c r="G493" t="inlineStr">
        <is>
          <t>FALUN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46298</v>
      </c>
      <c r="F494" t="inlineStr">
        <is>
          <t>DALARNAS LÄN</t>
        </is>
      </c>
      <c r="G494" t="inlineStr">
        <is>
          <t>FALUN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46298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46298</v>
      </c>
      <c r="F496" t="inlineStr">
        <is>
          <t>DALARNAS LÄN</t>
        </is>
      </c>
      <c r="G496" t="inlineStr">
        <is>
          <t>FALUN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46298</v>
      </c>
      <c r="F497" t="inlineStr">
        <is>
          <t>DALARNAS LÄN</t>
        </is>
      </c>
      <c r="G497" t="inlineStr">
        <is>
          <t>FALUN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46298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46298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46298</v>
      </c>
      <c r="F500" t="inlineStr">
        <is>
          <t>DALARNAS LÄN</t>
        </is>
      </c>
      <c r="G500" t="inlineStr">
        <is>
          <t>FALUN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45667</v>
      </c>
      <c r="E501" s="1" t="n">
        <v>46298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46298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46298</v>
      </c>
      <c r="F503" t="inlineStr">
        <is>
          <t>DALARNAS LÄN</t>
        </is>
      </c>
      <c r="G503" t="inlineStr">
        <is>
          <t>FALUN</t>
        </is>
      </c>
      <c r="I503" t="n">
        <v>11.1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46298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46298</v>
      </c>
      <c r="F505" t="inlineStr">
        <is>
          <t>DALARNAS LÄN</t>
        </is>
      </c>
      <c r="G505" t="inlineStr">
        <is>
          <t>FALUN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46298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46298</v>
      </c>
      <c r="F507" t="inlineStr">
        <is>
          <t>DALARNAS LÄN</t>
        </is>
      </c>
      <c r="G507" t="inlineStr">
        <is>
          <t>FALUN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45932</v>
      </c>
      <c r="E508" s="1" t="n">
        <v>46298</v>
      </c>
      <c r="F508" t="inlineStr">
        <is>
          <t>DALARNAS LÄN</t>
        </is>
      </c>
      <c r="G508" t="inlineStr">
        <is>
          <t>FALUN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46298</v>
      </c>
      <c r="F509" t="inlineStr">
        <is>
          <t>DALARNAS LÄN</t>
        </is>
      </c>
      <c r="G509" t="inlineStr">
        <is>
          <t>FALUN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44819</v>
      </c>
      <c r="E510" s="1" t="n">
        <v>46298</v>
      </c>
      <c r="F510" t="inlineStr">
        <is>
          <t>DALARNAS LÄN</t>
        </is>
      </c>
      <c r="G510" t="inlineStr">
        <is>
          <t>FALUN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46298</v>
      </c>
      <c r="F511" t="inlineStr">
        <is>
          <t>DALARNAS LÄN</t>
        </is>
      </c>
      <c r="G511" t="inlineStr">
        <is>
          <t>FALUN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9128-2026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46298</v>
      </c>
      <c r="F512" t="inlineStr">
        <is>
          <t>DALARNAS LÄN</t>
        </is>
      </c>
      <c r="G512" t="inlineStr">
        <is>
          <t>FALUN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46298</v>
      </c>
      <c r="F513" t="inlineStr">
        <is>
          <t>DALARNAS LÄN</t>
        </is>
      </c>
      <c r="G513" t="inlineStr">
        <is>
          <t>FALUN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46298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46298</v>
      </c>
      <c r="F515" t="inlineStr">
        <is>
          <t>DALARNAS LÄN</t>
        </is>
      </c>
      <c r="G515" t="inlineStr">
        <is>
          <t>FALUN</t>
        </is>
      </c>
      <c r="H515" t="inlineStr">
        <is>
          <t>Kyrkan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46298</v>
      </c>
      <c r="F516" t="inlineStr">
        <is>
          <t>DALARNAS LÄN</t>
        </is>
      </c>
      <c r="G516" t="inlineStr">
        <is>
          <t>FALUN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44901</v>
      </c>
      <c r="E517" s="1" t="n">
        <v>46298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45810</v>
      </c>
      <c r="E518" s="1" t="n">
        <v>46298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46298</v>
      </c>
      <c r="F519" t="inlineStr">
        <is>
          <t>DALARNAS LÄN</t>
        </is>
      </c>
      <c r="G519" t="inlineStr">
        <is>
          <t>FALUN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46068</v>
      </c>
      <c r="E520" s="1" t="n">
        <v>46298</v>
      </c>
      <c r="F520" t="inlineStr">
        <is>
          <t>DALARNAS LÄN</t>
        </is>
      </c>
      <c r="G520" t="inlineStr">
        <is>
          <t>FALUN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45937</v>
      </c>
      <c r="E521" s="1" t="n">
        <v>46298</v>
      </c>
      <c r="F521" t="inlineStr">
        <is>
          <t>DALARNAS LÄN</t>
        </is>
      </c>
      <c r="G521" t="inlineStr">
        <is>
          <t>FALUN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46298</v>
      </c>
      <c r="F522" t="inlineStr">
        <is>
          <t>DALARNAS LÄN</t>
        </is>
      </c>
      <c r="G522" t="inlineStr">
        <is>
          <t>FALUN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45541</v>
      </c>
      <c r="E523" s="1" t="n">
        <v>46298</v>
      </c>
      <c r="F523" t="inlineStr">
        <is>
          <t>DALARNAS LÄN</t>
        </is>
      </c>
      <c r="G523" t="inlineStr">
        <is>
          <t>FALUN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46298</v>
      </c>
      <c r="F524" t="inlineStr">
        <is>
          <t>DALARNAS LÄN</t>
        </is>
      </c>
      <c r="G524" t="inlineStr">
        <is>
          <t>FALUN</t>
        </is>
      </c>
      <c r="I524" t="n">
        <v>11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46298</v>
      </c>
      <c r="F525" t="inlineStr">
        <is>
          <t>DALARNAS LÄN</t>
        </is>
      </c>
      <c r="G525" t="inlineStr">
        <is>
          <t>FALUN</t>
        </is>
      </c>
      <c r="H525" t="inlineStr">
        <is>
          <t>Allmännings- och besparingsskogar</t>
        </is>
      </c>
      <c r="I525" t="n">
        <v>17.5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46298</v>
      </c>
      <c r="F526" t="inlineStr">
        <is>
          <t>DALARNAS LÄN</t>
        </is>
      </c>
      <c r="G526" t="inlineStr">
        <is>
          <t>FALUN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45937</v>
      </c>
      <c r="E527" s="1" t="n">
        <v>46298</v>
      </c>
      <c r="F527" t="inlineStr">
        <is>
          <t>DALARNAS LÄN</t>
        </is>
      </c>
      <c r="G527" t="inlineStr">
        <is>
          <t>FALUN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49150-2025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46298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9429-2026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46298</v>
      </c>
      <c r="F529" t="inlineStr">
        <is>
          <t>DALARNAS LÄN</t>
        </is>
      </c>
      <c r="G529" t="inlineStr">
        <is>
          <t>FALUN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44655</v>
      </c>
      <c r="E530" s="1" t="n">
        <v>46298</v>
      </c>
      <c r="F530" t="inlineStr">
        <is>
          <t>DALARNAS LÄN</t>
        </is>
      </c>
      <c r="G530" t="inlineStr">
        <is>
          <t>FALUN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52026-2023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45223</v>
      </c>
      <c r="E531" s="1" t="n">
        <v>46298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46298</v>
      </c>
      <c r="F532" t="inlineStr">
        <is>
          <t>DALARNAS LÄN</t>
        </is>
      </c>
      <c r="G532" t="inlineStr">
        <is>
          <t>FALUN</t>
        </is>
      </c>
      <c r="H532" t="inlineStr">
        <is>
          <t>Kyrkan</t>
        </is>
      </c>
      <c r="I532" t="n">
        <v>18.5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46298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9.800000000000001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46298</v>
      </c>
      <c r="F534" t="inlineStr">
        <is>
          <t>DALARNAS LÄN</t>
        </is>
      </c>
      <c r="G534" t="inlineStr">
        <is>
          <t>FALUN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46298</v>
      </c>
      <c r="F535" t="inlineStr">
        <is>
          <t>DALARNAS LÄN</t>
        </is>
      </c>
      <c r="G535" t="inlineStr">
        <is>
          <t>FALUN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46298</v>
      </c>
      <c r="F536" t="inlineStr">
        <is>
          <t>DALARNAS LÄN</t>
        </is>
      </c>
      <c r="G536" t="inlineStr">
        <is>
          <t>FALUN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46298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46298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46298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46298</v>
      </c>
      <c r="F540" t="inlineStr">
        <is>
          <t>DALARNAS LÄN</t>
        </is>
      </c>
      <c r="G540" t="inlineStr">
        <is>
          <t>FALUN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15121-2025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45744</v>
      </c>
      <c r="E541" s="1" t="n">
        <v>46298</v>
      </c>
      <c r="F541" t="inlineStr">
        <is>
          <t>DALARNAS LÄN</t>
        </is>
      </c>
      <c r="G541" t="inlineStr">
        <is>
          <t>FALUN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45940</v>
      </c>
      <c r="E542" s="1" t="n">
        <v>46298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45940</v>
      </c>
      <c r="E543" s="1" t="n">
        <v>46298</v>
      </c>
      <c r="F543" t="inlineStr">
        <is>
          <t>DALARNAS LÄN</t>
        </is>
      </c>
      <c r="G543" t="inlineStr">
        <is>
          <t>FALUN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46298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46298</v>
      </c>
      <c r="F545" t="inlineStr">
        <is>
          <t>DALARNAS LÄN</t>
        </is>
      </c>
      <c r="G545" t="inlineStr">
        <is>
          <t>FALUN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46298</v>
      </c>
      <c r="F546" t="inlineStr">
        <is>
          <t>DALARNAS LÄN</t>
        </is>
      </c>
      <c r="G546" t="inlineStr">
        <is>
          <t>FALUN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15207-2025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45744</v>
      </c>
      <c r="E547" s="1" t="n">
        <v>46298</v>
      </c>
      <c r="F547" t="inlineStr">
        <is>
          <t>DALARNAS LÄN</t>
        </is>
      </c>
      <c r="G547" t="inlineStr">
        <is>
          <t>FALUN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45940</v>
      </c>
      <c r="E548" s="1" t="n">
        <v>46298</v>
      </c>
      <c r="F548" t="inlineStr">
        <is>
          <t>DALARNAS LÄN</t>
        </is>
      </c>
      <c r="G548" t="inlineStr">
        <is>
          <t>FALUN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45945</v>
      </c>
      <c r="E549" s="1" t="n">
        <v>46298</v>
      </c>
      <c r="F549" t="inlineStr">
        <is>
          <t>DALARNAS LÄN</t>
        </is>
      </c>
      <c r="G549" t="inlineStr">
        <is>
          <t>FALUN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46298</v>
      </c>
      <c r="F550" t="inlineStr">
        <is>
          <t>DALARNAS LÄN</t>
        </is>
      </c>
      <c r="G550" t="inlineStr">
        <is>
          <t>FALUN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46298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46298</v>
      </c>
      <c r="F552" t="inlineStr">
        <is>
          <t>DALARNAS LÄN</t>
        </is>
      </c>
      <c r="G552" t="inlineStr">
        <is>
          <t>FALUN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46298</v>
      </c>
      <c r="F553" t="inlineStr">
        <is>
          <t>DALARNAS LÄN</t>
        </is>
      </c>
      <c r="G553" t="inlineStr">
        <is>
          <t>FALUN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46077</v>
      </c>
      <c r="E554" s="1" t="n">
        <v>46298</v>
      </c>
      <c r="F554" t="inlineStr">
        <is>
          <t>DALARNAS LÄN</t>
        </is>
      </c>
      <c r="G554" t="inlineStr">
        <is>
          <t>FALUN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46298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46298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45671</v>
      </c>
      <c r="E557" s="1" t="n">
        <v>46298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46298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45454</v>
      </c>
      <c r="E559" s="1" t="n">
        <v>46298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18463-2022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44686</v>
      </c>
      <c r="E560" s="1" t="n">
        <v>46298</v>
      </c>
      <c r="F560" t="inlineStr">
        <is>
          <t>DALARNAS LÄN</t>
        </is>
      </c>
      <c r="G560" t="inlineStr">
        <is>
          <t>FALUN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46298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46298</v>
      </c>
      <c r="F562" t="inlineStr">
        <is>
          <t>DALARNAS LÄN</t>
        </is>
      </c>
      <c r="G562" t="inlineStr">
        <is>
          <t>FALUN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46298</v>
      </c>
      <c r="F563" t="inlineStr">
        <is>
          <t>DALARNAS LÄN</t>
        </is>
      </c>
      <c r="G563" t="inlineStr">
        <is>
          <t>FALUN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51306-2025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46298</v>
      </c>
      <c r="F564" t="inlineStr">
        <is>
          <t>DALARNAS LÄN</t>
        </is>
      </c>
      <c r="G564" t="inlineStr">
        <is>
          <t>FALUN</t>
        </is>
      </c>
      <c r="I564" t="n">
        <v>6.7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46298</v>
      </c>
      <c r="F565" t="inlineStr">
        <is>
          <t>DALARNAS LÄN</t>
        </is>
      </c>
      <c r="G565" t="inlineStr">
        <is>
          <t>FALUN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46298</v>
      </c>
      <c r="F566" t="inlineStr">
        <is>
          <t>DALARNAS LÄN</t>
        </is>
      </c>
      <c r="G566" t="inlineStr">
        <is>
          <t>FALUN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46298</v>
      </c>
      <c r="F567" t="inlineStr">
        <is>
          <t>DALARNAS LÄN</t>
        </is>
      </c>
      <c r="G567" t="inlineStr">
        <is>
          <t>FALUN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46298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46298</v>
      </c>
      <c r="F569" t="inlineStr">
        <is>
          <t>DALARNAS LÄN</t>
        </is>
      </c>
      <c r="G569" t="inlineStr">
        <is>
          <t>FALUN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46298</v>
      </c>
      <c r="F570" t="inlineStr">
        <is>
          <t>DALARNAS LÄN</t>
        </is>
      </c>
      <c r="G570" t="inlineStr">
        <is>
          <t>FALUN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46298</v>
      </c>
      <c r="F571" t="inlineStr">
        <is>
          <t>DALARNAS LÄN</t>
        </is>
      </c>
      <c r="G571" t="inlineStr">
        <is>
          <t>FALUN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46298</v>
      </c>
      <c r="F572" t="inlineStr">
        <is>
          <t>DALARNAS LÄN</t>
        </is>
      </c>
      <c r="G572" t="inlineStr">
        <is>
          <t>FALUN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46298</v>
      </c>
      <c r="F573" t="inlineStr">
        <is>
          <t>DALARNAS LÄN</t>
        </is>
      </c>
      <c r="G573" t="inlineStr">
        <is>
          <t>FALUN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46298</v>
      </c>
      <c r="F574" t="inlineStr">
        <is>
          <t>DALARNAS LÄN</t>
        </is>
      </c>
      <c r="G574" t="inlineStr">
        <is>
          <t>FALUN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44597-2023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45189</v>
      </c>
      <c r="E575" s="1" t="n">
        <v>46298</v>
      </c>
      <c r="F575" t="inlineStr">
        <is>
          <t>DALARNAS LÄN</t>
        </is>
      </c>
      <c r="G575" t="inlineStr">
        <is>
          <t>FALUN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46298</v>
      </c>
      <c r="F576" t="inlineStr">
        <is>
          <t>DALARNAS LÄN</t>
        </is>
      </c>
      <c r="G576" t="inlineStr">
        <is>
          <t>FALUN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46298</v>
      </c>
      <c r="F577" t="inlineStr">
        <is>
          <t>DALARNAS LÄN</t>
        </is>
      </c>
      <c r="G577" t="inlineStr">
        <is>
          <t>FALUN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46298</v>
      </c>
      <c r="F578" t="inlineStr">
        <is>
          <t>DALARNAS LÄN</t>
        </is>
      </c>
      <c r="G578" t="inlineStr">
        <is>
          <t>FALUN</t>
        </is>
      </c>
      <c r="I578" t="n">
        <v>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52460-2025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46298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46298</v>
      </c>
      <c r="F580" t="inlineStr">
        <is>
          <t>DALARNAS LÄN</t>
        </is>
      </c>
      <c r="G580" t="inlineStr">
        <is>
          <t>FALUN</t>
        </is>
      </c>
      <c r="I580" t="n">
        <v>13.4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46082</v>
      </c>
      <c r="E581" s="1" t="n">
        <v>46298</v>
      </c>
      <c r="F581" t="inlineStr">
        <is>
          <t>DALARNAS LÄN</t>
        </is>
      </c>
      <c r="G581" t="inlineStr">
        <is>
          <t>FALUN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46298</v>
      </c>
      <c r="F582" t="inlineStr">
        <is>
          <t>DALARNAS LÄN</t>
        </is>
      </c>
      <c r="G582" t="inlineStr">
        <is>
          <t>FALUN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46081</v>
      </c>
      <c r="E583" s="1" t="n">
        <v>46298</v>
      </c>
      <c r="F583" t="inlineStr">
        <is>
          <t>DALARNAS LÄN</t>
        </is>
      </c>
      <c r="G583" t="inlineStr">
        <is>
          <t>FALUN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46298</v>
      </c>
      <c r="F584" t="inlineStr">
        <is>
          <t>DALARNAS LÄN</t>
        </is>
      </c>
      <c r="G584" t="inlineStr">
        <is>
          <t>FALUN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46298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46298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46298</v>
      </c>
      <c r="F587" t="inlineStr">
        <is>
          <t>DALARNAS LÄN</t>
        </is>
      </c>
      <c r="G587" t="inlineStr">
        <is>
          <t>FALUN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46298</v>
      </c>
      <c r="F588" t="inlineStr">
        <is>
          <t>DALARNAS LÄN</t>
        </is>
      </c>
      <c r="G588" t="inlineStr">
        <is>
          <t>FALUN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46086</v>
      </c>
      <c r="E589" s="1" t="n">
        <v>46298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46298</v>
      </c>
      <c r="F590" t="inlineStr">
        <is>
          <t>DALARNAS LÄN</t>
        </is>
      </c>
      <c r="G590" t="inlineStr">
        <is>
          <t>FALUN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52605-2025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45954</v>
      </c>
      <c r="E591" s="1" t="n">
        <v>46298</v>
      </c>
      <c r="F591" t="inlineStr">
        <is>
          <t>DALARNAS LÄN</t>
        </is>
      </c>
      <c r="G591" t="inlineStr">
        <is>
          <t>FALUN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46298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12689-2026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46090</v>
      </c>
      <c r="E593" s="1" t="n">
        <v>46298</v>
      </c>
      <c r="F593" t="inlineStr">
        <is>
          <t>DALARNAS LÄN</t>
        </is>
      </c>
      <c r="G593" t="inlineStr">
        <is>
          <t>FALUN</t>
        </is>
      </c>
      <c r="H593" t="inlineStr">
        <is>
          <t>Allmännings- och besparingsskogar</t>
        </is>
      </c>
      <c r="I593" t="n">
        <v>122.4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12542-2026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46298</v>
      </c>
      <c r="F594" t="inlineStr">
        <is>
          <t>DALARNAS LÄN</t>
        </is>
      </c>
      <c r="G594" t="inlineStr">
        <is>
          <t>FALUN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46298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46298</v>
      </c>
      <c r="F596" t="inlineStr">
        <is>
          <t>DALARNAS LÄN</t>
        </is>
      </c>
      <c r="G596" t="inlineStr">
        <is>
          <t>FALUN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53202-2025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45958</v>
      </c>
      <c r="E597" s="1" t="n">
        <v>46298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45148</v>
      </c>
      <c r="E598" s="1" t="n">
        <v>46298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12504-2026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46298</v>
      </c>
      <c r="F599" t="inlineStr">
        <is>
          <t>DALARNAS LÄN</t>
        </is>
      </c>
      <c r="G599" t="inlineStr">
        <is>
          <t>FALUN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55917-2022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44889</v>
      </c>
      <c r="E600" s="1" t="n">
        <v>46298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46298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46298</v>
      </c>
      <c r="F602" t="inlineStr">
        <is>
          <t>DALARNAS LÄN</t>
        </is>
      </c>
      <c r="G602" t="inlineStr">
        <is>
          <t>FALUN</t>
        </is>
      </c>
      <c r="H602" t="inlineStr">
        <is>
          <t>Allmännings- och besparingsskogar</t>
        </is>
      </c>
      <c r="I602" t="n">
        <v>44.4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46298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38.7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46298</v>
      </c>
      <c r="F604" t="inlineStr">
        <is>
          <t>DALARNAS LÄN</t>
        </is>
      </c>
      <c r="G604" t="inlineStr">
        <is>
          <t>FALUN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46298</v>
      </c>
      <c r="F605" t="inlineStr">
        <is>
          <t>DALARNAS LÄN</t>
        </is>
      </c>
      <c r="G605" t="inlineStr">
        <is>
          <t>FALUN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45804</v>
      </c>
      <c r="E606" s="1" t="n">
        <v>46298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46298</v>
      </c>
      <c r="F607" t="inlineStr">
        <is>
          <t>DALARNAS LÄN</t>
        </is>
      </c>
      <c r="G607" t="inlineStr">
        <is>
          <t>FALUN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53996-2025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45961</v>
      </c>
      <c r="E608" s="1" t="n">
        <v>46298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54335-2025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46298</v>
      </c>
      <c r="F609" t="inlineStr">
        <is>
          <t>DALARNAS LÄN</t>
        </is>
      </c>
      <c r="G609" t="inlineStr">
        <is>
          <t>FALUN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46298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46298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46298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45006</v>
      </c>
      <c r="E613" s="1" t="n">
        <v>46298</v>
      </c>
      <c r="F613" t="inlineStr">
        <is>
          <t>DALARNAS LÄN</t>
        </is>
      </c>
      <c r="G613" t="inlineStr">
        <is>
          <t>FALUN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46298</v>
      </c>
      <c r="F614" t="inlineStr">
        <is>
          <t>DALARNAS LÄN</t>
        </is>
      </c>
      <c r="G614" t="inlineStr">
        <is>
          <t>FALUN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46298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46298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12775-2026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46091</v>
      </c>
      <c r="E617" s="1" t="n">
        <v>46298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54566-2025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45965</v>
      </c>
      <c r="E618" s="1" t="n">
        <v>46298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46298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46298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46298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46298</v>
      </c>
      <c r="F622" t="inlineStr">
        <is>
          <t>DALARNAS LÄN</t>
        </is>
      </c>
      <c r="G622" t="inlineStr">
        <is>
          <t>FALUN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46298</v>
      </c>
      <c r="F623" t="inlineStr">
        <is>
          <t>DALARNAS LÄN</t>
        </is>
      </c>
      <c r="G623" t="inlineStr">
        <is>
          <t>FALUN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45048</v>
      </c>
      <c r="E624" s="1" t="n">
        <v>46298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46298</v>
      </c>
      <c r="F625" t="inlineStr">
        <is>
          <t>DALARNAS LÄN</t>
        </is>
      </c>
      <c r="G625" t="inlineStr">
        <is>
          <t>FALUN</t>
        </is>
      </c>
      <c r="I625" t="n">
        <v>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46298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46298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45967</v>
      </c>
      <c r="E628" s="1" t="n">
        <v>46298</v>
      </c>
      <c r="F628" t="inlineStr">
        <is>
          <t>DALARNAS LÄN</t>
        </is>
      </c>
      <c r="G628" t="inlineStr">
        <is>
          <t>FALUN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46298</v>
      </c>
      <c r="F629" t="inlineStr">
        <is>
          <t>DALARNAS LÄN</t>
        </is>
      </c>
      <c r="G629" t="inlineStr">
        <is>
          <t>FALUN</t>
        </is>
      </c>
      <c r="I629" t="n">
        <v>13.1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13711-2026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46298</v>
      </c>
      <c r="F630" t="inlineStr">
        <is>
          <t>DALARNAS LÄN</t>
        </is>
      </c>
      <c r="G630" t="inlineStr">
        <is>
          <t>FALUN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41144-2023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45173</v>
      </c>
      <c r="E631" s="1" t="n">
        <v>46298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46298</v>
      </c>
      <c r="F632" t="inlineStr">
        <is>
          <t>DALARNAS LÄN</t>
        </is>
      </c>
      <c r="G632" t="inlineStr">
        <is>
          <t>FALUN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46298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33.9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46298</v>
      </c>
      <c r="F634" t="inlineStr">
        <is>
          <t>DALARNAS LÄN</t>
        </is>
      </c>
      <c r="G634" t="inlineStr">
        <is>
          <t>FALUN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46298</v>
      </c>
      <c r="F635" t="inlineStr">
        <is>
          <t>DALARNAS LÄN</t>
        </is>
      </c>
      <c r="G635" t="inlineStr">
        <is>
          <t>FALUN</t>
        </is>
      </c>
      <c r="I635" t="n">
        <v>19.6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55201-2025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45968</v>
      </c>
      <c r="E636" s="1" t="n">
        <v>46298</v>
      </c>
      <c r="F636" t="inlineStr">
        <is>
          <t>DALARNAS LÄN</t>
        </is>
      </c>
      <c r="G636" t="inlineStr">
        <is>
          <t>FALUN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46298</v>
      </c>
      <c r="F637" t="inlineStr">
        <is>
          <t>DALARNAS LÄN</t>
        </is>
      </c>
      <c r="G637" t="inlineStr">
        <is>
          <t>FALUN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46298</v>
      </c>
      <c r="F638" t="inlineStr">
        <is>
          <t>DALARNAS LÄN</t>
        </is>
      </c>
      <c r="G638" t="inlineStr">
        <is>
          <t>FALUN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45971</v>
      </c>
      <c r="E639" s="1" t="n">
        <v>46298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45968</v>
      </c>
      <c r="E640" s="1" t="n">
        <v>46298</v>
      </c>
      <c r="F640" t="inlineStr">
        <is>
          <t>DALARNAS LÄN</t>
        </is>
      </c>
      <c r="G640" t="inlineStr">
        <is>
          <t>FALUN</t>
        </is>
      </c>
      <c r="I640" t="n">
        <v>14.8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14023-2026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46298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38.2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46298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46298</v>
      </c>
      <c r="F643" t="inlineStr">
        <is>
          <t>DALARNAS LÄN</t>
        </is>
      </c>
      <c r="G643" t="inlineStr">
        <is>
          <t>FALUN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13636-2026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46298</v>
      </c>
      <c r="F644" t="inlineStr">
        <is>
          <t>DALARNAS LÄN</t>
        </is>
      </c>
      <c r="G644" t="inlineStr">
        <is>
          <t>FALUN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46096</v>
      </c>
      <c r="E645" s="1" t="n">
        <v>46298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30.3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46298</v>
      </c>
      <c r="F646" t="inlineStr">
        <is>
          <t>DALARNAS LÄN</t>
        </is>
      </c>
      <c r="G646" t="inlineStr">
        <is>
          <t>FALUN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46298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46298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14231-2026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46298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46298</v>
      </c>
      <c r="F650" t="inlineStr">
        <is>
          <t>DALARNAS LÄN</t>
        </is>
      </c>
      <c r="G650" t="inlineStr">
        <is>
          <t>FALUN</t>
        </is>
      </c>
      <c r="I650" t="n">
        <v>9.6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46560-2023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46298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46298</v>
      </c>
      <c r="F652" t="inlineStr">
        <is>
          <t>DALARNAS LÄN</t>
        </is>
      </c>
      <c r="G652" t="inlineStr">
        <is>
          <t>FALUN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46298</v>
      </c>
      <c r="F653" t="inlineStr">
        <is>
          <t>DALARNAS LÄN</t>
        </is>
      </c>
      <c r="G653" t="inlineStr">
        <is>
          <t>FALUN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46298</v>
      </c>
      <c r="F654" t="inlineStr">
        <is>
          <t>DALARNAS LÄN</t>
        </is>
      </c>
      <c r="G654" t="inlineStr">
        <is>
          <t>FALUN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45973</v>
      </c>
      <c r="E655" s="1" t="n">
        <v>46298</v>
      </c>
      <c r="F655" t="inlineStr">
        <is>
          <t>DALARNAS LÄN</t>
        </is>
      </c>
      <c r="G655" t="inlineStr">
        <is>
          <t>FALUN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46298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46298</v>
      </c>
      <c r="F657" t="inlineStr">
        <is>
          <t>DALARNAS LÄN</t>
        </is>
      </c>
      <c r="G657" t="inlineStr">
        <is>
          <t>FALUN</t>
        </is>
      </c>
      <c r="H657" t="inlineStr">
        <is>
          <t>Allmännings- och besparingsskogar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46298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29.8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46298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63.9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46298</v>
      </c>
      <c r="F660" t="inlineStr">
        <is>
          <t>DALARNAS LÄN</t>
        </is>
      </c>
      <c r="G660" t="inlineStr">
        <is>
          <t>FALUN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46298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46298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14559-2026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46298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46298</v>
      </c>
      <c r="F664" t="inlineStr">
        <is>
          <t>DALARNAS LÄN</t>
        </is>
      </c>
      <c r="G664" t="inlineStr">
        <is>
          <t>FALUN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45223</v>
      </c>
      <c r="E665" s="1" t="n">
        <v>46298</v>
      </c>
      <c r="F665" t="inlineStr">
        <is>
          <t>DALARNAS LÄN</t>
        </is>
      </c>
      <c r="G665" t="inlineStr">
        <is>
          <t>FALUN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52081-2023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45223</v>
      </c>
      <c r="E666" s="1" t="n">
        <v>46298</v>
      </c>
      <c r="F666" t="inlineStr">
        <is>
          <t>DALARNAS LÄN</t>
        </is>
      </c>
      <c r="G666" t="inlineStr">
        <is>
          <t>FALUN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46298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46298</v>
      </c>
      <c r="F668" t="inlineStr">
        <is>
          <t>DALARNAS LÄN</t>
        </is>
      </c>
      <c r="G668" t="inlineStr">
        <is>
          <t>FALUN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46103</v>
      </c>
      <c r="E669" s="1" t="n">
        <v>46298</v>
      </c>
      <c r="F669" t="inlineStr">
        <is>
          <t>DALARNAS LÄN</t>
        </is>
      </c>
      <c r="G669" t="inlineStr">
        <is>
          <t>FALUN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46298</v>
      </c>
      <c r="F670" t="inlineStr">
        <is>
          <t>DALARNAS LÄN</t>
        </is>
      </c>
      <c r="G670" t="inlineStr">
        <is>
          <t>FALUN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46298</v>
      </c>
      <c r="F671" t="inlineStr">
        <is>
          <t>DALARNAS LÄN</t>
        </is>
      </c>
      <c r="G671" t="inlineStr">
        <is>
          <t>FALUN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46298</v>
      </c>
      <c r="F672" t="inlineStr">
        <is>
          <t>DALARNAS LÄN</t>
        </is>
      </c>
      <c r="G672" t="inlineStr">
        <is>
          <t>FALUN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46298</v>
      </c>
      <c r="F673" t="inlineStr">
        <is>
          <t>DALARNAS LÄN</t>
        </is>
      </c>
      <c r="G673" t="inlineStr">
        <is>
          <t>FALUN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22739-2022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44714</v>
      </c>
      <c r="E674" s="1" t="n">
        <v>46298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46101</v>
      </c>
      <c r="E675" s="1" t="n">
        <v>46298</v>
      </c>
      <c r="F675" t="inlineStr">
        <is>
          <t>DALARNAS LÄN</t>
        </is>
      </c>
      <c r="G675" t="inlineStr">
        <is>
          <t>FALUN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46298</v>
      </c>
      <c r="F676" t="inlineStr">
        <is>
          <t>DALARNAS LÄN</t>
        </is>
      </c>
      <c r="G676" t="inlineStr">
        <is>
          <t>FALUN</t>
        </is>
      </c>
      <c r="I676" t="n">
        <v>15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46298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15123-2026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46105</v>
      </c>
      <c r="E678" s="1" t="n">
        <v>46298</v>
      </c>
      <c r="F678" t="inlineStr">
        <is>
          <t>DALARNAS LÄN</t>
        </is>
      </c>
      <c r="G678" t="inlineStr">
        <is>
          <t>FALUN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46298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46298</v>
      </c>
      <c r="F680" t="inlineStr">
        <is>
          <t>DALARNAS LÄN</t>
        </is>
      </c>
      <c r="G680" t="inlineStr">
        <is>
          <t>FALUN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56931-2025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45978</v>
      </c>
      <c r="E681" s="1" t="n">
        <v>46298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15550-2026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46298</v>
      </c>
      <c r="F682" t="inlineStr">
        <is>
          <t>DALARNAS LÄN</t>
        </is>
      </c>
      <c r="G682" t="inlineStr">
        <is>
          <t>FALUN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15670-2026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46298</v>
      </c>
      <c r="F683" t="inlineStr">
        <is>
          <t>DALARNAS LÄN</t>
        </is>
      </c>
      <c r="G683" t="inlineStr">
        <is>
          <t>FALUN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57059-2025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46298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46055</v>
      </c>
      <c r="E685" s="1" t="n">
        <v>46298</v>
      </c>
      <c r="F685" t="inlineStr">
        <is>
          <t>DALARNAS LÄN</t>
        </is>
      </c>
      <c r="G685" t="inlineStr">
        <is>
          <t>FALUN</t>
        </is>
      </c>
      <c r="I685" t="n">
        <v>9.6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46298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15208-2026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46298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56906-2025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45978</v>
      </c>
      <c r="E688" s="1" t="n">
        <v>46298</v>
      </c>
      <c r="F688" t="inlineStr">
        <is>
          <t>DALARNAS LÄN</t>
        </is>
      </c>
      <c r="G688" t="inlineStr">
        <is>
          <t>FALUN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46298</v>
      </c>
      <c r="F689" t="inlineStr">
        <is>
          <t>DALARNAS LÄN</t>
        </is>
      </c>
      <c r="G689" t="inlineStr">
        <is>
          <t>FALUN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46298</v>
      </c>
      <c r="F690" t="inlineStr">
        <is>
          <t>DALARNAS LÄN</t>
        </is>
      </c>
      <c r="G690" t="inlineStr">
        <is>
          <t>FALUN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46298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33.4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56887-2025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45978</v>
      </c>
      <c r="E692" s="1" t="n">
        <v>46298</v>
      </c>
      <c r="F692" t="inlineStr">
        <is>
          <t>DALARNAS LÄN</t>
        </is>
      </c>
      <c r="G692" t="inlineStr">
        <is>
          <t>FALUN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46298</v>
      </c>
      <c r="F693" t="inlineStr">
        <is>
          <t>DALARNAS LÄN</t>
        </is>
      </c>
      <c r="G693" t="inlineStr">
        <is>
          <t>FALUN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15366-2026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46298</v>
      </c>
      <c r="F694" t="inlineStr">
        <is>
          <t>DALARNAS LÄN</t>
        </is>
      </c>
      <c r="G694" t="inlineStr">
        <is>
          <t>FALUN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15086-2026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46298</v>
      </c>
      <c r="F695" t="inlineStr">
        <is>
          <t>DALARNAS LÄN</t>
        </is>
      </c>
      <c r="G695" t="inlineStr">
        <is>
          <t>FALUN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46298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8757-2024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46298</v>
      </c>
      <c r="F697" t="inlineStr">
        <is>
          <t>DALARNAS LÄN</t>
        </is>
      </c>
      <c r="G697" t="inlineStr">
        <is>
          <t>FALUN</t>
        </is>
      </c>
      <c r="I697" t="n">
        <v>23.3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57544-2025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45980</v>
      </c>
      <c r="E698" s="1" t="n">
        <v>46298</v>
      </c>
      <c r="F698" t="inlineStr">
        <is>
          <t>DALARNAS LÄN</t>
        </is>
      </c>
      <c r="G698" t="inlineStr">
        <is>
          <t>FALUN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15954-2026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46108</v>
      </c>
      <c r="E699" s="1" t="n">
        <v>46298</v>
      </c>
      <c r="F699" t="inlineStr">
        <is>
          <t>DALARNAS LÄN</t>
        </is>
      </c>
      <c r="G699" t="inlineStr">
        <is>
          <t>FALUN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54537-2023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45233</v>
      </c>
      <c r="E700" s="1" t="n">
        <v>46298</v>
      </c>
      <c r="F700" t="inlineStr">
        <is>
          <t>DALARNAS LÄN</t>
        </is>
      </c>
      <c r="G700" t="inlineStr">
        <is>
          <t>FALUN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16073-2026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46108</v>
      </c>
      <c r="E701" s="1" t="n">
        <v>46298</v>
      </c>
      <c r="F701" t="inlineStr">
        <is>
          <t>DALARNAS LÄN</t>
        </is>
      </c>
      <c r="G701" t="inlineStr">
        <is>
          <t>FALUN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46298</v>
      </c>
      <c r="F702" t="inlineStr">
        <is>
          <t>DALARNAS LÄN</t>
        </is>
      </c>
      <c r="G702" t="inlineStr">
        <is>
          <t>FALUN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57500-2025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45980</v>
      </c>
      <c r="E703" s="1" t="n">
        <v>46298</v>
      </c>
      <c r="F703" t="inlineStr">
        <is>
          <t>DALARNAS LÄN</t>
        </is>
      </c>
      <c r="G703" t="inlineStr">
        <is>
          <t>FALUN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46107</v>
      </c>
      <c r="E704" s="1" t="n">
        <v>46298</v>
      </c>
      <c r="F704" t="inlineStr">
        <is>
          <t>DALARNAS LÄN</t>
        </is>
      </c>
      <c r="G704" t="inlineStr">
        <is>
          <t>FALUN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58181-2025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45982</v>
      </c>
      <c r="E705" s="1" t="n">
        <v>46298</v>
      </c>
      <c r="F705" t="inlineStr">
        <is>
          <t>DALARNAS LÄN</t>
        </is>
      </c>
      <c r="G705" t="inlineStr">
        <is>
          <t>FALUN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16378-2026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46298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16379-2026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46298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46111</v>
      </c>
      <c r="E708" s="1" t="n">
        <v>46298</v>
      </c>
      <c r="F708" t="inlineStr">
        <is>
          <t>DALARNAS LÄN</t>
        </is>
      </c>
      <c r="G708" t="inlineStr">
        <is>
          <t>FALUN</t>
        </is>
      </c>
      <c r="I708" t="n">
        <v>7.5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46298</v>
      </c>
      <c r="F709" t="inlineStr">
        <is>
          <t>DALARNAS LÄN</t>
        </is>
      </c>
      <c r="G709" t="inlineStr">
        <is>
          <t>FALUN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46110</v>
      </c>
      <c r="E710" s="1" t="n">
        <v>46298</v>
      </c>
      <c r="F710" t="inlineStr">
        <is>
          <t>DALARNAS LÄN</t>
        </is>
      </c>
      <c r="G710" t="inlineStr">
        <is>
          <t>FALUN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46110</v>
      </c>
      <c r="E711" s="1" t="n">
        <v>46298</v>
      </c>
      <c r="F711" t="inlineStr">
        <is>
          <t>DALARNAS LÄN</t>
        </is>
      </c>
      <c r="G711" t="inlineStr">
        <is>
          <t>FALUN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16491-2025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45751</v>
      </c>
      <c r="E712" s="1" t="n">
        <v>46298</v>
      </c>
      <c r="F712" t="inlineStr">
        <is>
          <t>DALARNAS LÄN</t>
        </is>
      </c>
      <c r="G712" t="inlineStr">
        <is>
          <t>FALUN</t>
        </is>
      </c>
      <c r="H712" t="inlineStr">
        <is>
          <t>Övriga statliga verk och myndigheter</t>
        </is>
      </c>
      <c r="I712" t="n">
        <v>6.5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46298</v>
      </c>
      <c r="F713" t="inlineStr">
        <is>
          <t>DALARNAS LÄN</t>
        </is>
      </c>
      <c r="G713" t="inlineStr">
        <is>
          <t>FALUN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46298</v>
      </c>
      <c r="F714" t="inlineStr">
        <is>
          <t>DALARNAS LÄN</t>
        </is>
      </c>
      <c r="G714" t="inlineStr">
        <is>
          <t>FALUN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46298</v>
      </c>
      <c r="F715" t="inlineStr">
        <is>
          <t>DALARNAS LÄN</t>
        </is>
      </c>
      <c r="G715" t="inlineStr">
        <is>
          <t>FALUN</t>
        </is>
      </c>
      <c r="H715" t="inlineStr">
        <is>
          <t>Allmännings- och besparingsskogar</t>
        </is>
      </c>
      <c r="I715" t="n">
        <v>7.3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16415-2026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46298</v>
      </c>
      <c r="F716" t="inlineStr">
        <is>
          <t>DALARNAS LÄN</t>
        </is>
      </c>
      <c r="G716" t="inlineStr">
        <is>
          <t>FALUN</t>
        </is>
      </c>
      <c r="H716" t="inlineStr">
        <is>
          <t>Allmännings- och besparingsskogar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53703-2023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45224</v>
      </c>
      <c r="E717" s="1" t="n">
        <v>46298</v>
      </c>
      <c r="F717" t="inlineStr">
        <is>
          <t>DALARNAS LÄN</t>
        </is>
      </c>
      <c r="G717" t="inlineStr">
        <is>
          <t>FALUN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46298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28721-2025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45820</v>
      </c>
      <c r="E719" s="1" t="n">
        <v>46298</v>
      </c>
      <c r="F719" t="inlineStr">
        <is>
          <t>DALARNAS LÄN</t>
        </is>
      </c>
      <c r="G719" t="inlineStr">
        <is>
          <t>FALUN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46298</v>
      </c>
      <c r="F720" t="inlineStr">
        <is>
          <t>DALARNAS LÄN</t>
        </is>
      </c>
      <c r="G720" t="inlineStr">
        <is>
          <t>FALUN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46298</v>
      </c>
      <c r="F721" t="inlineStr">
        <is>
          <t>DALARNAS LÄN</t>
        </is>
      </c>
      <c r="G721" t="inlineStr">
        <is>
          <t>FALUN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28730-2025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45820</v>
      </c>
      <c r="E722" s="1" t="n">
        <v>46298</v>
      </c>
      <c r="F722" t="inlineStr">
        <is>
          <t>DALARNAS LÄN</t>
        </is>
      </c>
      <c r="G722" t="inlineStr">
        <is>
          <t>FALUN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46298</v>
      </c>
      <c r="F723" t="inlineStr">
        <is>
          <t>DALARNAS LÄN</t>
        </is>
      </c>
      <c r="G723" t="inlineStr">
        <is>
          <t>FALUN</t>
        </is>
      </c>
      <c r="I723" t="n">
        <v>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17137-2026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46298</v>
      </c>
      <c r="F724" t="inlineStr">
        <is>
          <t>DALARNAS LÄN</t>
        </is>
      </c>
      <c r="G724" t="inlineStr">
        <is>
          <t>FALUN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46298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53643-2024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45614</v>
      </c>
      <c r="E726" s="1" t="n">
        <v>46298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16846-2026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46113</v>
      </c>
      <c r="E727" s="1" t="n">
        <v>46298</v>
      </c>
      <c r="F727" t="inlineStr">
        <is>
          <t>DALARNAS LÄN</t>
        </is>
      </c>
      <c r="G727" t="inlineStr">
        <is>
          <t>FALUN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45987</v>
      </c>
      <c r="E728" s="1" t="n">
        <v>46298</v>
      </c>
      <c r="F728" t="inlineStr">
        <is>
          <t>DALARNAS LÄN</t>
        </is>
      </c>
      <c r="G728" t="inlineStr">
        <is>
          <t>FALUN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46298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18.1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46298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41961-2022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44830</v>
      </c>
      <c r="E731" s="1" t="n">
        <v>46298</v>
      </c>
      <c r="F731" t="inlineStr">
        <is>
          <t>DALARNAS LÄN</t>
        </is>
      </c>
      <c r="G731" t="inlineStr">
        <is>
          <t>FALUN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17048-2026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46114</v>
      </c>
      <c r="E732" s="1" t="n">
        <v>46298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17051-2026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46298</v>
      </c>
      <c r="F733" t="inlineStr">
        <is>
          <t>DALARNAS LÄN</t>
        </is>
      </c>
      <c r="G733" t="inlineStr">
        <is>
          <t>FALUN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45988</v>
      </c>
      <c r="E734" s="1" t="n">
        <v>46298</v>
      </c>
      <c r="F734" t="inlineStr">
        <is>
          <t>DALARNAS LÄN</t>
        </is>
      </c>
      <c r="G734" t="inlineStr">
        <is>
          <t>FALUN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45988</v>
      </c>
      <c r="E735" s="1" t="n">
        <v>46298</v>
      </c>
      <c r="F735" t="inlineStr">
        <is>
          <t>DALARNAS LÄN</t>
        </is>
      </c>
      <c r="G735" t="inlineStr">
        <is>
          <t>FALUN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46298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46298</v>
      </c>
      <c r="F737" t="inlineStr">
        <is>
          <t>DALARNAS LÄN</t>
        </is>
      </c>
      <c r="G737" t="inlineStr">
        <is>
          <t>FALUN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46298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46298</v>
      </c>
      <c r="F739" t="inlineStr">
        <is>
          <t>DALARNAS LÄN</t>
        </is>
      </c>
      <c r="G739" t="inlineStr">
        <is>
          <t>FALUN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46298</v>
      </c>
      <c r="F740" t="inlineStr">
        <is>
          <t>DALARNAS LÄN</t>
        </is>
      </c>
      <c r="G740" t="inlineStr">
        <is>
          <t>FALUN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45988</v>
      </c>
      <c r="E741" s="1" t="n">
        <v>46298</v>
      </c>
      <c r="F741" t="inlineStr">
        <is>
          <t>DALARNAS LÄN</t>
        </is>
      </c>
      <c r="G741" t="inlineStr">
        <is>
          <t>FALUN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46298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46298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54609-2025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45966</v>
      </c>
      <c r="E744" s="1" t="n">
        <v>46298</v>
      </c>
      <c r="F744" t="inlineStr">
        <is>
          <t>DALARNAS LÄN</t>
        </is>
      </c>
      <c r="G744" t="inlineStr">
        <is>
          <t>FALUN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56474-2024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45625</v>
      </c>
      <c r="E745" s="1" t="n">
        <v>46298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46298</v>
      </c>
      <c r="F746" t="inlineStr">
        <is>
          <t>DALARNAS LÄN</t>
        </is>
      </c>
      <c r="G746" t="inlineStr">
        <is>
          <t>FALUN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29294-2025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45824</v>
      </c>
      <c r="E747" s="1" t="n">
        <v>46298</v>
      </c>
      <c r="F747" t="inlineStr">
        <is>
          <t>DALARNAS LÄN</t>
        </is>
      </c>
      <c r="G747" t="inlineStr">
        <is>
          <t>FALUN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13064-2026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46298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46298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17296-2026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46298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29355-2025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45824</v>
      </c>
      <c r="E751" s="1" t="n">
        <v>46298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49645-2024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45596</v>
      </c>
      <c r="E752" s="1" t="n">
        <v>46298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59748-2025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45992</v>
      </c>
      <c r="E753" s="1" t="n">
        <v>46298</v>
      </c>
      <c r="F753" t="inlineStr">
        <is>
          <t>DALARNAS LÄN</t>
        </is>
      </c>
      <c r="G753" t="inlineStr">
        <is>
          <t>FALUN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46298</v>
      </c>
      <c r="F754" t="inlineStr">
        <is>
          <t>DALARNAS LÄN</t>
        </is>
      </c>
      <c r="G754" t="inlineStr">
        <is>
          <t>FALUN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17795-2026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46122</v>
      </c>
      <c r="E755" s="1" t="n">
        <v>46298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46122</v>
      </c>
      <c r="E756" s="1" t="n">
        <v>46298</v>
      </c>
      <c r="F756" t="inlineStr">
        <is>
          <t>DALARNAS LÄN</t>
        </is>
      </c>
      <c r="G756" t="inlineStr">
        <is>
          <t>FALUN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46298</v>
      </c>
      <c r="F757" t="inlineStr">
        <is>
          <t>DALARNAS LÄN</t>
        </is>
      </c>
      <c r="G757" t="inlineStr">
        <is>
          <t>FALUN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17629-2026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46121</v>
      </c>
      <c r="E758" s="1" t="n">
        <v>46298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46298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17923-2026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46122</v>
      </c>
      <c r="E760" s="1" t="n">
        <v>46298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46121</v>
      </c>
      <c r="E761" s="1" t="n">
        <v>46298</v>
      </c>
      <c r="F761" t="inlineStr">
        <is>
          <t>DALARNAS LÄN</t>
        </is>
      </c>
      <c r="G761" t="inlineStr">
        <is>
          <t>FALUN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17630-2026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46121</v>
      </c>
      <c r="E762" s="1" t="n">
        <v>46298</v>
      </c>
      <c r="F762" t="inlineStr">
        <is>
          <t>DALARNAS LÄN</t>
        </is>
      </c>
      <c r="G762" t="inlineStr">
        <is>
          <t>FALUN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45992</v>
      </c>
      <c r="E763" s="1" t="n">
        <v>46298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17581-2026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46121</v>
      </c>
      <c r="E764" s="1" t="n">
        <v>46298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46121</v>
      </c>
      <c r="E765" s="1" t="n">
        <v>46298</v>
      </c>
      <c r="F765" t="inlineStr">
        <is>
          <t>DALARNAS LÄN</t>
        </is>
      </c>
      <c r="G765" t="inlineStr">
        <is>
          <t>FALUN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46298</v>
      </c>
      <c r="F766" t="inlineStr">
        <is>
          <t>DALARNAS LÄN</t>
        </is>
      </c>
      <c r="G766" t="inlineStr">
        <is>
          <t>FALUN</t>
        </is>
      </c>
      <c r="I766" t="n">
        <v>7.8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46298</v>
      </c>
      <c r="F767" t="inlineStr">
        <is>
          <t>DALARNAS LÄN</t>
        </is>
      </c>
      <c r="G767" t="inlineStr">
        <is>
          <t>FALUN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60086-2025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45993</v>
      </c>
      <c r="E768" s="1" t="n">
        <v>46298</v>
      </c>
      <c r="F768" t="inlineStr">
        <is>
          <t>DALARNAS LÄN</t>
        </is>
      </c>
      <c r="G768" t="inlineStr">
        <is>
          <t>FALUN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46298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57.2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34507-2022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44792</v>
      </c>
      <c r="E770" s="1" t="n">
        <v>46298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46122</v>
      </c>
      <c r="E771" s="1" t="n">
        <v>46298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36.7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18023-2026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46125</v>
      </c>
      <c r="E772" s="1" t="n">
        <v>46298</v>
      </c>
      <c r="F772" t="inlineStr">
        <is>
          <t>DALARNAS LÄN</t>
        </is>
      </c>
      <c r="G772" t="inlineStr">
        <is>
          <t>FALUN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46125</v>
      </c>
      <c r="E773" s="1" t="n">
        <v>46298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18012-2026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46125</v>
      </c>
      <c r="E774" s="1" t="n">
        <v>46298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39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18247-2026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46126</v>
      </c>
      <c r="E775" s="1" t="n">
        <v>46298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24.2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46126</v>
      </c>
      <c r="E776" s="1" t="n">
        <v>46298</v>
      </c>
      <c r="F776" t="inlineStr">
        <is>
          <t>DALARNAS LÄN</t>
        </is>
      </c>
      <c r="G776" t="inlineStr">
        <is>
          <t>FALUN</t>
        </is>
      </c>
      <c r="I776" t="n">
        <v>16.6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18295-2026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46298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46126</v>
      </c>
      <c r="E778" s="1" t="n">
        <v>46298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18215-2026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46126</v>
      </c>
      <c r="E779" s="1" t="n">
        <v>46298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53062-2024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45611</v>
      </c>
      <c r="E780" s="1" t="n">
        <v>46298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60562-2025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45994</v>
      </c>
      <c r="E781" s="1" t="n">
        <v>46298</v>
      </c>
      <c r="F781" t="inlineStr">
        <is>
          <t>DALARNAS LÄN</t>
        </is>
      </c>
      <c r="G781" t="inlineStr">
        <is>
          <t>FALUN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46298</v>
      </c>
      <c r="F782" t="inlineStr">
        <is>
          <t>DALARNAS LÄN</t>
        </is>
      </c>
      <c r="G782" t="inlineStr">
        <is>
          <t>FALUN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7916-2023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44973</v>
      </c>
      <c r="E783" s="1" t="n">
        <v>46298</v>
      </c>
      <c r="F783" t="inlineStr">
        <is>
          <t>DALARNAS LÄN</t>
        </is>
      </c>
      <c r="G783" t="inlineStr">
        <is>
          <t>FALUN</t>
        </is>
      </c>
      <c r="I783" t="n">
        <v>22.8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60683-2025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45996</v>
      </c>
      <c r="E784" s="1" t="n">
        <v>46298</v>
      </c>
      <c r="F784" t="inlineStr">
        <is>
          <t>DALARNAS LÄN</t>
        </is>
      </c>
      <c r="G784" t="inlineStr">
        <is>
          <t>FALUN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18765-2026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46128</v>
      </c>
      <c r="E785" s="1" t="n">
        <v>46298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45996</v>
      </c>
      <c r="E786" s="1" t="n">
        <v>46298</v>
      </c>
      <c r="F786" t="inlineStr">
        <is>
          <t>DALARNAS LÄN</t>
        </is>
      </c>
      <c r="G786" t="inlineStr">
        <is>
          <t>FALUN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18716-2026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46128</v>
      </c>
      <c r="E787" s="1" t="n">
        <v>46298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46119</v>
      </c>
      <c r="E788" s="1" t="n">
        <v>46298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18983-2026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46128</v>
      </c>
      <c r="E789" s="1" t="n">
        <v>46298</v>
      </c>
      <c r="F789" t="inlineStr">
        <is>
          <t>DALARNAS LÄN</t>
        </is>
      </c>
      <c r="G789" t="inlineStr">
        <is>
          <t>FALUN</t>
        </is>
      </c>
      <c r="H789" t="inlineStr">
        <is>
          <t>Allmännings- och besparingsskogar</t>
        </is>
      </c>
      <c r="I789" t="n">
        <v>8.199999999999999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46298</v>
      </c>
      <c r="F790" t="inlineStr">
        <is>
          <t>DALARNAS LÄN</t>
        </is>
      </c>
      <c r="G790" t="inlineStr">
        <is>
          <t>FALUN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18720-2026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46128</v>
      </c>
      <c r="E791" s="1" t="n">
        <v>46298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61064-2025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46000</v>
      </c>
      <c r="E792" s="1" t="n">
        <v>46298</v>
      </c>
      <c r="F792" t="inlineStr">
        <is>
          <t>DALARNAS LÄN</t>
        </is>
      </c>
      <c r="G792" t="inlineStr">
        <is>
          <t>FALUN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46298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50184-2022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44865</v>
      </c>
      <c r="E794" s="1" t="n">
        <v>46298</v>
      </c>
      <c r="F794" t="inlineStr">
        <is>
          <t>DALARNAS LÄN</t>
        </is>
      </c>
      <c r="G794" t="inlineStr">
        <is>
          <t>FALUN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46129</v>
      </c>
      <c r="E795" s="1" t="n">
        <v>46298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18998-2026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46129</v>
      </c>
      <c r="E796" s="1" t="n">
        <v>46298</v>
      </c>
      <c r="F796" t="inlineStr">
        <is>
          <t>DALARNAS LÄN</t>
        </is>
      </c>
      <c r="G796" t="inlineStr">
        <is>
          <t>FALUN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46131</v>
      </c>
      <c r="E797" s="1" t="n">
        <v>46298</v>
      </c>
      <c r="F797" t="inlineStr">
        <is>
          <t>DALARNAS LÄN</t>
        </is>
      </c>
      <c r="G797" t="inlineStr">
        <is>
          <t>FALUN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11266-2026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46080</v>
      </c>
      <c r="E798" s="1" t="n">
        <v>46298</v>
      </c>
      <c r="F798" t="inlineStr">
        <is>
          <t>DALARNAS LÄN</t>
        </is>
      </c>
      <c r="G798" t="inlineStr">
        <is>
          <t>FALUN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61059-2025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46000</v>
      </c>
      <c r="E799" s="1" t="n">
        <v>46298</v>
      </c>
      <c r="F799" t="inlineStr">
        <is>
          <t>DALARNAS LÄN</t>
        </is>
      </c>
      <c r="G799" t="inlineStr">
        <is>
          <t>FALUN</t>
        </is>
      </c>
      <c r="I799" t="n">
        <v>8.199999999999999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19422-2026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46298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19450-2026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46298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46298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46298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19266-2026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46133</v>
      </c>
      <c r="E804" s="1" t="n">
        <v>46298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19281-2026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46133</v>
      </c>
      <c r="E805" s="1" t="n">
        <v>46298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18.3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46298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19448-2026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46298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46298</v>
      </c>
      <c r="F808" t="inlineStr">
        <is>
          <t>DALARNAS LÄN</t>
        </is>
      </c>
      <c r="G808" t="inlineStr">
        <is>
          <t>FALUN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19041-2026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46298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19073-2026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46132</v>
      </c>
      <c r="E810" s="1" t="n">
        <v>46298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19451-2026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46298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19456-2026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46298</v>
      </c>
      <c r="F812" t="inlineStr">
        <is>
          <t>DALARNAS LÄN</t>
        </is>
      </c>
      <c r="G812" t="inlineStr">
        <is>
          <t>FALUN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46298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19283-2026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46298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46080</v>
      </c>
      <c r="E815" s="1" t="n">
        <v>46298</v>
      </c>
      <c r="F815" t="inlineStr">
        <is>
          <t>DALARNAS LÄN</t>
        </is>
      </c>
      <c r="G815" t="inlineStr">
        <is>
          <t>FALUN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19032-2026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46131</v>
      </c>
      <c r="E816" s="1" t="n">
        <v>46298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30927-2025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46298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46298</v>
      </c>
      <c r="F818" t="inlineStr">
        <is>
          <t>DALARNAS LÄN</t>
        </is>
      </c>
      <c r="G818" t="inlineStr">
        <is>
          <t>FALUN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46129</v>
      </c>
      <c r="E819" s="1" t="n">
        <v>46298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46298</v>
      </c>
      <c r="F820" t="inlineStr">
        <is>
          <t>DALARNAS LÄN</t>
        </is>
      </c>
      <c r="G820" t="inlineStr">
        <is>
          <t>FALUN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46298</v>
      </c>
      <c r="F821" t="inlineStr">
        <is>
          <t>DALARNAS LÄN</t>
        </is>
      </c>
      <c r="G821" t="inlineStr">
        <is>
          <t>FALUN</t>
        </is>
      </c>
      <c r="H821" t="inlineStr">
        <is>
          <t>Kyrkan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16677-2026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46298</v>
      </c>
      <c r="F822" t="inlineStr">
        <is>
          <t>DALARNAS LÄN</t>
        </is>
      </c>
      <c r="G822" t="inlineStr">
        <is>
          <t>FALUN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19871-2026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46298</v>
      </c>
      <c r="F823" t="inlineStr">
        <is>
          <t>DALARNAS LÄN</t>
        </is>
      </c>
      <c r="G823" t="inlineStr">
        <is>
          <t>FALUN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28249-2023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45099</v>
      </c>
      <c r="E824" s="1" t="n">
        <v>46298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30869-2025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46298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17011-2026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46114</v>
      </c>
      <c r="E826" s="1" t="n">
        <v>46298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46135</v>
      </c>
      <c r="E827" s="1" t="n">
        <v>46298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15346-2026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46298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46298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15293-2026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46298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46298</v>
      </c>
      <c r="F831" t="inlineStr">
        <is>
          <t>DALARNAS LÄN</t>
        </is>
      </c>
      <c r="G831" t="inlineStr">
        <is>
          <t>FALUN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19892-2026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46298</v>
      </c>
      <c r="F832" t="inlineStr">
        <is>
          <t>DALARNAS LÄN</t>
        </is>
      </c>
      <c r="G832" t="inlineStr">
        <is>
          <t>FALUN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19896-2026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46135</v>
      </c>
      <c r="E833" s="1" t="n">
        <v>46298</v>
      </c>
      <c r="F833" t="inlineStr">
        <is>
          <t>DALARNAS LÄN</t>
        </is>
      </c>
      <c r="G833" t="inlineStr">
        <is>
          <t>FALUN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46298</v>
      </c>
      <c r="F834" t="inlineStr">
        <is>
          <t>DALARNAS LÄN</t>
        </is>
      </c>
      <c r="G834" t="inlineStr">
        <is>
          <t>FALUN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46135</v>
      </c>
      <c r="E835" s="1" t="n">
        <v>46298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58411-2024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45634</v>
      </c>
      <c r="E836" s="1" t="n">
        <v>46298</v>
      </c>
      <c r="F836" t="inlineStr">
        <is>
          <t>DALARNAS LÄN</t>
        </is>
      </c>
      <c r="G836" t="inlineStr">
        <is>
          <t>FALUN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46298</v>
      </c>
      <c r="F837" t="inlineStr">
        <is>
          <t>DALARNAS LÄN</t>
        </is>
      </c>
      <c r="G837" t="inlineStr">
        <is>
          <t>FALUN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42436-2024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45565</v>
      </c>
      <c r="E838" s="1" t="n">
        <v>46298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58133-2024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45632</v>
      </c>
      <c r="E839" s="1" t="n">
        <v>46298</v>
      </c>
      <c r="F839" t="inlineStr">
        <is>
          <t>DALARNAS LÄN</t>
        </is>
      </c>
      <c r="G839" t="inlineStr">
        <is>
          <t>FALUN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46298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22.5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4834-2024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45329</v>
      </c>
      <c r="E841" s="1" t="n">
        <v>46298</v>
      </c>
      <c r="F841" t="inlineStr">
        <is>
          <t>DALARNAS LÄN</t>
        </is>
      </c>
      <c r="G841" t="inlineStr">
        <is>
          <t>FALUN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46298</v>
      </c>
      <c r="F842" t="inlineStr">
        <is>
          <t>DALARNAS LÄN</t>
        </is>
      </c>
      <c r="G842" t="inlineStr">
        <is>
          <t>FALUN</t>
        </is>
      </c>
      <c r="I842" t="n">
        <v>13.4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25149-2025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45800</v>
      </c>
      <c r="E843" s="1" t="n">
        <v>46298</v>
      </c>
      <c r="F843" t="inlineStr">
        <is>
          <t>DALARNAS LÄN</t>
        </is>
      </c>
      <c r="G843" t="inlineStr">
        <is>
          <t>FALUN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45040-2025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45918</v>
      </c>
      <c r="E844" s="1" t="n">
        <v>46298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35807-2022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44802</v>
      </c>
      <c r="E845" s="1" t="n">
        <v>46298</v>
      </c>
      <c r="F845" t="inlineStr">
        <is>
          <t>DALARNAS LÄN</t>
        </is>
      </c>
      <c r="G845" t="inlineStr">
        <is>
          <t>FALUN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46298</v>
      </c>
      <c r="F846" t="inlineStr">
        <is>
          <t>DALARNAS LÄN</t>
        </is>
      </c>
      <c r="G846" t="inlineStr">
        <is>
          <t>FALUN</t>
        </is>
      </c>
      <c r="H846" t="inlineStr">
        <is>
          <t>Allmännings- och besparingsskogar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59319-2024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45637</v>
      </c>
      <c r="E847" s="1" t="n">
        <v>46298</v>
      </c>
      <c r="F847" t="inlineStr">
        <is>
          <t>DALARNAS LÄN</t>
        </is>
      </c>
      <c r="G847" t="inlineStr">
        <is>
          <t>FALUN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20196-2026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46298</v>
      </c>
      <c r="F848" t="inlineStr">
        <is>
          <t>DALARNAS LÄN</t>
        </is>
      </c>
      <c r="G848" t="inlineStr">
        <is>
          <t>FALUN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51135-2024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45603</v>
      </c>
      <c r="E849" s="1" t="n">
        <v>46298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46298</v>
      </c>
      <c r="F850" t="inlineStr">
        <is>
          <t>DALARNAS LÄN</t>
        </is>
      </c>
      <c r="G850" t="inlineStr">
        <is>
          <t>FALUN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46050</v>
      </c>
      <c r="E851" s="1" t="n">
        <v>46298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19.4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46139</v>
      </c>
      <c r="E852" s="1" t="n">
        <v>46298</v>
      </c>
      <c r="F852" t="inlineStr">
        <is>
          <t>DALARNAS LÄN</t>
        </is>
      </c>
      <c r="G852" t="inlineStr">
        <is>
          <t>FALUN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18771-2026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46298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46139</v>
      </c>
      <c r="E854" s="1" t="n">
        <v>46298</v>
      </c>
      <c r="F854" t="inlineStr">
        <is>
          <t>DALARNAS LÄN</t>
        </is>
      </c>
      <c r="G854" t="inlineStr">
        <is>
          <t>FALUN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19917-2026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46136</v>
      </c>
      <c r="E855" s="1" t="n">
        <v>46298</v>
      </c>
      <c r="F855" t="inlineStr">
        <is>
          <t>DALARNAS LÄN</t>
        </is>
      </c>
      <c r="G855" t="inlineStr">
        <is>
          <t>FALUN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24131-2022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44725</v>
      </c>
      <c r="E856" s="1" t="n">
        <v>46298</v>
      </c>
      <c r="F856" t="inlineStr">
        <is>
          <t>DALARNAS LÄN</t>
        </is>
      </c>
      <c r="G856" t="inlineStr">
        <is>
          <t>FALUN</t>
        </is>
      </c>
      <c r="H856" t="inlineStr">
        <is>
          <t>Kyrkan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46298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46298</v>
      </c>
      <c r="F858" t="inlineStr">
        <is>
          <t>DALARNAS LÄN</t>
        </is>
      </c>
      <c r="G858" t="inlineStr">
        <is>
          <t>FALUN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33611-2024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46298</v>
      </c>
      <c r="F859" t="inlineStr">
        <is>
          <t>DALARNAS LÄN</t>
        </is>
      </c>
      <c r="G859" t="inlineStr">
        <is>
          <t>FALUN</t>
        </is>
      </c>
      <c r="I859" t="n">
        <v>11.2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46298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58819-2023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46298</v>
      </c>
      <c r="F861" t="inlineStr">
        <is>
          <t>DALARNAS LÄN</t>
        </is>
      </c>
      <c r="G861" t="inlineStr">
        <is>
          <t>FALUN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1781-2026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46298</v>
      </c>
      <c r="F862" t="inlineStr">
        <is>
          <t>DALARNAS LÄN</t>
        </is>
      </c>
      <c r="G862" t="inlineStr">
        <is>
          <t>FALUN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33542-2025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45841</v>
      </c>
      <c r="E863" s="1" t="n">
        <v>46298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46298</v>
      </c>
      <c r="F864" t="inlineStr">
        <is>
          <t>DALARNAS LÄN</t>
        </is>
      </c>
      <c r="G864" t="inlineStr">
        <is>
          <t>FALUN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3345-2026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46041</v>
      </c>
      <c r="E865" s="1" t="n">
        <v>46298</v>
      </c>
      <c r="F865" t="inlineStr">
        <is>
          <t>DALARNAS LÄN</t>
        </is>
      </c>
      <c r="G865" t="inlineStr">
        <is>
          <t>FALUN</t>
        </is>
      </c>
      <c r="I865" t="n">
        <v>5.7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45659</v>
      </c>
      <c r="E866" s="1" t="n">
        <v>46298</v>
      </c>
      <c r="F866" t="inlineStr">
        <is>
          <t>DALARNAS LÄN</t>
        </is>
      </c>
      <c r="G866" t="inlineStr">
        <is>
          <t>FALUN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46037</v>
      </c>
      <c r="E867" s="1" t="n">
        <v>46298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45678</v>
      </c>
      <c r="E868" s="1" t="n">
        <v>46298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4887-2024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45329</v>
      </c>
      <c r="E869" s="1" t="n">
        <v>46298</v>
      </c>
      <c r="F869" t="inlineStr">
        <is>
          <t>DALARNAS LÄN</t>
        </is>
      </c>
      <c r="G869" t="inlineStr">
        <is>
          <t>FALUN</t>
        </is>
      </c>
      <c r="I869" t="n">
        <v>9.699999999999999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10084-2026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46073</v>
      </c>
      <c r="E870" s="1" t="n">
        <v>46298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45845</v>
      </c>
      <c r="E871" s="1" t="n">
        <v>46298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45874</v>
      </c>
      <c r="E872" s="1" t="n">
        <v>46298</v>
      </c>
      <c r="F872" t="inlineStr">
        <is>
          <t>DALARNAS LÄN</t>
        </is>
      </c>
      <c r="G872" t="inlineStr">
        <is>
          <t>FALUN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24782-2025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45799</v>
      </c>
      <c r="E873" s="1" t="n">
        <v>46298</v>
      </c>
      <c r="F873" t="inlineStr">
        <is>
          <t>DALARNAS LÄN</t>
        </is>
      </c>
      <c r="G873" t="inlineStr">
        <is>
          <t>FALUN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46024</v>
      </c>
      <c r="E874" s="1" t="n">
        <v>46298</v>
      </c>
      <c r="F874" t="inlineStr">
        <is>
          <t>DALARNAS LÄN</t>
        </is>
      </c>
      <c r="G874" t="inlineStr">
        <is>
          <t>FALUN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53067-2024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45611</v>
      </c>
      <c r="E875" s="1" t="n">
        <v>46298</v>
      </c>
      <c r="F875" t="inlineStr">
        <is>
          <t>DALARNAS LÄN</t>
        </is>
      </c>
      <c r="G875" t="inlineStr">
        <is>
          <t>FALUN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46298</v>
      </c>
      <c r="F876" t="inlineStr">
        <is>
          <t>DALARNAS LÄN</t>
        </is>
      </c>
      <c r="G876" t="inlineStr">
        <is>
          <t>FALUN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41664-2022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44827</v>
      </c>
      <c r="E877" s="1" t="n">
        <v>46298</v>
      </c>
      <c r="F877" t="inlineStr">
        <is>
          <t>DALARNAS LÄN</t>
        </is>
      </c>
      <c r="G877" t="inlineStr">
        <is>
          <t>FALUN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20198-2026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46139</v>
      </c>
      <c r="E878" s="1" t="n">
        <v>46298</v>
      </c>
      <c r="F878" t="inlineStr">
        <is>
          <t>DALARNAS LÄN</t>
        </is>
      </c>
      <c r="G878" t="inlineStr">
        <is>
          <t>FALUN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23512-2025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46298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46298</v>
      </c>
      <c r="F880" t="inlineStr">
        <is>
          <t>DALARNAS LÄN</t>
        </is>
      </c>
      <c r="G880" t="inlineStr">
        <is>
          <t>FALUN</t>
        </is>
      </c>
      <c r="I880" t="n">
        <v>6.6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46298</v>
      </c>
      <c r="F881" t="inlineStr">
        <is>
          <t>DALARNAS LÄN</t>
        </is>
      </c>
      <c r="G881" t="inlineStr">
        <is>
          <t>FALUN</t>
        </is>
      </c>
      <c r="I881" t="n">
        <v>25.5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34941-2025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45849</v>
      </c>
      <c r="E882" s="1" t="n">
        <v>46298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43005-2022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44833</v>
      </c>
      <c r="E883" s="1" t="n">
        <v>46298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46561-2023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45198</v>
      </c>
      <c r="E884" s="1" t="n">
        <v>46298</v>
      </c>
      <c r="F884" t="inlineStr">
        <is>
          <t>DALARNAS LÄN</t>
        </is>
      </c>
      <c r="G884" t="inlineStr">
        <is>
          <t>FALUN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7948-2026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46063</v>
      </c>
      <c r="E885" s="1" t="n">
        <v>46298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2213-2026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46298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15816-2025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46298</v>
      </c>
      <c r="F887" t="inlineStr">
        <is>
          <t>DALARNAS LÄN</t>
        </is>
      </c>
      <c r="G887" t="inlineStr">
        <is>
          <t>FALUN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46044</v>
      </c>
      <c r="E888" s="1" t="n">
        <v>46298</v>
      </c>
      <c r="F888" t="inlineStr">
        <is>
          <t>DALARNAS LÄN</t>
        </is>
      </c>
      <c r="G888" t="inlineStr">
        <is>
          <t>FALUN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46298</v>
      </c>
      <c r="F889" t="inlineStr">
        <is>
          <t>DALARNAS LÄN</t>
        </is>
      </c>
      <c r="G889" t="inlineStr">
        <is>
          <t>FALUN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52271-2025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45953</v>
      </c>
      <c r="E890" s="1" t="n">
        <v>46298</v>
      </c>
      <c r="F890" t="inlineStr">
        <is>
          <t>DALARNAS LÄN</t>
        </is>
      </c>
      <c r="G890" t="inlineStr">
        <is>
          <t>FALUN</t>
        </is>
      </c>
      <c r="I890" t="n">
        <v>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46298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46037</v>
      </c>
      <c r="E892" s="1" t="n">
        <v>46298</v>
      </c>
      <c r="F892" t="inlineStr">
        <is>
          <t>DALARNAS LÄN</t>
        </is>
      </c>
      <c r="G892" t="inlineStr">
        <is>
          <t>FALUN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35323-2025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46298</v>
      </c>
      <c r="F893" t="inlineStr">
        <is>
          <t>DALARNAS LÄN</t>
        </is>
      </c>
      <c r="G893" t="inlineStr">
        <is>
          <t>FALUN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17905-2026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46122</v>
      </c>
      <c r="E894" s="1" t="n">
        <v>46298</v>
      </c>
      <c r="F894" t="inlineStr">
        <is>
          <t>DALARNAS LÄN</t>
        </is>
      </c>
      <c r="G894" t="inlineStr">
        <is>
          <t>FALUN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43236-2024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45567</v>
      </c>
      <c r="E895" s="1" t="n">
        <v>46298</v>
      </c>
      <c r="F895" t="inlineStr">
        <is>
          <t>DALARNAS LÄN</t>
        </is>
      </c>
      <c r="G895" t="inlineStr">
        <is>
          <t>FALUN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12100-2026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46086</v>
      </c>
      <c r="E896" s="1" t="n">
        <v>46298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63383-2023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45274</v>
      </c>
      <c r="E897" s="1" t="n">
        <v>46298</v>
      </c>
      <c r="F897" t="inlineStr">
        <is>
          <t>DALARNAS LÄN</t>
        </is>
      </c>
      <c r="G897" t="inlineStr">
        <is>
          <t>FALUN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46298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40308-2025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45895</v>
      </c>
      <c r="E899" s="1" t="n">
        <v>46298</v>
      </c>
      <c r="F899" t="inlineStr">
        <is>
          <t>DALARNAS LÄN</t>
        </is>
      </c>
      <c r="G899" t="inlineStr">
        <is>
          <t>FALUN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65056-2023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45287</v>
      </c>
      <c r="E900" s="1" t="n">
        <v>46298</v>
      </c>
      <c r="F900" t="inlineStr">
        <is>
          <t>DALARNAS LÄN</t>
        </is>
      </c>
      <c r="G900" t="inlineStr">
        <is>
          <t>FALUN</t>
        </is>
      </c>
      <c r="I900" t="n">
        <v>7.2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2464-2026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46037</v>
      </c>
      <c r="E901" s="1" t="n">
        <v>46298</v>
      </c>
      <c r="F901" t="inlineStr">
        <is>
          <t>DALARNAS LÄN</t>
        </is>
      </c>
      <c r="G901" t="inlineStr">
        <is>
          <t>FALUN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20384-2026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46139</v>
      </c>
      <c r="E902" s="1" t="n">
        <v>46298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11316-2026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46080</v>
      </c>
      <c r="E903" s="1" t="n">
        <v>46298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40585-2025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45896</v>
      </c>
      <c r="E904" s="1" t="n">
        <v>46298</v>
      </c>
      <c r="F904" t="inlineStr">
        <is>
          <t>DALARNAS LÄN</t>
        </is>
      </c>
      <c r="G904" t="inlineStr">
        <is>
          <t>FALUN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39914-2024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45553</v>
      </c>
      <c r="E905" s="1" t="n">
        <v>46298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46298</v>
      </c>
      <c r="F906" t="inlineStr">
        <is>
          <t>DALARNAS LÄN</t>
        </is>
      </c>
      <c r="G906" t="inlineStr">
        <is>
          <t>FALUN</t>
        </is>
      </c>
      <c r="I906" t="n">
        <v>40.2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6070-2023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44964</v>
      </c>
      <c r="E907" s="1" t="n">
        <v>46298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19031-2026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46131</v>
      </c>
      <c r="E908" s="1" t="n">
        <v>46298</v>
      </c>
      <c r="F908" t="inlineStr">
        <is>
          <t>DALARNAS LÄN</t>
        </is>
      </c>
      <c r="G908" t="inlineStr">
        <is>
          <t>FALUN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63723-2023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45276</v>
      </c>
      <c r="E909" s="1" t="n">
        <v>46298</v>
      </c>
      <c r="F909" t="inlineStr">
        <is>
          <t>DALARNAS LÄN</t>
        </is>
      </c>
      <c r="G909" t="inlineStr">
        <is>
          <t>FALUN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46298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4.9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43736-2024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46298</v>
      </c>
      <c r="F911" t="inlineStr">
        <is>
          <t>DALARNAS LÄN</t>
        </is>
      </c>
      <c r="G911" t="inlineStr">
        <is>
          <t>FALUN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8368-2026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46064</v>
      </c>
      <c r="E912" s="1" t="n">
        <v>46298</v>
      </c>
      <c r="F912" t="inlineStr">
        <is>
          <t>DALARNAS LÄN</t>
        </is>
      </c>
      <c r="G912" t="inlineStr">
        <is>
          <t>FALUN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14484-2024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45394</v>
      </c>
      <c r="E913" s="1" t="n">
        <v>46298</v>
      </c>
      <c r="F913" t="inlineStr">
        <is>
          <t>DALARNAS LÄN</t>
        </is>
      </c>
      <c r="G913" t="inlineStr">
        <is>
          <t>FALUN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46014</v>
      </c>
      <c r="E914" s="1" t="n">
        <v>46298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20197-2026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46298</v>
      </c>
      <c r="F915" t="inlineStr">
        <is>
          <t>DALARNAS LÄN</t>
        </is>
      </c>
      <c r="G915" t="inlineStr">
        <is>
          <t>FALUN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6539-2026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46298</v>
      </c>
      <c r="F916" t="inlineStr">
        <is>
          <t>DALARNAS LÄN</t>
        </is>
      </c>
      <c r="G916" t="inlineStr">
        <is>
          <t>FALUN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16236-2026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46111</v>
      </c>
      <c r="E917" s="1" t="n">
        <v>46298</v>
      </c>
      <c r="F917" t="inlineStr">
        <is>
          <t>DALARNAS LÄN</t>
        </is>
      </c>
      <c r="G917" t="inlineStr">
        <is>
          <t>FALUN</t>
        </is>
      </c>
      <c r="I917" t="n">
        <v>14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46298</v>
      </c>
      <c r="F918" t="inlineStr">
        <is>
          <t>DALARNAS LÄN</t>
        </is>
      </c>
      <c r="G918" t="inlineStr">
        <is>
          <t>FALUN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46298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19579-2026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46298</v>
      </c>
      <c r="F920" t="inlineStr">
        <is>
          <t>DALARNAS LÄN</t>
        </is>
      </c>
      <c r="G920" t="inlineStr">
        <is>
          <t>FALUN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12366-2026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46089</v>
      </c>
      <c r="E921" s="1" t="n">
        <v>46298</v>
      </c>
      <c r="F921" t="inlineStr">
        <is>
          <t>DALARNAS LÄN</t>
        </is>
      </c>
      <c r="G921" t="inlineStr">
        <is>
          <t>FALUN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27495-2022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44742</v>
      </c>
      <c r="E922" s="1" t="n">
        <v>46298</v>
      </c>
      <c r="F922" t="inlineStr">
        <is>
          <t>DALARNAS LÄN</t>
        </is>
      </c>
      <c r="G922" t="inlineStr">
        <is>
          <t>FALUN</t>
        </is>
      </c>
      <c r="H922" t="inlineStr">
        <is>
          <t>Kyrkan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32753-2025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45838</v>
      </c>
      <c r="E923" s="1" t="n">
        <v>46298</v>
      </c>
      <c r="F923" t="inlineStr">
        <is>
          <t>DALARNAS LÄN</t>
        </is>
      </c>
      <c r="G923" t="inlineStr">
        <is>
          <t>FALUN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30593-2025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45831</v>
      </c>
      <c r="E924" s="1" t="n">
        <v>46298</v>
      </c>
      <c r="F924" t="inlineStr">
        <is>
          <t>DALARNAS LÄN</t>
        </is>
      </c>
      <c r="G924" t="inlineStr">
        <is>
          <t>FALUN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20633-2026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46141</v>
      </c>
      <c r="E925" s="1" t="n">
        <v>46298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20657-2026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46141</v>
      </c>
      <c r="E926" s="1" t="n">
        <v>46298</v>
      </c>
      <c r="F926" t="inlineStr">
        <is>
          <t>DALARNAS LÄN</t>
        </is>
      </c>
      <c r="G926" t="inlineStr">
        <is>
          <t>FALUN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15672-2026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46106</v>
      </c>
      <c r="E927" s="1" t="n">
        <v>46298</v>
      </c>
      <c r="F927" t="inlineStr">
        <is>
          <t>DALARNAS LÄN</t>
        </is>
      </c>
      <c r="G927" t="inlineStr">
        <is>
          <t>FALUN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26615-2022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44739</v>
      </c>
      <c r="E928" s="1" t="n">
        <v>46298</v>
      </c>
      <c r="F928" t="inlineStr">
        <is>
          <t>DALARNAS LÄN</t>
        </is>
      </c>
      <c r="G928" t="inlineStr">
        <is>
          <t>FALUN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46298</v>
      </c>
      <c r="F929" t="inlineStr">
        <is>
          <t>DALARNAS LÄN</t>
        </is>
      </c>
      <c r="G929" t="inlineStr">
        <is>
          <t>FALUN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46051</v>
      </c>
      <c r="E930" s="1" t="n">
        <v>46298</v>
      </c>
      <c r="F930" t="inlineStr">
        <is>
          <t>DALARNAS LÄN</t>
        </is>
      </c>
      <c r="G930" t="inlineStr">
        <is>
          <t>FALUN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64521-2023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45281</v>
      </c>
      <c r="E931" s="1" t="n">
        <v>46298</v>
      </c>
      <c r="F931" t="inlineStr">
        <is>
          <t>DALARNAS LÄN</t>
        </is>
      </c>
      <c r="G931" t="inlineStr">
        <is>
          <t>FALUN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46298</v>
      </c>
      <c r="F932" t="inlineStr">
        <is>
          <t>DALARNAS LÄN</t>
        </is>
      </c>
      <c r="G932" t="inlineStr">
        <is>
          <t>FALUN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13514-2026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46094</v>
      </c>
      <c r="E933" s="1" t="n">
        <v>46298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17.2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39187-2025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45888</v>
      </c>
      <c r="E934" s="1" t="n">
        <v>46298</v>
      </c>
      <c r="F934" t="inlineStr">
        <is>
          <t>DALARNAS LÄN</t>
        </is>
      </c>
      <c r="G934" t="inlineStr">
        <is>
          <t>FALUN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16542-2026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46298</v>
      </c>
      <c r="F935" t="inlineStr">
        <is>
          <t>DALARNAS LÄN</t>
        </is>
      </c>
      <c r="G935" t="inlineStr">
        <is>
          <t>FALUN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46298</v>
      </c>
      <c r="F936" t="inlineStr">
        <is>
          <t>DALARNAS LÄN</t>
        </is>
      </c>
      <c r="G936" t="inlineStr">
        <is>
          <t>FALUN</t>
        </is>
      </c>
      <c r="I936" t="n">
        <v>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33931-2024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45523</v>
      </c>
      <c r="E937" s="1" t="n">
        <v>46298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33998-2024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45523</v>
      </c>
      <c r="E938" s="1" t="n">
        <v>46298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46298</v>
      </c>
      <c r="F939" t="inlineStr">
        <is>
          <t>DALARNAS LÄN</t>
        </is>
      </c>
      <c r="G939" t="inlineStr">
        <is>
          <t>FALUN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15535-2023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45020</v>
      </c>
      <c r="E940" s="1" t="n">
        <v>46298</v>
      </c>
      <c r="F940" t="inlineStr">
        <is>
          <t>DALARNAS LÄN</t>
        </is>
      </c>
      <c r="G940" t="inlineStr">
        <is>
          <t>FALUN</t>
        </is>
      </c>
      <c r="I940" t="n">
        <v>3.6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10717-2026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46078</v>
      </c>
      <c r="E941" s="1" t="n">
        <v>46298</v>
      </c>
      <c r="F941" t="inlineStr">
        <is>
          <t>DALARNAS LÄN</t>
        </is>
      </c>
      <c r="G941" t="inlineStr">
        <is>
          <t>FALUN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6541-2026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46056</v>
      </c>
      <c r="E942" s="1" t="n">
        <v>46298</v>
      </c>
      <c r="F942" t="inlineStr">
        <is>
          <t>DALARNAS LÄN</t>
        </is>
      </c>
      <c r="G942" t="inlineStr">
        <is>
          <t>FALUN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12232-2026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46087</v>
      </c>
      <c r="E943" s="1" t="n">
        <v>46298</v>
      </c>
      <c r="F943" t="inlineStr">
        <is>
          <t>DALARNAS LÄN</t>
        </is>
      </c>
      <c r="G943" t="inlineStr">
        <is>
          <t>FALUN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15147-2026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46104</v>
      </c>
      <c r="E944" s="1" t="n">
        <v>46298</v>
      </c>
      <c r="F944" t="inlineStr">
        <is>
          <t>DALARNAS LÄN</t>
        </is>
      </c>
      <c r="G944" t="inlineStr">
        <is>
          <t>FALUN</t>
        </is>
      </c>
      <c r="H944" t="inlineStr">
        <is>
          <t>Allmännings- och besparingsskogar</t>
        </is>
      </c>
      <c r="I944" t="n">
        <v>7.8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46042</v>
      </c>
      <c r="E945" s="1" t="n">
        <v>46298</v>
      </c>
      <c r="F945" t="inlineStr">
        <is>
          <t>DALARNAS LÄN</t>
        </is>
      </c>
      <c r="G945" t="inlineStr">
        <is>
          <t>FALUN</t>
        </is>
      </c>
      <c r="I945" t="n">
        <v>8.6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6889-2026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46057</v>
      </c>
      <c r="E946" s="1" t="n">
        <v>46298</v>
      </c>
      <c r="F946" t="inlineStr">
        <is>
          <t>DALARNAS LÄN</t>
        </is>
      </c>
      <c r="G946" t="inlineStr">
        <is>
          <t>FALUN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46298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46298</v>
      </c>
      <c r="F948" t="inlineStr">
        <is>
          <t>DALARNAS LÄN</t>
        </is>
      </c>
      <c r="G948" t="inlineStr">
        <is>
          <t>FALUN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8435-2025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45709</v>
      </c>
      <c r="E949" s="1" t="n">
        <v>46298</v>
      </c>
      <c r="F949" t="inlineStr">
        <is>
          <t>DALARNAS LÄN</t>
        </is>
      </c>
      <c r="G949" t="inlineStr">
        <is>
          <t>FALUN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64077-2025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46021</v>
      </c>
      <c r="E950" s="1" t="n">
        <v>46298</v>
      </c>
      <c r="F950" t="inlineStr">
        <is>
          <t>DALARNAS LÄN</t>
        </is>
      </c>
      <c r="G950" t="inlineStr">
        <is>
          <t>FALUN</t>
        </is>
      </c>
      <c r="I950" t="n">
        <v>6.9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46298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14009-2026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46098</v>
      </c>
      <c r="E952" s="1" t="n">
        <v>46298</v>
      </c>
      <c r="F952" t="inlineStr">
        <is>
          <t>DALARNAS LÄN</t>
        </is>
      </c>
      <c r="G952" t="inlineStr">
        <is>
          <t>FALUN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12740-2026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46091</v>
      </c>
      <c r="E953" s="1" t="n">
        <v>46298</v>
      </c>
      <c r="F953" t="inlineStr">
        <is>
          <t>DALARNAS LÄN</t>
        </is>
      </c>
      <c r="G953" t="inlineStr">
        <is>
          <t>FALUN</t>
        </is>
      </c>
      <c r="I953" t="n">
        <v>7.9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5501-2026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46298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18666-2026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46128</v>
      </c>
      <c r="E955" s="1" t="n">
        <v>46298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36271-2025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46298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34103-2024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45523</v>
      </c>
      <c r="E957" s="1" t="n">
        <v>46298</v>
      </c>
      <c r="F957" t="inlineStr">
        <is>
          <t>DALARNAS LÄN</t>
        </is>
      </c>
      <c r="G957" t="inlineStr">
        <is>
          <t>FALUN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17313-2026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46298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1627-2026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46298</v>
      </c>
      <c r="F959" t="inlineStr">
        <is>
          <t>DALARNAS LÄN</t>
        </is>
      </c>
      <c r="G959" t="inlineStr">
        <is>
          <t>FALUN</t>
        </is>
      </c>
      <c r="I959" t="n">
        <v>11.6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46298</v>
      </c>
      <c r="F960" t="inlineStr">
        <is>
          <t>DALARNAS LÄN</t>
        </is>
      </c>
      <c r="G960" t="inlineStr">
        <is>
          <t>FALUN</t>
        </is>
      </c>
      <c r="I960" t="n">
        <v>11.6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46298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26.2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46036</v>
      </c>
      <c r="E962" s="1" t="n">
        <v>46298</v>
      </c>
      <c r="F962" t="inlineStr">
        <is>
          <t>DALARNAS LÄN</t>
        </is>
      </c>
      <c r="G962" t="inlineStr">
        <is>
          <t>FALUN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46298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16334-2023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45028</v>
      </c>
      <c r="E964" s="1" t="n">
        <v>46298</v>
      </c>
      <c r="F964" t="inlineStr">
        <is>
          <t>DALARNAS LÄN</t>
        </is>
      </c>
      <c r="G964" t="inlineStr">
        <is>
          <t>FALUN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46298</v>
      </c>
      <c r="F965" t="inlineStr">
        <is>
          <t>DALARNAS LÄN</t>
        </is>
      </c>
      <c r="G965" t="inlineStr">
        <is>
          <t>FALUN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20402-2026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46140</v>
      </c>
      <c r="E966" s="1" t="n">
        <v>46298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15999-2024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45405</v>
      </c>
      <c r="E967" s="1" t="n">
        <v>46298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2284-2026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46298</v>
      </c>
      <c r="F968" t="inlineStr">
        <is>
          <t>DALARNAS LÄN</t>
        </is>
      </c>
      <c r="G968" t="inlineStr">
        <is>
          <t>FALUN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46298</v>
      </c>
      <c r="F969" t="inlineStr">
        <is>
          <t>DALARNAS LÄN</t>
        </is>
      </c>
      <c r="G969" t="inlineStr">
        <is>
          <t>FALUN</t>
        </is>
      </c>
      <c r="I969" t="n">
        <v>17.4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17507-2025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45757</v>
      </c>
      <c r="E970" s="1" t="n">
        <v>46298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11.2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20223-2026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46298</v>
      </c>
      <c r="F971" t="inlineStr">
        <is>
          <t>DALARNAS LÄN</t>
        </is>
      </c>
      <c r="G971" t="inlineStr">
        <is>
          <t>FALUN</t>
        </is>
      </c>
      <c r="I971" t="n">
        <v>58.1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46298</v>
      </c>
      <c r="F972" t="inlineStr">
        <is>
          <t>DALARNAS LÄN</t>
        </is>
      </c>
      <c r="G972" t="inlineStr">
        <is>
          <t>FALUN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46050</v>
      </c>
      <c r="E973" s="1" t="n">
        <v>46298</v>
      </c>
      <c r="F973" t="inlineStr">
        <is>
          <t>DALARNAS LÄN</t>
        </is>
      </c>
      <c r="G973" t="inlineStr">
        <is>
          <t>FALUN</t>
        </is>
      </c>
      <c r="I973" t="n">
        <v>7.7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20403-2026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46298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20765-2026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46141</v>
      </c>
      <c r="E975" s="1" t="n">
        <v>46298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8122-2026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46298</v>
      </c>
      <c r="F976" t="inlineStr">
        <is>
          <t>DALARNAS LÄN</t>
        </is>
      </c>
      <c r="G976" t="inlineStr">
        <is>
          <t>FALUN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13073-2026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46298</v>
      </c>
      <c r="F977" t="inlineStr">
        <is>
          <t>DALARNAS LÄN</t>
        </is>
      </c>
      <c r="G977" t="inlineStr">
        <is>
          <t>FALUN</t>
        </is>
      </c>
      <c r="H977" t="inlineStr">
        <is>
          <t>Allmännings- och besparingsskogar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46298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27.8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9131-2026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46069</v>
      </c>
      <c r="E979" s="1" t="n">
        <v>46298</v>
      </c>
      <c r="F979" t="inlineStr">
        <is>
          <t>DALARNAS LÄN</t>
        </is>
      </c>
      <c r="G979" t="inlineStr">
        <is>
          <t>FALUN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12231-2026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46087</v>
      </c>
      <c r="E980" s="1" t="n">
        <v>46298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46027</v>
      </c>
      <c r="E981" s="1" t="n">
        <v>46298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46298</v>
      </c>
      <c r="F982" t="inlineStr">
        <is>
          <t>DALARNAS LÄN</t>
        </is>
      </c>
      <c r="G982" t="inlineStr">
        <is>
          <t>FALUN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58322-2023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45250</v>
      </c>
      <c r="E983" s="1" t="n">
        <v>46298</v>
      </c>
      <c r="F983" t="inlineStr">
        <is>
          <t>DALARNAS LÄN</t>
        </is>
      </c>
      <c r="G983" t="inlineStr">
        <is>
          <t>FALUN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43300-2025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45910</v>
      </c>
      <c r="E984" s="1" t="n">
        <v>46298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6453-2026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46298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74196-2021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44558</v>
      </c>
      <c r="E986" s="1" t="n">
        <v>46298</v>
      </c>
      <c r="F986" t="inlineStr">
        <is>
          <t>DALARNAS LÄN</t>
        </is>
      </c>
      <c r="G986" t="inlineStr">
        <is>
          <t>FALUN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40426-2022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44823</v>
      </c>
      <c r="E987" s="1" t="n">
        <v>46298</v>
      </c>
      <c r="F987" t="inlineStr">
        <is>
          <t>DALARNAS LÄN</t>
        </is>
      </c>
      <c r="G987" t="inlineStr">
        <is>
          <t>FALUN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46298</v>
      </c>
      <c r="F988" t="inlineStr">
        <is>
          <t>DALARNAS LÄN</t>
        </is>
      </c>
      <c r="G988" t="inlineStr">
        <is>
          <t>FALUN</t>
        </is>
      </c>
      <c r="I988" t="n">
        <v>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63842-2023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46298</v>
      </c>
      <c r="F989" t="inlineStr">
        <is>
          <t>DALARNAS LÄN</t>
        </is>
      </c>
      <c r="G989" t="inlineStr">
        <is>
          <t>FALUN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11681-2026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46084</v>
      </c>
      <c r="E990" s="1" t="n">
        <v>46298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2936-2026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46037</v>
      </c>
      <c r="E991" s="1" t="n">
        <v>46298</v>
      </c>
      <c r="F991" t="inlineStr">
        <is>
          <t>DALARNAS LÄN</t>
        </is>
      </c>
      <c r="G991" t="inlineStr">
        <is>
          <t>FALUN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46021</v>
      </c>
      <c r="E992" s="1" t="n">
        <v>46298</v>
      </c>
      <c r="F992" t="inlineStr">
        <is>
          <t>DALARNAS LÄN</t>
        </is>
      </c>
      <c r="G992" t="inlineStr">
        <is>
          <t>FALUN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20435-2026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46140</v>
      </c>
      <c r="E993" s="1" t="n">
        <v>46298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6794-2026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46057</v>
      </c>
      <c r="E994" s="1" t="n">
        <v>46298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20511-2026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46140</v>
      </c>
      <c r="E995" s="1" t="n">
        <v>46298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47.3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7962-2026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46063</v>
      </c>
      <c r="E996" s="1" t="n">
        <v>46298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46052</v>
      </c>
      <c r="E997" s="1" t="n">
        <v>46298</v>
      </c>
      <c r="F997" t="inlineStr">
        <is>
          <t>DALARNAS LÄN</t>
        </is>
      </c>
      <c r="G997" t="inlineStr">
        <is>
          <t>FALUN</t>
        </is>
      </c>
      <c r="I997" t="n">
        <v>12.2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46037</v>
      </c>
      <c r="E998" s="1" t="n">
        <v>46298</v>
      </c>
      <c r="F998" t="inlineStr">
        <is>
          <t>DALARNAS LÄN</t>
        </is>
      </c>
      <c r="G998" t="inlineStr">
        <is>
          <t>FALUN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6667-2026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46298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46027</v>
      </c>
      <c r="E1000" s="1" t="n">
        <v>46298</v>
      </c>
      <c r="F1000" t="inlineStr">
        <is>
          <t>DALARNAS LÄN</t>
        </is>
      </c>
      <c r="G1000" t="inlineStr">
        <is>
          <t>FALUN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20444-2026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46298</v>
      </c>
      <c r="F1001" t="inlineStr">
        <is>
          <t>DALARNAS LÄN</t>
        </is>
      </c>
      <c r="G1001" t="inlineStr">
        <is>
          <t>FALUN</t>
        </is>
      </c>
      <c r="I1001" t="n">
        <v>11.8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46298</v>
      </c>
      <c r="F1002" t="inlineStr">
        <is>
          <t>DALARNAS LÄN</t>
        </is>
      </c>
      <c r="G1002" t="inlineStr">
        <is>
          <t>FALUN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46142</v>
      </c>
      <c r="E1003" s="1" t="n">
        <v>46298</v>
      </c>
      <c r="F1003" t="inlineStr">
        <is>
          <t>DALARNAS LÄN</t>
        </is>
      </c>
      <c r="G1003" t="inlineStr">
        <is>
          <t>FALUN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20936-2026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46142</v>
      </c>
      <c r="E1004" s="1" t="n">
        <v>46298</v>
      </c>
      <c r="F1004" t="inlineStr">
        <is>
          <t>DALARNAS LÄN</t>
        </is>
      </c>
      <c r="G1004" t="inlineStr">
        <is>
          <t>FALUN</t>
        </is>
      </c>
      <c r="I1004" t="n">
        <v>45.9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20891-2026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46142</v>
      </c>
      <c r="E1005" s="1" t="n">
        <v>46298</v>
      </c>
      <c r="F1005" t="inlineStr">
        <is>
          <t>DALARNAS LÄN</t>
        </is>
      </c>
      <c r="G1005" t="inlineStr">
        <is>
          <t>FALUN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20890-2026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46298</v>
      </c>
      <c r="F1006" t="inlineStr">
        <is>
          <t>DALARNAS LÄN</t>
        </is>
      </c>
      <c r="G1006" t="inlineStr">
        <is>
          <t>FALUN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46298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20960-2026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46142</v>
      </c>
      <c r="E1008" s="1" t="n">
        <v>46298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20961-2026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46142</v>
      </c>
      <c r="E1009" s="1" t="n">
        <v>46298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18708-2026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46298</v>
      </c>
      <c r="F1010" t="inlineStr">
        <is>
          <t>DALARNAS LÄN</t>
        </is>
      </c>
      <c r="G1010" t="inlineStr">
        <is>
          <t>FALUN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42292-2023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45180</v>
      </c>
      <c r="E1011" s="1" t="n">
        <v>46298</v>
      </c>
      <c r="F1011" t="inlineStr">
        <is>
          <t>DALARNAS LÄN</t>
        </is>
      </c>
      <c r="G1011" t="inlineStr">
        <is>
          <t>FALUN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20831-2026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46142</v>
      </c>
      <c r="E1012" s="1" t="n">
        <v>46298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46298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40953-2023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45173</v>
      </c>
      <c r="E1014" s="1" t="n">
        <v>46298</v>
      </c>
      <c r="F1014" t="inlineStr">
        <is>
          <t>DALARNAS LÄN</t>
        </is>
      </c>
      <c r="G1014" t="inlineStr">
        <is>
          <t>FALUN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21107-2026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46298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57.6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46298</v>
      </c>
      <c r="F1016" t="inlineStr">
        <is>
          <t>DALARNAS LÄN</t>
        </is>
      </c>
      <c r="G1016" t="inlineStr">
        <is>
          <t>FALUN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46298</v>
      </c>
      <c r="F1017" t="inlineStr">
        <is>
          <t>DALARNAS LÄN</t>
        </is>
      </c>
      <c r="G1017" t="inlineStr">
        <is>
          <t>FALUN</t>
        </is>
      </c>
      <c r="I1017" t="n">
        <v>11.6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46298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21155-2026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46298</v>
      </c>
      <c r="F1019" t="inlineStr">
        <is>
          <t>DALARNAS LÄN</t>
        </is>
      </c>
      <c r="G1019" t="inlineStr">
        <is>
          <t>FALUN</t>
        </is>
      </c>
      <c r="I1019" t="n">
        <v>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8212-2026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46298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46090</v>
      </c>
      <c r="E1021" s="1" t="n">
        <v>46298</v>
      </c>
      <c r="F1021" t="inlineStr">
        <is>
          <t>DALARNAS LÄN</t>
        </is>
      </c>
      <c r="G1021" t="inlineStr">
        <is>
          <t>FALUN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21130-2026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46298</v>
      </c>
      <c r="F1022" t="inlineStr">
        <is>
          <t>DALARNAS LÄN</t>
        </is>
      </c>
      <c r="G1022" t="inlineStr">
        <is>
          <t>FALUN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21346-2026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46147</v>
      </c>
      <c r="E1023" s="1" t="n">
        <v>46298</v>
      </c>
      <c r="F1023" t="inlineStr">
        <is>
          <t>DALARNAS LÄN</t>
        </is>
      </c>
      <c r="G1023" t="inlineStr">
        <is>
          <t>FALUN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46298</v>
      </c>
      <c r="F1024" t="inlineStr">
        <is>
          <t>DALARNAS LÄN</t>
        </is>
      </c>
      <c r="G1024" t="inlineStr">
        <is>
          <t>FALUN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46023</v>
      </c>
      <c r="E1025" s="1" t="n">
        <v>46298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46298</v>
      </c>
      <c r="F1026" t="inlineStr">
        <is>
          <t>DALARNAS LÄN</t>
        </is>
      </c>
      <c r="G1026" t="inlineStr">
        <is>
          <t>FALUN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46298</v>
      </c>
      <c r="F1027" t="inlineStr">
        <is>
          <t>DALARNAS LÄN</t>
        </is>
      </c>
      <c r="G1027" t="inlineStr">
        <is>
          <t>FALUN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21306-2026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46147</v>
      </c>
      <c r="E1028" s="1" t="n">
        <v>46298</v>
      </c>
      <c r="F1028" t="inlineStr">
        <is>
          <t>DALARNAS LÄN</t>
        </is>
      </c>
      <c r="G1028" t="inlineStr">
        <is>
          <t>FALUN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46298</v>
      </c>
      <c r="F1029" t="inlineStr">
        <is>
          <t>DALARNAS LÄN</t>
        </is>
      </c>
      <c r="G1029" t="inlineStr">
        <is>
          <t>FALUN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21212-2026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46298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17932-2026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46298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3083-2026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46298</v>
      </c>
      <c r="F1032" t="inlineStr">
        <is>
          <t>DALARNAS LÄN</t>
        </is>
      </c>
      <c r="G1032" t="inlineStr">
        <is>
          <t>FALUN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46298</v>
      </c>
      <c r="F1033" t="inlineStr">
        <is>
          <t>DALARNAS LÄN</t>
        </is>
      </c>
      <c r="G1033" t="inlineStr">
        <is>
          <t>FALUN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14688-2023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45014</v>
      </c>
      <c r="E1034" s="1" t="n">
        <v>46298</v>
      </c>
      <c r="F1034" t="inlineStr">
        <is>
          <t>DALARNAS LÄN</t>
        </is>
      </c>
      <c r="G1034" t="inlineStr">
        <is>
          <t>FALUN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21077-2026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46298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4980-2026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46298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19426-2025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45769</v>
      </c>
      <c r="E1037" s="1" t="n">
        <v>46298</v>
      </c>
      <c r="F1037" t="inlineStr">
        <is>
          <t>DALARNAS LÄN</t>
        </is>
      </c>
      <c r="G1037" t="inlineStr">
        <is>
          <t>FALUN</t>
        </is>
      </c>
      <c r="I1037" t="n">
        <v>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6455-2026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46055</v>
      </c>
      <c r="E1038" s="1" t="n">
        <v>46298</v>
      </c>
      <c r="F1038" t="inlineStr">
        <is>
          <t>DALARNAS LÄN</t>
        </is>
      </c>
      <c r="G1038" t="inlineStr">
        <is>
          <t>FALUN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21415-2026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46298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21441-2026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46298</v>
      </c>
      <c r="F1040" t="inlineStr">
        <is>
          <t>DALARNAS LÄN</t>
        </is>
      </c>
      <c r="G1040" t="inlineStr">
        <is>
          <t>FALUN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21701-2026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46149</v>
      </c>
      <c r="E1041" s="1" t="n">
        <v>46298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21561-2026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46298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46298</v>
      </c>
      <c r="F1043" t="inlineStr">
        <is>
          <t>DALARNAS LÄN</t>
        </is>
      </c>
      <c r="G1043" t="inlineStr">
        <is>
          <t>FALUN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21635-2026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46149</v>
      </c>
      <c r="E1044" s="1" t="n">
        <v>46298</v>
      </c>
      <c r="F1044" t="inlineStr">
        <is>
          <t>DALARNAS LÄN</t>
        </is>
      </c>
      <c r="G1044" t="inlineStr">
        <is>
          <t>FALUN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21414-2026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46148</v>
      </c>
      <c r="E1045" s="1" t="n">
        <v>46298</v>
      </c>
      <c r="F1045" t="inlineStr">
        <is>
          <t>DALARNAS LÄN</t>
        </is>
      </c>
      <c r="G1045" t="inlineStr">
        <is>
          <t>FALUN</t>
        </is>
      </c>
      <c r="I1045" t="n">
        <v>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21410-2026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46148</v>
      </c>
      <c r="E1046" s="1" t="n">
        <v>46298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56149-2022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44889</v>
      </c>
      <c r="E1047" s="1" t="n">
        <v>46298</v>
      </c>
      <c r="F1047" t="inlineStr">
        <is>
          <t>DALARNAS LÄN</t>
        </is>
      </c>
      <c r="G1047" t="inlineStr">
        <is>
          <t>FALUN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21460-2026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46148</v>
      </c>
      <c r="E1048" s="1" t="n">
        <v>46298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21636-2026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46149</v>
      </c>
      <c r="E1049" s="1" t="n">
        <v>46298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7.7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21824-2026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46298</v>
      </c>
      <c r="F1050" t="inlineStr">
        <is>
          <t>DALARNAS LÄN</t>
        </is>
      </c>
      <c r="G1050" t="inlineStr">
        <is>
          <t>FALUN</t>
        </is>
      </c>
      <c r="I1050" t="n">
        <v>10.7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21825-2026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46298</v>
      </c>
      <c r="F1051" t="inlineStr">
        <is>
          <t>DALARNAS LÄN</t>
        </is>
      </c>
      <c r="G1051" t="inlineStr">
        <is>
          <t>FALUN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10268-2024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45365</v>
      </c>
      <c r="E1052" s="1" t="n">
        <v>46298</v>
      </c>
      <c r="F1052" t="inlineStr">
        <is>
          <t>DALARNAS LÄN</t>
        </is>
      </c>
      <c r="G1052" t="inlineStr">
        <is>
          <t>FALUN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36411-2025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45868</v>
      </c>
      <c r="E1053" s="1" t="n">
        <v>46298</v>
      </c>
      <c r="F1053" t="inlineStr">
        <is>
          <t>DALARNAS LÄN</t>
        </is>
      </c>
      <c r="G1053" t="inlineStr">
        <is>
          <t>FALUN</t>
        </is>
      </c>
      <c r="I1053" t="n">
        <v>10.7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12260-2026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46087</v>
      </c>
      <c r="E1054" s="1" t="n">
        <v>46298</v>
      </c>
      <c r="F1054" t="inlineStr">
        <is>
          <t>DALARNAS LÄN</t>
        </is>
      </c>
      <c r="G1054" t="inlineStr">
        <is>
          <t>FALUN</t>
        </is>
      </c>
      <c r="I1054" t="n">
        <v>23.9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22114-2026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46153</v>
      </c>
      <c r="E1055" s="1" t="n">
        <v>46298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22069-2026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46153</v>
      </c>
      <c r="E1056" s="1" t="n">
        <v>46298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17549-2026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46120</v>
      </c>
      <c r="E1057" s="1" t="n">
        <v>46298</v>
      </c>
      <c r="F1057" t="inlineStr">
        <is>
          <t>DALARNAS LÄN</t>
        </is>
      </c>
      <c r="G1057" t="inlineStr">
        <is>
          <t>FALUN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2502-2026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46037</v>
      </c>
      <c r="E1058" s="1" t="n">
        <v>46298</v>
      </c>
      <c r="F1058" t="inlineStr">
        <is>
          <t>DALARNAS LÄN</t>
        </is>
      </c>
      <c r="G1058" t="inlineStr">
        <is>
          <t>FALUN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21873-2026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46150</v>
      </c>
      <c r="E1059" s="1" t="n">
        <v>46298</v>
      </c>
      <c r="F1059" t="inlineStr">
        <is>
          <t>DALARNAS LÄN</t>
        </is>
      </c>
      <c r="G1059" t="inlineStr">
        <is>
          <t>FALUN</t>
        </is>
      </c>
      <c r="I1059" t="n">
        <v>3.6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46298</v>
      </c>
      <c r="F1060" t="inlineStr">
        <is>
          <t>DALARNAS LÄN</t>
        </is>
      </c>
      <c r="G1060" t="inlineStr">
        <is>
          <t>FALUN</t>
        </is>
      </c>
      <c r="I1060" t="n">
        <v>3.2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21795-2026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46150</v>
      </c>
      <c r="E1061" s="1" t="n">
        <v>46298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46035</v>
      </c>
      <c r="E1062" s="1" t="n">
        <v>46298</v>
      </c>
      <c r="F1062" t="inlineStr">
        <is>
          <t>DALARNAS LÄN</t>
        </is>
      </c>
      <c r="G1062" t="inlineStr">
        <is>
          <t>FALUN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11295-2026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46080</v>
      </c>
      <c r="E1063" s="1" t="n">
        <v>46298</v>
      </c>
      <c r="F1063" t="inlineStr">
        <is>
          <t>DALARNAS LÄN</t>
        </is>
      </c>
      <c r="G1063" t="inlineStr">
        <is>
          <t>FALUN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10864-2026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46078</v>
      </c>
      <c r="E1064" s="1" t="n">
        <v>46298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46298</v>
      </c>
      <c r="F1065" t="inlineStr">
        <is>
          <t>DALARNAS LÄN</t>
        </is>
      </c>
      <c r="G1065" t="inlineStr">
        <is>
          <t>FALUN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21782-2026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46150</v>
      </c>
      <c r="E1066" s="1" t="n">
        <v>46298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46298</v>
      </c>
      <c r="F1067" t="inlineStr">
        <is>
          <t>DALARNAS LÄN</t>
        </is>
      </c>
      <c r="G1067" t="inlineStr">
        <is>
          <t>FALUN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2511-2026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46298</v>
      </c>
      <c r="F1068" t="inlineStr">
        <is>
          <t>DALARNAS LÄN</t>
        </is>
      </c>
      <c r="G1068" t="inlineStr">
        <is>
          <t>FALUN</t>
        </is>
      </c>
      <c r="I1068" t="n">
        <v>23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1135-2026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46030</v>
      </c>
      <c r="E1069" s="1" t="n">
        <v>46298</v>
      </c>
      <c r="F1069" t="inlineStr">
        <is>
          <t>DALARNAS LÄN</t>
        </is>
      </c>
      <c r="G1069" t="inlineStr">
        <is>
          <t>FALUN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1178-2026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46031</v>
      </c>
      <c r="E1070" s="1" t="n">
        <v>46298</v>
      </c>
      <c r="F1070" t="inlineStr">
        <is>
          <t>DALARNAS LÄN</t>
        </is>
      </c>
      <c r="G1070" t="inlineStr">
        <is>
          <t>FALUN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21896-2026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46298</v>
      </c>
      <c r="F1071" t="inlineStr">
        <is>
          <t>DALARNAS LÄN</t>
        </is>
      </c>
      <c r="G1071" t="inlineStr">
        <is>
          <t>FALUN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22204-2026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46298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46298</v>
      </c>
      <c r="F1073" t="inlineStr">
        <is>
          <t>DALARNAS LÄN</t>
        </is>
      </c>
      <c r="G1073" t="inlineStr">
        <is>
          <t>FALUN</t>
        </is>
      </c>
      <c r="H1073" t="inlineStr">
        <is>
          <t>Allmännings- och besparingsskogar</t>
        </is>
      </c>
      <c r="I1073" t="n">
        <v>17.4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8598-2026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46065</v>
      </c>
      <c r="E1074" s="1" t="n">
        <v>46298</v>
      </c>
      <c r="F1074" t="inlineStr">
        <is>
          <t>DALARNAS LÄN</t>
        </is>
      </c>
      <c r="G1074" t="inlineStr">
        <is>
          <t>FALUN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46298</v>
      </c>
      <c r="F1075" t="inlineStr">
        <is>
          <t>DALARNAS LÄN</t>
        </is>
      </c>
      <c r="G1075" t="inlineStr">
        <is>
          <t>FALUN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46298</v>
      </c>
      <c r="F1076" t="inlineStr">
        <is>
          <t>DALARNAS LÄN</t>
        </is>
      </c>
      <c r="G1076" t="inlineStr">
        <is>
          <t>FALUN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22174-2026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46153</v>
      </c>
      <c r="E1077" s="1" t="n">
        <v>46298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22188-2026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46298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22056-2026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46298</v>
      </c>
      <c r="F1079" t="inlineStr">
        <is>
          <t>DALARNAS LÄN</t>
        </is>
      </c>
      <c r="G1079" t="inlineStr">
        <is>
          <t>FALUN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21970-2026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46153</v>
      </c>
      <c r="E1080" s="1" t="n">
        <v>46298</v>
      </c>
      <c r="F1080" t="inlineStr">
        <is>
          <t>DALARNAS LÄN</t>
        </is>
      </c>
      <c r="G1080" t="inlineStr">
        <is>
          <t>FALUN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6953-2026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46298</v>
      </c>
      <c r="F1081" t="inlineStr">
        <is>
          <t>DALARNAS LÄN</t>
        </is>
      </c>
      <c r="G1081" t="inlineStr">
        <is>
          <t>FALUN</t>
        </is>
      </c>
      <c r="H1081" t="inlineStr">
        <is>
          <t>Allmännings- och besparingsskogar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16655-2026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46112</v>
      </c>
      <c r="E1082" s="1" t="n">
        <v>46298</v>
      </c>
      <c r="F1082" t="inlineStr">
        <is>
          <t>DALARNAS LÄN</t>
        </is>
      </c>
      <c r="G1082" t="inlineStr">
        <is>
          <t>FALUN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46027</v>
      </c>
      <c r="E1083" s="1" t="n">
        <v>46298</v>
      </c>
      <c r="F1083" t="inlineStr">
        <is>
          <t>DALARNAS LÄN</t>
        </is>
      </c>
      <c r="G1083" t="inlineStr">
        <is>
          <t>FALUN</t>
        </is>
      </c>
      <c r="I1083" t="n">
        <v>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46032</v>
      </c>
      <c r="E1084" s="1" t="n">
        <v>46298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3585-2026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46298</v>
      </c>
      <c r="F1085" t="inlineStr">
        <is>
          <t>DALARNAS LÄN</t>
        </is>
      </c>
      <c r="G1085" t="inlineStr">
        <is>
          <t>FALUN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3651-2026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46043</v>
      </c>
      <c r="E1086" s="1" t="n">
        <v>46298</v>
      </c>
      <c r="F1086" t="inlineStr">
        <is>
          <t>DALARNAS LÄN</t>
        </is>
      </c>
      <c r="G1086" t="inlineStr">
        <is>
          <t>FALUN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46298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46298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9774-2026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46298</v>
      </c>
      <c r="F1089" t="inlineStr">
        <is>
          <t>DALARNAS LÄN</t>
        </is>
      </c>
      <c r="G1089" t="inlineStr">
        <is>
          <t>FALUN</t>
        </is>
      </c>
      <c r="I1089" t="n">
        <v>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9841-2026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46072</v>
      </c>
      <c r="E1090" s="1" t="n">
        <v>46298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1088-2024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45302</v>
      </c>
      <c r="E1091" s="1" t="n">
        <v>46298</v>
      </c>
      <c r="F1091" t="inlineStr">
        <is>
          <t>DALARNAS LÄN</t>
        </is>
      </c>
      <c r="G1091" t="inlineStr">
        <is>
          <t>FALUN</t>
        </is>
      </c>
      <c r="I1091" t="n">
        <v>9.699999999999999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14411-2026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46100</v>
      </c>
      <c r="E1092" s="1" t="n">
        <v>46298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14.5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13812-2026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46298</v>
      </c>
      <c r="F1093" t="inlineStr">
        <is>
          <t>DALARNAS LÄN</t>
        </is>
      </c>
      <c r="G1093" t="inlineStr">
        <is>
          <t>FALUN</t>
        </is>
      </c>
      <c r="I1093" t="n">
        <v>4.8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13237-2026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46093</v>
      </c>
      <c r="E1094" s="1" t="n">
        <v>46298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21837-2026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46298</v>
      </c>
      <c r="F1095" t="inlineStr">
        <is>
          <t>DALARNAS LÄN</t>
        </is>
      </c>
      <c r="G1095" t="inlineStr">
        <is>
          <t>FALUN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21823-2026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46150</v>
      </c>
      <c r="E1096" s="1" t="n">
        <v>46298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21834-2026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46150</v>
      </c>
      <c r="E1097" s="1" t="n">
        <v>46298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21972-2026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46298</v>
      </c>
      <c r="F1098" t="inlineStr">
        <is>
          <t>DALARNAS LÄN</t>
        </is>
      </c>
      <c r="G1098" t="inlineStr">
        <is>
          <t>FALUN</t>
        </is>
      </c>
      <c r="I1098" t="n">
        <v>13.9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46036</v>
      </c>
      <c r="E1099" s="1" t="n">
        <v>46298</v>
      </c>
      <c r="F1099" t="inlineStr">
        <is>
          <t>DALARNAS LÄN</t>
        </is>
      </c>
      <c r="G1099" t="inlineStr">
        <is>
          <t>FALUN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46048</v>
      </c>
      <c r="E1100" s="1" t="n">
        <v>46298</v>
      </c>
      <c r="F1100" t="inlineStr">
        <is>
          <t>DALARNAS LÄN</t>
        </is>
      </c>
      <c r="G1100" t="inlineStr">
        <is>
          <t>FALUN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22505-2026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46298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46298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46298</v>
      </c>
      <c r="F1103" t="inlineStr">
        <is>
          <t>DALARNAS LÄN</t>
        </is>
      </c>
      <c r="G1103" t="inlineStr">
        <is>
          <t>FALUN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22374-2026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46154</v>
      </c>
      <c r="E1104" s="1" t="n">
        <v>46298</v>
      </c>
      <c r="F1104" t="inlineStr">
        <is>
          <t>DALARNAS LÄN</t>
        </is>
      </c>
      <c r="G1104" t="inlineStr">
        <is>
          <t>FALUN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49969-2024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45597</v>
      </c>
      <c r="E1105" s="1" t="n">
        <v>46298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17132-2026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46114</v>
      </c>
      <c r="E1106" s="1" t="n">
        <v>46298</v>
      </c>
      <c r="F1106" t="inlineStr">
        <is>
          <t>DALARNAS LÄN</t>
        </is>
      </c>
      <c r="G1106" t="inlineStr">
        <is>
          <t>FALUN</t>
        </is>
      </c>
      <c r="I1106" t="n">
        <v>20.1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17213-2026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46298</v>
      </c>
      <c r="F1107" t="inlineStr">
        <is>
          <t>DALARNAS LÄN</t>
        </is>
      </c>
      <c r="G1107" t="inlineStr">
        <is>
          <t>FALUN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22634-2026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46155</v>
      </c>
      <c r="E1108" s="1" t="n">
        <v>46298</v>
      </c>
      <c r="F1108" t="inlineStr">
        <is>
          <t>DALARNAS LÄN</t>
        </is>
      </c>
      <c r="G1108" t="inlineStr">
        <is>
          <t>FALUN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46154</v>
      </c>
      <c r="E1109" s="1" t="n">
        <v>46298</v>
      </c>
      <c r="F1109" t="inlineStr">
        <is>
          <t>DALARNAS LÄN</t>
        </is>
      </c>
      <c r="G1109" t="inlineStr">
        <is>
          <t>FALUN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2711-2026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46037</v>
      </c>
      <c r="E1110" s="1" t="n">
        <v>46298</v>
      </c>
      <c r="F1110" t="inlineStr">
        <is>
          <t>DALARNAS LÄN</t>
        </is>
      </c>
      <c r="G1110" t="inlineStr">
        <is>
          <t>FALUN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22658-2026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46298</v>
      </c>
      <c r="F1111" t="inlineStr">
        <is>
          <t>DALARNAS LÄN</t>
        </is>
      </c>
      <c r="G1111" t="inlineStr">
        <is>
          <t>FALUN</t>
        </is>
      </c>
      <c r="I1111" t="n">
        <v>10.2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19717-2026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46298</v>
      </c>
      <c r="F1112" t="inlineStr">
        <is>
          <t>DALARNAS LÄN</t>
        </is>
      </c>
      <c r="G1112" t="inlineStr">
        <is>
          <t>FALUN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46040</v>
      </c>
      <c r="E1113" s="1" t="n">
        <v>46298</v>
      </c>
      <c r="F1113" t="inlineStr">
        <is>
          <t>DALARNAS LÄN</t>
        </is>
      </c>
      <c r="G1113" t="inlineStr">
        <is>
          <t>FALUN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22477-2026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46298</v>
      </c>
      <c r="F1114" t="inlineStr">
        <is>
          <t>DALARNAS LÄN</t>
        </is>
      </c>
      <c r="G1114" t="inlineStr">
        <is>
          <t>FALUN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46033</v>
      </c>
      <c r="E1115" s="1" t="n">
        <v>46298</v>
      </c>
      <c r="F1115" t="inlineStr">
        <is>
          <t>DALARNAS LÄN</t>
        </is>
      </c>
      <c r="G1115" t="inlineStr">
        <is>
          <t>FALUN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46298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22614-2026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46298</v>
      </c>
      <c r="F1117" t="inlineStr">
        <is>
          <t>DALARNAS LÄN</t>
        </is>
      </c>
      <c r="G1117" t="inlineStr">
        <is>
          <t>FALUN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22617-2026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46298</v>
      </c>
      <c r="F1118" t="inlineStr">
        <is>
          <t>DALARNAS LÄN</t>
        </is>
      </c>
      <c r="G1118" t="inlineStr">
        <is>
          <t>FALUN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22622-2026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46155</v>
      </c>
      <c r="E1119" s="1" t="n">
        <v>46298</v>
      </c>
      <c r="F1119" t="inlineStr">
        <is>
          <t>DALARNAS LÄN</t>
        </is>
      </c>
      <c r="G1119" t="inlineStr">
        <is>
          <t>FALUN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22295-2026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46298</v>
      </c>
      <c r="F1120" t="inlineStr">
        <is>
          <t>DALARNAS LÄN</t>
        </is>
      </c>
      <c r="G1120" t="inlineStr">
        <is>
          <t>FALUN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22368-2026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46154</v>
      </c>
      <c r="E1121" s="1" t="n">
        <v>46298</v>
      </c>
      <c r="F1121" t="inlineStr">
        <is>
          <t>DALARNAS LÄN</t>
        </is>
      </c>
      <c r="G1121" t="inlineStr">
        <is>
          <t>FALUN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22616-2026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46298</v>
      </c>
      <c r="F1122" t="inlineStr">
        <is>
          <t>DALARNAS LÄN</t>
        </is>
      </c>
      <c r="G1122" t="inlineStr">
        <is>
          <t>FALUN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43193-2024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45567</v>
      </c>
      <c r="E1123" s="1" t="n">
        <v>46298</v>
      </c>
      <c r="F1123" t="inlineStr">
        <is>
          <t>DALARNAS LÄN</t>
        </is>
      </c>
      <c r="G1123" t="inlineStr">
        <is>
          <t>FALUN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22430-2026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46154</v>
      </c>
      <c r="E1124" s="1" t="n">
        <v>46298</v>
      </c>
      <c r="F1124" t="inlineStr">
        <is>
          <t>DALARNAS LÄN</t>
        </is>
      </c>
      <c r="G1124" t="inlineStr">
        <is>
          <t>FALUN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17888-2026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46122</v>
      </c>
      <c r="E1125" s="1" t="n">
        <v>46298</v>
      </c>
      <c r="F1125" t="inlineStr">
        <is>
          <t>DALARNAS LÄN</t>
        </is>
      </c>
      <c r="G1125" t="inlineStr">
        <is>
          <t>FALUN</t>
        </is>
      </c>
      <c r="I1125" t="n">
        <v>6.3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47343-2024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45587</v>
      </c>
      <c r="E1126" s="1" t="n">
        <v>46298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14658-2026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46101</v>
      </c>
      <c r="E1127" s="1" t="n">
        <v>46298</v>
      </c>
      <c r="F1127" t="inlineStr">
        <is>
          <t>DALARNAS LÄN</t>
        </is>
      </c>
      <c r="G1127" t="inlineStr">
        <is>
          <t>FALUN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6789-2026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46298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16454-2026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46298</v>
      </c>
      <c r="F1129" t="inlineStr">
        <is>
          <t>DALARNAS LÄN</t>
        </is>
      </c>
      <c r="G1129" t="inlineStr">
        <is>
          <t>FALUN</t>
        </is>
      </c>
      <c r="I1129" t="n">
        <v>6.8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22624-2026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46298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22299-2026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46298</v>
      </c>
      <c r="F1131" t="inlineStr">
        <is>
          <t>DALARNAS LÄN</t>
        </is>
      </c>
      <c r="G1131" t="inlineStr">
        <is>
          <t>FALUN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22322-2026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46154</v>
      </c>
      <c r="E1132" s="1" t="n">
        <v>46298</v>
      </c>
      <c r="F1132" t="inlineStr">
        <is>
          <t>DALARNAS LÄN</t>
        </is>
      </c>
      <c r="G1132" t="inlineStr">
        <is>
          <t>FALUN</t>
        </is>
      </c>
      <c r="I1132" t="n">
        <v>7.1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14511-2026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46100</v>
      </c>
      <c r="E1133" s="1" t="n">
        <v>46298</v>
      </c>
      <c r="F1133" t="inlineStr">
        <is>
          <t>DALARNAS LÄN</t>
        </is>
      </c>
      <c r="G1133" t="inlineStr">
        <is>
          <t>FALUN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2745-2025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45677</v>
      </c>
      <c r="E1134" s="1" t="n">
        <v>46298</v>
      </c>
      <c r="F1134" t="inlineStr">
        <is>
          <t>DALARNAS LÄN</t>
        </is>
      </c>
      <c r="G1134" t="inlineStr">
        <is>
          <t>FALUN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15714-2026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46298</v>
      </c>
      <c r="F1135" t="inlineStr">
        <is>
          <t>DALARNAS LÄN</t>
        </is>
      </c>
      <c r="G1135" t="inlineStr">
        <is>
          <t>FALUN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18714-2026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46128</v>
      </c>
      <c r="E1136" s="1" t="n">
        <v>46298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3.1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46156</v>
      </c>
      <c r="E1137" s="1" t="n">
        <v>46298</v>
      </c>
      <c r="F1137" t="inlineStr">
        <is>
          <t>DALARNAS LÄN</t>
        </is>
      </c>
      <c r="G1137" t="inlineStr">
        <is>
          <t>FALUN</t>
        </is>
      </c>
      <c r="I1137" t="n">
        <v>10.2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22715-2026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46156</v>
      </c>
      <c r="E1138" s="1" t="n">
        <v>46298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22696-2026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46156</v>
      </c>
      <c r="E1139" s="1" t="n">
        <v>46298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29844-2022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44755</v>
      </c>
      <c r="E1140" s="1" t="n">
        <v>46298</v>
      </c>
      <c r="F1140" t="inlineStr">
        <is>
          <t>DALARNAS LÄN</t>
        </is>
      </c>
      <c r="G1140" t="inlineStr">
        <is>
          <t>FALUN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22907-2026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46160</v>
      </c>
      <c r="E1141" s="1" t="n">
        <v>46298</v>
      </c>
      <c r="F1141" t="inlineStr">
        <is>
          <t>DALARNAS LÄN</t>
        </is>
      </c>
      <c r="G1141" t="inlineStr">
        <is>
          <t>FALUN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23323-2024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45453</v>
      </c>
      <c r="E1142" s="1" t="n">
        <v>46298</v>
      </c>
      <c r="F1142" t="inlineStr">
        <is>
          <t>DALARNAS LÄN</t>
        </is>
      </c>
      <c r="G1142" t="inlineStr">
        <is>
          <t>FALUN</t>
        </is>
      </c>
      <c r="H1142" t="inlineStr">
        <is>
          <t>Övriga statliga verk och myndigheter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46200-2023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45196</v>
      </c>
      <c r="E1143" s="1" t="n">
        <v>46298</v>
      </c>
      <c r="F1143" t="inlineStr">
        <is>
          <t>DALARNAS LÄN</t>
        </is>
      </c>
      <c r="G1143" t="inlineStr">
        <is>
          <t>FALUN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46056</v>
      </c>
      <c r="E1144" s="1" t="n">
        <v>46298</v>
      </c>
      <c r="F1144" t="inlineStr">
        <is>
          <t>DALARNAS LÄN</t>
        </is>
      </c>
      <c r="G1144" t="inlineStr">
        <is>
          <t>FALUN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11712-2026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46084</v>
      </c>
      <c r="E1145" s="1" t="n">
        <v>46298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5.9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3689-2022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44586</v>
      </c>
      <c r="E1146" s="1" t="n">
        <v>46298</v>
      </c>
      <c r="F1146" t="inlineStr">
        <is>
          <t>DALARNAS LÄN</t>
        </is>
      </c>
      <c r="G1146" t="inlineStr">
        <is>
          <t>FALUN</t>
        </is>
      </c>
      <c r="I1146" t="n">
        <v>4.7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23156-2026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46161</v>
      </c>
      <c r="E1147" s="1" t="n">
        <v>46298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8.1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23158-2026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46161</v>
      </c>
      <c r="E1148" s="1" t="n">
        <v>46298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23159-2026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46161</v>
      </c>
      <c r="E1149" s="1" t="n">
        <v>46298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22967-2026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46160</v>
      </c>
      <c r="E1150" s="1" t="n">
        <v>46298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23044-2026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46161</v>
      </c>
      <c r="E1151" s="1" t="n">
        <v>46298</v>
      </c>
      <c r="F1151" t="inlineStr">
        <is>
          <t>DALARNAS LÄN</t>
        </is>
      </c>
      <c r="G1151" t="inlineStr">
        <is>
          <t>FALUN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22881-2026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46160</v>
      </c>
      <c r="E1152" s="1" t="n">
        <v>46298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22927-2026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46160</v>
      </c>
      <c r="E1153" s="1" t="n">
        <v>46298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22857-2026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46160</v>
      </c>
      <c r="E1154" s="1" t="n">
        <v>46298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20448-2026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46298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22820-2026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46160</v>
      </c>
      <c r="E1156" s="1" t="n">
        <v>46298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22961-2026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46298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23475-2026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46163</v>
      </c>
      <c r="E1158" s="1" t="n">
        <v>46298</v>
      </c>
      <c r="F1158" t="inlineStr">
        <is>
          <t>DALARNAS LÄN</t>
        </is>
      </c>
      <c r="G1158" t="inlineStr">
        <is>
          <t>FALUN</t>
        </is>
      </c>
      <c r="I1158" t="n">
        <v>3.7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23219-2026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46298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46298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46163</v>
      </c>
      <c r="E1161" s="1" t="n">
        <v>46298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16.9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23521-2026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46163</v>
      </c>
      <c r="E1162" s="1" t="n">
        <v>46298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23604-2026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46298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23227-2026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46298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23600-2026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46163</v>
      </c>
      <c r="E1165" s="1" t="n">
        <v>46298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23592-2026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46298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23593-2026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46163</v>
      </c>
      <c r="E1167" s="1" t="n">
        <v>46298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23597-2026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46163</v>
      </c>
      <c r="E1168" s="1" t="n">
        <v>46298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9.199999999999999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13583-2022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44648</v>
      </c>
      <c r="E1169" s="1" t="n">
        <v>46298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32571-2024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45513</v>
      </c>
      <c r="E1170" s="1" t="n">
        <v>46298</v>
      </c>
      <c r="F1170" t="inlineStr">
        <is>
          <t>DALARNAS LÄN</t>
        </is>
      </c>
      <c r="G1170" t="inlineStr">
        <is>
          <t>FALUN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23210-2026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46162</v>
      </c>
      <c r="E1171" s="1" t="n">
        <v>46298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23611-2026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46298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23211-2026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46162</v>
      </c>
      <c r="E1173" s="1" t="n">
        <v>46298</v>
      </c>
      <c r="F1173" t="inlineStr">
        <is>
          <t>DALARNAS LÄN</t>
        </is>
      </c>
      <c r="G1173" t="inlineStr">
        <is>
          <t>FALUN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23282-2026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46162</v>
      </c>
      <c r="E1174" s="1" t="n">
        <v>46298</v>
      </c>
      <c r="F1174" t="inlineStr">
        <is>
          <t>DALARNAS LÄN</t>
        </is>
      </c>
      <c r="G1174" t="inlineStr">
        <is>
          <t>FALUN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18050-2023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45040</v>
      </c>
      <c r="E1175" s="1" t="n">
        <v>46298</v>
      </c>
      <c r="F1175" t="inlineStr">
        <is>
          <t>DALARNAS LÄN</t>
        </is>
      </c>
      <c r="G1175" t="inlineStr">
        <is>
          <t>FALUN</t>
        </is>
      </c>
      <c r="I1175" t="n">
        <v>4.7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23650-2026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46164</v>
      </c>
      <c r="E1176" s="1" t="n">
        <v>46298</v>
      </c>
      <c r="F1176" t="inlineStr">
        <is>
          <t>DALARNAS LÄN</t>
        </is>
      </c>
      <c r="G1176" t="inlineStr">
        <is>
          <t>FALUN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23680-2026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46164</v>
      </c>
      <c r="E1177" s="1" t="n">
        <v>46298</v>
      </c>
      <c r="F1177" t="inlineStr">
        <is>
          <t>DALARNAS LÄN</t>
        </is>
      </c>
      <c r="G1177" t="inlineStr">
        <is>
          <t>FALUN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23694-2026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46164</v>
      </c>
      <c r="E1178" s="1" t="n">
        <v>46298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47633-2022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44854</v>
      </c>
      <c r="E1179" s="1" t="n">
        <v>46298</v>
      </c>
      <c r="F1179" t="inlineStr">
        <is>
          <t>DALARNAS LÄN</t>
        </is>
      </c>
      <c r="G1179" t="inlineStr">
        <is>
          <t>FALUN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46167</v>
      </c>
      <c r="E1180" s="1" t="n">
        <v>46298</v>
      </c>
      <c r="F1180" t="inlineStr">
        <is>
          <t>DALARNAS LÄN</t>
        </is>
      </c>
      <c r="G1180" t="inlineStr">
        <is>
          <t>FALUN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23842-2026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46167</v>
      </c>
      <c r="E1181" s="1" t="n">
        <v>46298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46164</v>
      </c>
      <c r="E1182" s="1" t="n">
        <v>46298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11748-2025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45727</v>
      </c>
      <c r="E1183" s="1" t="n">
        <v>46298</v>
      </c>
      <c r="F1183" t="inlineStr">
        <is>
          <t>DALARNAS LÄN</t>
        </is>
      </c>
      <c r="G1183" t="inlineStr">
        <is>
          <t>FALUN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37456-2025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45877</v>
      </c>
      <c r="E1184" s="1" t="n">
        <v>46298</v>
      </c>
      <c r="F1184" t="inlineStr">
        <is>
          <t>DALARNAS LÄN</t>
        </is>
      </c>
      <c r="G1184" t="inlineStr">
        <is>
          <t>FALUN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24016-2026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46298</v>
      </c>
      <c r="F1185" t="inlineStr">
        <is>
          <t>DALARNAS LÄN</t>
        </is>
      </c>
      <c r="G1185" t="inlineStr">
        <is>
          <t>FALUN</t>
        </is>
      </c>
      <c r="I1185" t="n">
        <v>9.9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24023-2026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46298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27885-2023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45098</v>
      </c>
      <c r="E1187" s="1" t="n">
        <v>46298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23696-2026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46164</v>
      </c>
      <c r="E1188" s="1" t="n">
        <v>46298</v>
      </c>
      <c r="F1188" t="inlineStr">
        <is>
          <t>DALARNAS LÄN</t>
        </is>
      </c>
      <c r="G1188" t="inlineStr">
        <is>
          <t>FALUN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46298</v>
      </c>
      <c r="F1189" t="inlineStr">
        <is>
          <t>DALARNAS LÄN</t>
        </is>
      </c>
      <c r="G1189" t="inlineStr">
        <is>
          <t>FALUN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20350-2026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46298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58.4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24004-2026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46167</v>
      </c>
      <c r="E1191" s="1" t="n">
        <v>46298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9.5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56642-2024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45625</v>
      </c>
      <c r="E1192" s="1" t="n">
        <v>46298</v>
      </c>
      <c r="F1192" t="inlineStr">
        <is>
          <t>DALARNAS LÄN</t>
        </is>
      </c>
      <c r="G1192" t="inlineStr">
        <is>
          <t>FALUN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24186-2026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46168</v>
      </c>
      <c r="E1193" s="1" t="n">
        <v>46298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24130-2026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46298</v>
      </c>
      <c r="F1194" t="inlineStr">
        <is>
          <t>DALARNAS LÄN</t>
        </is>
      </c>
      <c r="G1194" t="inlineStr">
        <is>
          <t>FALUN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24169-2026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46168</v>
      </c>
      <c r="E1195" s="1" t="n">
        <v>46298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24268-2026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46169</v>
      </c>
      <c r="E1196" s="1" t="n">
        <v>46298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10482-2026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46298</v>
      </c>
      <c r="F1197" t="inlineStr">
        <is>
          <t>DALARNAS LÄN</t>
        </is>
      </c>
      <c r="G1197" t="inlineStr">
        <is>
          <t>FALUN</t>
        </is>
      </c>
      <c r="H1197" t="inlineStr">
        <is>
          <t>Kyrkan</t>
        </is>
      </c>
      <c r="I1197" t="n">
        <v>5.1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24358-2026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46169</v>
      </c>
      <c r="E1198" s="1" t="n">
        <v>46298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11724-2026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46084</v>
      </c>
      <c r="E1199" s="1" t="n">
        <v>46298</v>
      </c>
      <c r="F1199" t="inlineStr">
        <is>
          <t>DALARNAS LÄN</t>
        </is>
      </c>
      <c r="G1199" t="inlineStr">
        <is>
          <t>FALUN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58508-2022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44902</v>
      </c>
      <c r="E1200" s="1" t="n">
        <v>46298</v>
      </c>
      <c r="F1200" t="inlineStr">
        <is>
          <t>DALARNAS LÄN</t>
        </is>
      </c>
      <c r="G1200" t="inlineStr">
        <is>
          <t>FALUN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24046-2026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46168</v>
      </c>
      <c r="E1201" s="1" t="n">
        <v>46298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24226-2026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46168</v>
      </c>
      <c r="E1202" s="1" t="n">
        <v>46298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24095-2026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46168</v>
      </c>
      <c r="E1203" s="1" t="n">
        <v>46298</v>
      </c>
      <c r="F1203" t="inlineStr">
        <is>
          <t>DALARNAS LÄN</t>
        </is>
      </c>
      <c r="G1203" t="inlineStr">
        <is>
          <t>FALUN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24192-2026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46298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46298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46169</v>
      </c>
      <c r="E1206" s="1" t="n">
        <v>46298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51.1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46036</v>
      </c>
      <c r="E1207" s="1" t="n">
        <v>46298</v>
      </c>
      <c r="F1207" t="inlineStr">
        <is>
          <t>DALARNAS LÄN</t>
        </is>
      </c>
      <c r="G1207" t="inlineStr">
        <is>
          <t>FALUN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46044</v>
      </c>
      <c r="E1208" s="1" t="n">
        <v>46298</v>
      </c>
      <c r="F1208" t="inlineStr">
        <is>
          <t>DALARNAS LÄN</t>
        </is>
      </c>
      <c r="G1208" t="inlineStr">
        <is>
          <t>FALUN</t>
        </is>
      </c>
      <c r="H1208" t="inlineStr">
        <is>
          <t>Kyrkan</t>
        </is>
      </c>
      <c r="I1208" t="n">
        <v>21.5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24316-2026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46169</v>
      </c>
      <c r="E1209" s="1" t="n">
        <v>46298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46091</v>
      </c>
      <c r="E1210" s="1" t="n">
        <v>46298</v>
      </c>
      <c r="F1210" t="inlineStr">
        <is>
          <t>DALARNAS LÄN</t>
        </is>
      </c>
      <c r="G1210" t="inlineStr">
        <is>
          <t>FALUN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53540-2022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44879</v>
      </c>
      <c r="E1211" s="1" t="n">
        <v>46298</v>
      </c>
      <c r="F1211" t="inlineStr">
        <is>
          <t>DALARNAS LÄN</t>
        </is>
      </c>
      <c r="G1211" t="inlineStr">
        <is>
          <t>FALUN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41370-2025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45900</v>
      </c>
      <c r="E1212" s="1" t="n">
        <v>46298</v>
      </c>
      <c r="F1212" t="inlineStr">
        <is>
          <t>DALARNAS LÄN</t>
        </is>
      </c>
      <c r="G1212" t="inlineStr">
        <is>
          <t>FALUN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46030</v>
      </c>
      <c r="E1213" s="1" t="n">
        <v>46298</v>
      </c>
      <c r="F1213" t="inlineStr">
        <is>
          <t>DALARNAS LÄN</t>
        </is>
      </c>
      <c r="G1213" t="inlineStr">
        <is>
          <t>FALUN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24025-2026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46167</v>
      </c>
      <c r="E1214" s="1" t="n">
        <v>46298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4.5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24107-2026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46298</v>
      </c>
      <c r="F1215" t="inlineStr">
        <is>
          <t>DALARNAS LÄN</t>
        </is>
      </c>
      <c r="G1215" t="inlineStr">
        <is>
          <t>FALUN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24589-2026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46170</v>
      </c>
      <c r="E1216" s="1" t="n">
        <v>46298</v>
      </c>
      <c r="F1216" t="inlineStr">
        <is>
          <t>DALARNAS LÄN</t>
        </is>
      </c>
      <c r="G1216" t="inlineStr">
        <is>
          <t>FALUN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46170</v>
      </c>
      <c r="E1217" s="1" t="n">
        <v>46298</v>
      </c>
      <c r="F1217" t="inlineStr">
        <is>
          <t>DALARNAS LÄN</t>
        </is>
      </c>
      <c r="G1217" t="inlineStr">
        <is>
          <t>FALUN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36652-2024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45537</v>
      </c>
      <c r="E1218" s="1" t="n">
        <v>46298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24653-2026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46171</v>
      </c>
      <c r="E1219" s="1" t="n">
        <v>46298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42952-2023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45182</v>
      </c>
      <c r="E1220" s="1" t="n">
        <v>46298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33534-2023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45131</v>
      </c>
      <c r="E1221" s="1" t="n">
        <v>46298</v>
      </c>
      <c r="F1221" t="inlineStr">
        <is>
          <t>DALARNAS LÄN</t>
        </is>
      </c>
      <c r="G1221" t="inlineStr">
        <is>
          <t>FALUN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45131</v>
      </c>
      <c r="E1222" s="1" t="n">
        <v>46298</v>
      </c>
      <c r="F1222" t="inlineStr">
        <is>
          <t>DALARNAS LÄN</t>
        </is>
      </c>
      <c r="G1222" t="inlineStr">
        <is>
          <t>FALUN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33543-2023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45131</v>
      </c>
      <c r="E1223" s="1" t="n">
        <v>46298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24675-2026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46171</v>
      </c>
      <c r="E1224" s="1" t="n">
        <v>46298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3185-2026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46041</v>
      </c>
      <c r="E1225" s="1" t="n">
        <v>46298</v>
      </c>
      <c r="F1225" t="inlineStr">
        <is>
          <t>DALARNAS LÄN</t>
        </is>
      </c>
      <c r="G1225" t="inlineStr">
        <is>
          <t>FALUN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24766-2026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46171</v>
      </c>
      <c r="E1226" s="1" t="n">
        <v>46298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46298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23217-2026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46162</v>
      </c>
      <c r="E1228" s="1" t="n">
        <v>46298</v>
      </c>
      <c r="F1228" t="inlineStr">
        <is>
          <t>DALARNAS LÄN</t>
        </is>
      </c>
      <c r="G1228" t="inlineStr">
        <is>
          <t>FALUN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21288-2024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45440</v>
      </c>
      <c r="E1229" s="1" t="n">
        <v>46298</v>
      </c>
      <c r="F1229" t="inlineStr">
        <is>
          <t>DALARNAS LÄN</t>
        </is>
      </c>
      <c r="G1229" t="inlineStr">
        <is>
          <t>FALUN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61387-2024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45646</v>
      </c>
      <c r="E1230" s="1" t="n">
        <v>46298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16.6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24935-2026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46174</v>
      </c>
      <c r="E1231" s="1" t="n">
        <v>46298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1306-2026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46031</v>
      </c>
      <c r="E1232" s="1" t="n">
        <v>46298</v>
      </c>
      <c r="F1232" t="inlineStr">
        <is>
          <t>DALARNAS LÄN</t>
        </is>
      </c>
      <c r="G1232" t="inlineStr">
        <is>
          <t>FALUN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15610-2024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45401</v>
      </c>
      <c r="E1233" s="1" t="n">
        <v>46298</v>
      </c>
      <c r="F1233" t="inlineStr">
        <is>
          <t>DALARNAS LÄN</t>
        </is>
      </c>
      <c r="G1233" t="inlineStr">
        <is>
          <t>FALUN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24789-2026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46171</v>
      </c>
      <c r="E1234" s="1" t="n">
        <v>46298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24797-2026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46171</v>
      </c>
      <c r="E1235" s="1" t="n">
        <v>46298</v>
      </c>
      <c r="F1235" t="inlineStr">
        <is>
          <t>DALARNAS LÄN</t>
        </is>
      </c>
      <c r="G1235" t="inlineStr">
        <is>
          <t>FALUN</t>
        </is>
      </c>
      <c r="I1235" t="n">
        <v>4.8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25032-2026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46174</v>
      </c>
      <c r="E1236" s="1" t="n">
        <v>46298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24934-2026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46174</v>
      </c>
      <c r="E1237" s="1" t="n">
        <v>46298</v>
      </c>
      <c r="F1237" t="inlineStr">
        <is>
          <t>DALARNAS LÄN</t>
        </is>
      </c>
      <c r="G1237" t="inlineStr">
        <is>
          <t>FALUN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21747-2024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45442</v>
      </c>
      <c r="E1238" s="1" t="n">
        <v>46298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37999-2025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45881</v>
      </c>
      <c r="E1239" s="1" t="n">
        <v>46298</v>
      </c>
      <c r="F1239" t="inlineStr">
        <is>
          <t>DALARNAS LÄN</t>
        </is>
      </c>
      <c r="G1239" t="inlineStr">
        <is>
          <t>FALUN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24662-2026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46298</v>
      </c>
      <c r="F1240" t="inlineStr">
        <is>
          <t>DALARNAS LÄN</t>
        </is>
      </c>
      <c r="G1240" t="inlineStr">
        <is>
          <t>FALUN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46298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24779-2026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46171</v>
      </c>
      <c r="E1242" s="1" t="n">
        <v>46298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25307-2026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46176</v>
      </c>
      <c r="E1243" s="1" t="n">
        <v>46298</v>
      </c>
      <c r="F1243" t="inlineStr">
        <is>
          <t>DALARNAS LÄN</t>
        </is>
      </c>
      <c r="G1243" t="inlineStr">
        <is>
          <t>FALUN</t>
        </is>
      </c>
      <c r="H1243" t="inlineStr">
        <is>
          <t>Sveaskog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37998-2025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45881</v>
      </c>
      <c r="E1244" s="1" t="n">
        <v>46298</v>
      </c>
      <c r="F1244" t="inlineStr">
        <is>
          <t>DALARNAS LÄN</t>
        </is>
      </c>
      <c r="G1244" t="inlineStr">
        <is>
          <t>FALUN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25344-2026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46176</v>
      </c>
      <c r="E1245" s="1" t="n">
        <v>46298</v>
      </c>
      <c r="F1245" t="inlineStr">
        <is>
          <t>DALARNAS LÄN</t>
        </is>
      </c>
      <c r="G1245" t="inlineStr">
        <is>
          <t>FALUN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25550-2026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46298</v>
      </c>
      <c r="F1246" t="inlineStr">
        <is>
          <t>DALARNAS LÄN</t>
        </is>
      </c>
      <c r="G1246" t="inlineStr">
        <is>
          <t>FALUN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25358-2026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46176</v>
      </c>
      <c r="E1247" s="1" t="n">
        <v>46298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25217-2026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46175</v>
      </c>
      <c r="E1248" s="1" t="n">
        <v>46298</v>
      </c>
      <c r="F1248" t="inlineStr">
        <is>
          <t>DALARNAS LÄN</t>
        </is>
      </c>
      <c r="G1248" t="inlineStr">
        <is>
          <t>FALUN</t>
        </is>
      </c>
      <c r="I1248" t="n">
        <v>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25893-2026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46298</v>
      </c>
      <c r="F1249" t="inlineStr">
        <is>
          <t>DALARNAS LÄN</t>
        </is>
      </c>
      <c r="G1249" t="inlineStr">
        <is>
          <t>FALUN</t>
        </is>
      </c>
      <c r="I1249" t="n">
        <v>6.7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25668-2026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46178</v>
      </c>
      <c r="E1250" s="1" t="n">
        <v>46298</v>
      </c>
      <c r="F1250" t="inlineStr">
        <is>
          <t>DALARNAS LÄN</t>
        </is>
      </c>
      <c r="G1250" t="inlineStr">
        <is>
          <t>FALUN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25673-2026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46178</v>
      </c>
      <c r="E1251" s="1" t="n">
        <v>46298</v>
      </c>
      <c r="F1251" t="inlineStr">
        <is>
          <t>DALARNAS LÄN</t>
        </is>
      </c>
      <c r="G1251" t="inlineStr">
        <is>
          <t>FALUN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17751-2026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46298</v>
      </c>
      <c r="F1252" t="inlineStr">
        <is>
          <t>DALARNAS LÄN</t>
        </is>
      </c>
      <c r="G1252" t="inlineStr">
        <is>
          <t>FALUN</t>
        </is>
      </c>
      <c r="I1252" t="n">
        <v>7.5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25689-2026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46178</v>
      </c>
      <c r="E1253" s="1" t="n">
        <v>46298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25799-2026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46178</v>
      </c>
      <c r="E1254" s="1" t="n">
        <v>46298</v>
      </c>
      <c r="F1254" t="inlineStr">
        <is>
          <t>DALARNAS LÄN</t>
        </is>
      </c>
      <c r="G1254" t="inlineStr">
        <is>
          <t>FALUN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46298</v>
      </c>
      <c r="F1255" t="inlineStr">
        <is>
          <t>DALARNAS LÄN</t>
        </is>
      </c>
      <c r="G1255" t="inlineStr">
        <is>
          <t>FALUN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21416-2026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46298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6304-2026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46298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29740-2025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45825</v>
      </c>
      <c r="E1258" s="1" t="n">
        <v>46298</v>
      </c>
      <c r="F1258" t="inlineStr">
        <is>
          <t>DALARNAS LÄN</t>
        </is>
      </c>
      <c r="G1258" t="inlineStr">
        <is>
          <t>FALUN</t>
        </is>
      </c>
      <c r="I1258" t="n">
        <v>4.7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21289-2026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46147</v>
      </c>
      <c r="E1259" s="1" t="n">
        <v>46298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46055</v>
      </c>
      <c r="E1260" s="1" t="n">
        <v>46298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59200-2025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45988</v>
      </c>
      <c r="E1261" s="1" t="n">
        <v>46298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21653-2026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46149</v>
      </c>
      <c r="E1262" s="1" t="n">
        <v>46298</v>
      </c>
      <c r="F1262" t="inlineStr">
        <is>
          <t>DALARNAS LÄN</t>
        </is>
      </c>
      <c r="G1262" t="inlineStr">
        <is>
          <t>FALUN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25517-2026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46177</v>
      </c>
      <c r="E1263" s="1" t="n">
        <v>46298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25542-2026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46177</v>
      </c>
      <c r="E1264" s="1" t="n">
        <v>46298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25667-2026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46178</v>
      </c>
      <c r="E1265" s="1" t="n">
        <v>46298</v>
      </c>
      <c r="F1265" t="inlineStr">
        <is>
          <t>DALARNAS LÄN</t>
        </is>
      </c>
      <c r="G1265" t="inlineStr">
        <is>
          <t>FALUN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25810-2026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46298</v>
      </c>
      <c r="F1266" t="inlineStr">
        <is>
          <t>DALARNAS LÄN</t>
        </is>
      </c>
      <c r="G1266" t="inlineStr">
        <is>
          <t>FALUN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20873-2026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46142</v>
      </c>
      <c r="E1267" s="1" t="n">
        <v>46298</v>
      </c>
      <c r="F1267" t="inlineStr">
        <is>
          <t>DALARNAS LÄN</t>
        </is>
      </c>
      <c r="G1267" t="inlineStr">
        <is>
          <t>FALUN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25563-2026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46298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25601-2026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46177</v>
      </c>
      <c r="E1269" s="1" t="n">
        <v>46298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11.8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25739-2026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46298</v>
      </c>
      <c r="F1270" t="inlineStr">
        <is>
          <t>DALARNAS LÄN</t>
        </is>
      </c>
      <c r="G1270" t="inlineStr">
        <is>
          <t>FALUN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25705-2026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46178</v>
      </c>
      <c r="E1271" s="1" t="n">
        <v>46298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25755-2026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46178</v>
      </c>
      <c r="E1272" s="1" t="n">
        <v>46298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25757-2026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46298</v>
      </c>
      <c r="F1273" t="inlineStr">
        <is>
          <t>DALARNAS LÄN</t>
        </is>
      </c>
      <c r="G1273" t="inlineStr">
        <is>
          <t>FALUN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19783-2026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46135</v>
      </c>
      <c r="E1274" s="1" t="n">
        <v>46298</v>
      </c>
      <c r="F1274" t="inlineStr">
        <is>
          <t>DALARNAS LÄN</t>
        </is>
      </c>
      <c r="G1274" t="inlineStr">
        <is>
          <t>FALUN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21584-2026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46298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8.699999999999999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53029-2024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45611</v>
      </c>
      <c r="E1276" s="1" t="n">
        <v>46298</v>
      </c>
      <c r="F1276" t="inlineStr">
        <is>
          <t>DALARNAS LÄN</t>
        </is>
      </c>
      <c r="G1276" t="inlineStr">
        <is>
          <t>FALUN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46298</v>
      </c>
      <c r="F1277" t="inlineStr">
        <is>
          <t>DALARNAS LÄN</t>
        </is>
      </c>
      <c r="G1277" t="inlineStr">
        <is>
          <t>FALUN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13116-2026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46298</v>
      </c>
      <c r="F1278" t="inlineStr">
        <is>
          <t>DALARNAS LÄN</t>
        </is>
      </c>
      <c r="G1278" t="inlineStr">
        <is>
          <t>FALUN</t>
        </is>
      </c>
      <c r="H1278" t="inlineStr">
        <is>
          <t>Allmännings- och besparingsskogar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8579-2026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46065</v>
      </c>
      <c r="E1279" s="1" t="n">
        <v>46298</v>
      </c>
      <c r="F1279" t="inlineStr">
        <is>
          <t>DALARNAS LÄN</t>
        </is>
      </c>
      <c r="G1279" t="inlineStr">
        <is>
          <t>FALUN</t>
        </is>
      </c>
      <c r="I1279" t="n">
        <v>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8586-2026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46065</v>
      </c>
      <c r="E1280" s="1" t="n">
        <v>46298</v>
      </c>
      <c r="F1280" t="inlineStr">
        <is>
          <t>DALARNAS LÄN</t>
        </is>
      </c>
      <c r="G1280" t="inlineStr">
        <is>
          <t>FALUN</t>
        </is>
      </c>
      <c r="I1280" t="n">
        <v>2.9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46871-2023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45200</v>
      </c>
      <c r="E1281" s="1" t="n">
        <v>46298</v>
      </c>
      <c r="F1281" t="inlineStr">
        <is>
          <t>DALARNAS LÄN</t>
        </is>
      </c>
      <c r="G1281" t="inlineStr">
        <is>
          <t>FALUN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25967-2026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46181</v>
      </c>
      <c r="E1282" s="1" t="n">
        <v>46298</v>
      </c>
      <c r="F1282" t="inlineStr">
        <is>
          <t>DALARNAS LÄN</t>
        </is>
      </c>
      <c r="G1282" t="inlineStr">
        <is>
          <t>FALUN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8578-2026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46065</v>
      </c>
      <c r="E1283" s="1" t="n">
        <v>46298</v>
      </c>
      <c r="F1283" t="inlineStr">
        <is>
          <t>DALARNAS LÄN</t>
        </is>
      </c>
      <c r="G1283" t="inlineStr">
        <is>
          <t>FALUN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8585-2026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46298</v>
      </c>
      <c r="F1284" t="inlineStr">
        <is>
          <t>DALARNAS LÄN</t>
        </is>
      </c>
      <c r="G1284" t="inlineStr">
        <is>
          <t>FALUN</t>
        </is>
      </c>
      <c r="I1284" t="n">
        <v>6.9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18950-2026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46129</v>
      </c>
      <c r="E1285" s="1" t="n">
        <v>46298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17282-2026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46119</v>
      </c>
      <c r="E1286" s="1" t="n">
        <v>46298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17890-2026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46122</v>
      </c>
      <c r="E1287" s="1" t="n">
        <v>46298</v>
      </c>
      <c r="F1287" t="inlineStr">
        <is>
          <t>DALARNAS LÄN</t>
        </is>
      </c>
      <c r="G1287" t="inlineStr">
        <is>
          <t>FALUN</t>
        </is>
      </c>
      <c r="I1287" t="n">
        <v>16.3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8584-2026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46065</v>
      </c>
      <c r="E1288" s="1" t="n">
        <v>46298</v>
      </c>
      <c r="F1288" t="inlineStr">
        <is>
          <t>DALARNAS LÄN</t>
        </is>
      </c>
      <c r="G1288" t="inlineStr">
        <is>
          <t>FALUN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16933-2026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46113</v>
      </c>
      <c r="E1289" s="1" t="n">
        <v>46298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26346-2026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46182</v>
      </c>
      <c r="E1290" s="1" t="n">
        <v>46298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16375-2026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46111</v>
      </c>
      <c r="E1291" s="1" t="n">
        <v>46298</v>
      </c>
      <c r="F1291" t="inlineStr">
        <is>
          <t>DALARNAS LÄN</t>
        </is>
      </c>
      <c r="G1291" t="inlineStr">
        <is>
          <t>FALUN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46298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34.4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26120-2026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46181</v>
      </c>
      <c r="E1293" s="1" t="n">
        <v>46298</v>
      </c>
      <c r="F1293" t="inlineStr">
        <is>
          <t>DALARNAS LÄN</t>
        </is>
      </c>
      <c r="G1293" t="inlineStr">
        <is>
          <t>FALUN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18251-2026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46126</v>
      </c>
      <c r="E1294" s="1" t="n">
        <v>46298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26546-2026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46183</v>
      </c>
      <c r="E1295" s="1" t="n">
        <v>46298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5.2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63499-2023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45274</v>
      </c>
      <c r="E1296" s="1" t="n">
        <v>46298</v>
      </c>
      <c r="F1296" t="inlineStr">
        <is>
          <t>DALARNAS LÄN</t>
        </is>
      </c>
      <c r="G1296" t="inlineStr">
        <is>
          <t>FALUN</t>
        </is>
      </c>
      <c r="I1296" t="n">
        <v>8.5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26380-2026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46183</v>
      </c>
      <c r="E1297" s="1" t="n">
        <v>46298</v>
      </c>
      <c r="F1297" t="inlineStr">
        <is>
          <t>DALARNAS LÄN</t>
        </is>
      </c>
      <c r="G1297" t="inlineStr">
        <is>
          <t>FALUN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27163-2026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46188</v>
      </c>
      <c r="E1298" s="1" t="n">
        <v>46298</v>
      </c>
      <c r="F1298" t="inlineStr">
        <is>
          <t>DALARNAS LÄN</t>
        </is>
      </c>
      <c r="G1298" t="inlineStr">
        <is>
          <t>FALUN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27265-2026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46298</v>
      </c>
      <c r="F1299" t="inlineStr">
        <is>
          <t>DALARNAS LÄN</t>
        </is>
      </c>
      <c r="G1299" t="inlineStr">
        <is>
          <t>FALUN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27313-2026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46298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5229-2026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46298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26965-2026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46298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26968-2026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46185</v>
      </c>
      <c r="E1303" s="1" t="n">
        <v>46298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27152-2026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46298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46298</v>
      </c>
      <c r="F1305" t="inlineStr">
        <is>
          <t>DALARNAS LÄN</t>
        </is>
      </c>
      <c r="G1305" t="inlineStr">
        <is>
          <t>FALUN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26969-2026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46185</v>
      </c>
      <c r="E1306" s="1" t="n">
        <v>46298</v>
      </c>
      <c r="F1306" t="inlineStr">
        <is>
          <t>DALARNAS LÄN</t>
        </is>
      </c>
      <c r="G1306" t="inlineStr">
        <is>
          <t>FALUN</t>
        </is>
      </c>
      <c r="I1306" t="n">
        <v>2.9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27267-2026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46188</v>
      </c>
      <c r="E1307" s="1" t="n">
        <v>46298</v>
      </c>
      <c r="F1307" t="inlineStr">
        <is>
          <t>DALARNAS LÄN</t>
        </is>
      </c>
      <c r="G1307" t="inlineStr">
        <is>
          <t>FALUN</t>
        </is>
      </c>
      <c r="I1307" t="n">
        <v>4.8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7754-2024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45349</v>
      </c>
      <c r="E1308" s="1" t="n">
        <v>46298</v>
      </c>
      <c r="F1308" t="inlineStr">
        <is>
          <t>DALARNAS LÄN</t>
        </is>
      </c>
      <c r="G1308" t="inlineStr">
        <is>
          <t>FALUN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27335-2026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46188</v>
      </c>
      <c r="E1309" s="1" t="n">
        <v>46298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26828-2026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46185</v>
      </c>
      <c r="E1310" s="1" t="n">
        <v>46298</v>
      </c>
      <c r="F1310" t="inlineStr">
        <is>
          <t>DALARNAS LÄN</t>
        </is>
      </c>
      <c r="G1310" t="inlineStr">
        <is>
          <t>FALUN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26832-2026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46185</v>
      </c>
      <c r="E1311" s="1" t="n">
        <v>46298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27145-2026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46298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1465-2026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46033</v>
      </c>
      <c r="E1313" s="1" t="n">
        <v>46298</v>
      </c>
      <c r="F1313" t="inlineStr">
        <is>
          <t>DALARNAS LÄN</t>
        </is>
      </c>
      <c r="G1313" t="inlineStr">
        <is>
          <t>FALUN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27626-2026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46190</v>
      </c>
      <c r="E1314" s="1" t="n">
        <v>46298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6.4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33898-2024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45523</v>
      </c>
      <c r="E1315" s="1" t="n">
        <v>46298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27628-2026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46190</v>
      </c>
      <c r="E1316" s="1" t="n">
        <v>46298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46023</v>
      </c>
      <c r="E1317" s="1" t="n">
        <v>46298</v>
      </c>
      <c r="F1317" t="inlineStr">
        <is>
          <t>DALARNAS LÄN</t>
        </is>
      </c>
      <c r="G1317" t="inlineStr">
        <is>
          <t>FALUN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27649-2026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46190</v>
      </c>
      <c r="E1318" s="1" t="n">
        <v>46298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18623-2026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46127</v>
      </c>
      <c r="E1319" s="1" t="n">
        <v>46298</v>
      </c>
      <c r="F1319" t="inlineStr">
        <is>
          <t>DALARNAS LÄN</t>
        </is>
      </c>
      <c r="G1319" t="inlineStr">
        <is>
          <t>FALUN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21174-2026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46146</v>
      </c>
      <c r="E1320" s="1" t="n">
        <v>46298</v>
      </c>
      <c r="F1320" t="inlineStr">
        <is>
          <t>DALARNAS LÄN</t>
        </is>
      </c>
      <c r="G1320" t="inlineStr">
        <is>
          <t>FALUN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46298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19917-2023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46298</v>
      </c>
      <c r="F1322" t="inlineStr">
        <is>
          <t>DALARNAS LÄN</t>
        </is>
      </c>
      <c r="G1322" t="inlineStr">
        <is>
          <t>FALUN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27821-2026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46191</v>
      </c>
      <c r="E1323" s="1" t="n">
        <v>46298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27822-2026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46191</v>
      </c>
      <c r="E1324" s="1" t="n">
        <v>46298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27834-2026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46298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46298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46298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6.9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27847-2026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46298</v>
      </c>
      <c r="F1328" t="inlineStr">
        <is>
          <t>DALARNAS LÄN</t>
        </is>
      </c>
      <c r="G1328" t="inlineStr">
        <is>
          <t>FALUN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27800-2026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46298</v>
      </c>
      <c r="F1329" t="inlineStr">
        <is>
          <t>DALARNAS LÄN</t>
        </is>
      </c>
      <c r="G1329" t="inlineStr">
        <is>
          <t>FALUN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19916-2026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46136</v>
      </c>
      <c r="E1330" s="1" t="n">
        <v>46298</v>
      </c>
      <c r="F1330" t="inlineStr">
        <is>
          <t>DALARNAS LÄN</t>
        </is>
      </c>
      <c r="G1330" t="inlineStr">
        <is>
          <t>FALUN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27832-2026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46191</v>
      </c>
      <c r="E1331" s="1" t="n">
        <v>46298</v>
      </c>
      <c r="F1331" t="inlineStr">
        <is>
          <t>DALARNAS LÄN</t>
        </is>
      </c>
      <c r="G1331" t="inlineStr">
        <is>
          <t>FALUN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17403-2026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46120</v>
      </c>
      <c r="E1332" s="1" t="n">
        <v>46298</v>
      </c>
      <c r="F1332" t="inlineStr">
        <is>
          <t>DALARNAS LÄN</t>
        </is>
      </c>
      <c r="G1332" t="inlineStr">
        <is>
          <t>FALUN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46298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14.2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28306-2026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46196</v>
      </c>
      <c r="E1334" s="1" t="n">
        <v>46298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27998-2026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46298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7.2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17202-2023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45034</v>
      </c>
      <c r="E1336" s="1" t="n">
        <v>46298</v>
      </c>
      <c r="F1336" t="inlineStr">
        <is>
          <t>DALARNAS LÄN</t>
        </is>
      </c>
      <c r="G1336" t="inlineStr">
        <is>
          <t>FALUN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27969-2026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46195</v>
      </c>
      <c r="E1337" s="1" t="n">
        <v>46298</v>
      </c>
      <c r="F1337" t="inlineStr">
        <is>
          <t>DALARNAS LÄN</t>
        </is>
      </c>
      <c r="G1337" t="inlineStr">
        <is>
          <t>FALUN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56557-2024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45625</v>
      </c>
      <c r="E1338" s="1" t="n">
        <v>46298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15.8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28252-2026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46196</v>
      </c>
      <c r="E1339" s="1" t="n">
        <v>46298</v>
      </c>
      <c r="F1339" t="inlineStr">
        <is>
          <t>DALARNAS LÄN</t>
        </is>
      </c>
      <c r="G1339" t="inlineStr">
        <is>
          <t>FALUN</t>
        </is>
      </c>
      <c r="I1339" t="n">
        <v>3.6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28117-2026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46195</v>
      </c>
      <c r="E1340" s="1" t="n">
        <v>46298</v>
      </c>
      <c r="F1340" t="inlineStr">
        <is>
          <t>DALARNAS LÄN</t>
        </is>
      </c>
      <c r="G1340" t="inlineStr">
        <is>
          <t>FALUN</t>
        </is>
      </c>
      <c r="I1340" t="n">
        <v>10.2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27970-2026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46298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28085-2026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46298</v>
      </c>
      <c r="F1342" t="inlineStr">
        <is>
          <t>DALARNAS LÄN</t>
        </is>
      </c>
      <c r="G1342" t="inlineStr">
        <is>
          <t>FALUN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28092-2026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46298</v>
      </c>
      <c r="F1343" t="inlineStr">
        <is>
          <t>DALARNAS LÄN</t>
        </is>
      </c>
      <c r="G1343" t="inlineStr">
        <is>
          <t>FALUN</t>
        </is>
      </c>
      <c r="I1343" t="n">
        <v>6.8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28189-2026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46298</v>
      </c>
      <c r="F1344" t="inlineStr">
        <is>
          <t>DALARNAS LÄN</t>
        </is>
      </c>
      <c r="G1344" t="inlineStr">
        <is>
          <t>FALUN</t>
        </is>
      </c>
      <c r="I1344" t="n">
        <v>7.3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48702-2022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44859</v>
      </c>
      <c r="E1345" s="1" t="n">
        <v>46298</v>
      </c>
      <c r="F1345" t="inlineStr">
        <is>
          <t>DALARNAS LÄN</t>
        </is>
      </c>
      <c r="G1345" t="inlineStr">
        <is>
          <t>FALUN</t>
        </is>
      </c>
      <c r="I1345" t="n">
        <v>11.6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46959-2023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45201</v>
      </c>
      <c r="E1346" s="1" t="n">
        <v>46298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24729-2023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45084</v>
      </c>
      <c r="E1347" s="1" t="n">
        <v>46298</v>
      </c>
      <c r="F1347" t="inlineStr">
        <is>
          <t>DALARNAS LÄN</t>
        </is>
      </c>
      <c r="G1347" t="inlineStr">
        <is>
          <t>FALUN</t>
        </is>
      </c>
      <c r="I1347" t="n">
        <v>0.3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27679-2024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45475</v>
      </c>
      <c r="E1348" s="1" t="n">
        <v>46298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28663-2026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46198</v>
      </c>
      <c r="E1349" s="1" t="n">
        <v>46298</v>
      </c>
      <c r="F1349" t="inlineStr">
        <is>
          <t>DALARNAS LÄN</t>
        </is>
      </c>
      <c r="G1349" t="inlineStr">
        <is>
          <t>FALUN</t>
        </is>
      </c>
      <c r="I1349" t="n">
        <v>7.5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51920-2024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45607</v>
      </c>
      <c r="E1350" s="1" t="n">
        <v>46298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29210-2026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46202</v>
      </c>
      <c r="E1351" s="1" t="n">
        <v>46298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46202</v>
      </c>
      <c r="E1352" s="1" t="n">
        <v>46298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28911-2026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46199</v>
      </c>
      <c r="E1353" s="1" t="n">
        <v>46298</v>
      </c>
      <c r="F1353" t="inlineStr">
        <is>
          <t>DALARNAS LÄN</t>
        </is>
      </c>
      <c r="G1353" t="inlineStr">
        <is>
          <t>FALUN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28884-2026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46199</v>
      </c>
      <c r="E1354" s="1" t="n">
        <v>46298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43187-2024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45567</v>
      </c>
      <c r="E1355" s="1" t="n">
        <v>46298</v>
      </c>
      <c r="F1355" t="inlineStr">
        <is>
          <t>DALARNAS LÄN</t>
        </is>
      </c>
      <c r="G1355" t="inlineStr">
        <is>
          <t>FALUN</t>
        </is>
      </c>
      <c r="I1355" t="n">
        <v>0.2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46298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46298</v>
      </c>
      <c r="F1357" t="inlineStr">
        <is>
          <t>DALARNAS LÄN</t>
        </is>
      </c>
      <c r="G1357" t="inlineStr">
        <is>
          <t>FALUN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15100-2026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46105</v>
      </c>
      <c r="E1358" s="1" t="n">
        <v>46298</v>
      </c>
      <c r="F1358" t="inlineStr">
        <is>
          <t>DALARNAS LÄN</t>
        </is>
      </c>
      <c r="G1358" t="inlineStr">
        <is>
          <t>FALUN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12224-2022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44637</v>
      </c>
      <c r="E1359" s="1" t="n">
        <v>46298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39872-2022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44819</v>
      </c>
      <c r="E1360" s="1" t="n">
        <v>46298</v>
      </c>
      <c r="F1360" t="inlineStr">
        <is>
          <t>DALARNAS LÄN</t>
        </is>
      </c>
      <c r="G1360" t="inlineStr">
        <is>
          <t>FALUN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52856-2023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45226</v>
      </c>
      <c r="E1361" s="1" t="n">
        <v>46298</v>
      </c>
      <c r="F1361" t="inlineStr">
        <is>
          <t>DALARNAS LÄN</t>
        </is>
      </c>
      <c r="G1361" t="inlineStr">
        <is>
          <t>FALUN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29884-2026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46205</v>
      </c>
      <c r="E1362" s="1" t="n">
        <v>46298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45313</v>
      </c>
      <c r="E1363" s="1" t="n">
        <v>46298</v>
      </c>
      <c r="F1363" t="inlineStr">
        <is>
          <t>DALARNAS LÄN</t>
        </is>
      </c>
      <c r="G1363" t="inlineStr">
        <is>
          <t>FALUN</t>
        </is>
      </c>
      <c r="I1363" t="n">
        <v>4.4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63312-2023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45274</v>
      </c>
      <c r="E1364" s="1" t="n">
        <v>46298</v>
      </c>
      <c r="F1364" t="inlineStr">
        <is>
          <t>DALARNAS LÄN</t>
        </is>
      </c>
      <c r="G1364" t="inlineStr">
        <is>
          <t>FALUN</t>
        </is>
      </c>
      <c r="I1364" t="n">
        <v>16.2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53640-2024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45614</v>
      </c>
      <c r="E1365" s="1" t="n">
        <v>46298</v>
      </c>
      <c r="F1365" t="inlineStr">
        <is>
          <t>DALARNAS LÄN</t>
        </is>
      </c>
      <c r="G1365" t="inlineStr">
        <is>
          <t>FALUN</t>
        </is>
      </c>
      <c r="I1365" t="n">
        <v>3.9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3209-2022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44582</v>
      </c>
      <c r="E1366" s="1" t="n">
        <v>46298</v>
      </c>
      <c r="F1366" t="inlineStr">
        <is>
          <t>DALARNAS LÄN</t>
        </is>
      </c>
      <c r="G1366" t="inlineStr">
        <is>
          <t>FALUN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30448-2026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46209</v>
      </c>
      <c r="E1367" s="1" t="n">
        <v>46298</v>
      </c>
      <c r="F1367" t="inlineStr">
        <is>
          <t>DALARNAS LÄN</t>
        </is>
      </c>
      <c r="G1367" t="inlineStr">
        <is>
          <t>FALUN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10318-2024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45365</v>
      </c>
      <c r="E1368" s="1" t="n">
        <v>46298</v>
      </c>
      <c r="F1368" t="inlineStr">
        <is>
          <t>DALARNAS LÄN</t>
        </is>
      </c>
      <c r="G1368" t="inlineStr">
        <is>
          <t>FALUN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30463-2026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46209</v>
      </c>
      <c r="E1369" s="1" t="n">
        <v>46298</v>
      </c>
      <c r="F1369" t="inlineStr">
        <is>
          <t>DALARNAS LÄN</t>
        </is>
      </c>
      <c r="G1369" t="inlineStr">
        <is>
          <t>FALUN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11579-2024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45373</v>
      </c>
      <c r="E1370" s="1" t="n">
        <v>46298</v>
      </c>
      <c r="F1370" t="inlineStr">
        <is>
          <t>DALARNAS LÄN</t>
        </is>
      </c>
      <c r="G1370" t="inlineStr">
        <is>
          <t>FALUN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11584-2024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45373</v>
      </c>
      <c r="E1371" s="1" t="n">
        <v>46298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56136-2024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45624</v>
      </c>
      <c r="E1372" s="1" t="n">
        <v>46298</v>
      </c>
      <c r="F1372" t="inlineStr">
        <is>
          <t>DALARNAS LÄN</t>
        </is>
      </c>
      <c r="G1372" t="inlineStr">
        <is>
          <t>FALUN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56141-2024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45624</v>
      </c>
      <c r="E1373" s="1" t="n">
        <v>46298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7755-2024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45349</v>
      </c>
      <c r="E1374" s="1" t="n">
        <v>46298</v>
      </c>
      <c r="F1374" t="inlineStr">
        <is>
          <t>DALARNAS LÄN</t>
        </is>
      </c>
      <c r="G1374" t="inlineStr">
        <is>
          <t>FALUN</t>
        </is>
      </c>
      <c r="I1374" t="n">
        <v>0.3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12512-2026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46298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31095-2026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46216</v>
      </c>
      <c r="E1376" s="1" t="n">
        <v>46298</v>
      </c>
      <c r="F1376" t="inlineStr">
        <is>
          <t>DALARNAS LÄN</t>
        </is>
      </c>
      <c r="G1376" t="inlineStr">
        <is>
          <t>FALUN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46298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5311-2025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45692</v>
      </c>
      <c r="E1378" s="1" t="n">
        <v>46298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47328-2023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45202</v>
      </c>
      <c r="E1379" s="1" t="n">
        <v>46298</v>
      </c>
      <c r="F1379" t="inlineStr">
        <is>
          <t>DALARNAS LÄN</t>
        </is>
      </c>
      <c r="G1379" t="inlineStr">
        <is>
          <t>FALUN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35109-2026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46260</v>
      </c>
      <c r="E1380" s="1" t="n">
        <v>46298</v>
      </c>
      <c r="F1380" t="inlineStr">
        <is>
          <t>DALARNAS LÄN</t>
        </is>
      </c>
      <c r="G1380" t="inlineStr">
        <is>
          <t>FALUN</t>
        </is>
      </c>
      <c r="I1380" t="n">
        <v>6.7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31271-2026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46218</v>
      </c>
      <c r="E1381" s="1" t="n">
        <v>46298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47767-2024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45588</v>
      </c>
      <c r="E1382" s="1" t="n">
        <v>46298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48589-2024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45593</v>
      </c>
      <c r="E1383" s="1" t="n">
        <v>46298</v>
      </c>
      <c r="F1383" t="inlineStr">
        <is>
          <t>DALARNAS LÄN</t>
        </is>
      </c>
      <c r="G1383" t="inlineStr">
        <is>
          <t>FALUN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31265-2026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46218</v>
      </c>
      <c r="E1384" s="1" t="n">
        <v>46298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35210-2026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46260</v>
      </c>
      <c r="E1385" s="1" t="n">
        <v>46298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50123-2024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45600</v>
      </c>
      <c r="E1386" s="1" t="n">
        <v>46298</v>
      </c>
      <c r="F1386" t="inlineStr">
        <is>
          <t>DALARNAS LÄN</t>
        </is>
      </c>
      <c r="G1386" t="inlineStr">
        <is>
          <t>FALUN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31383-2026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46220</v>
      </c>
      <c r="E1387" s="1" t="n">
        <v>46298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16888-2024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45411</v>
      </c>
      <c r="E1388" s="1" t="n">
        <v>46298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35836-2026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46265</v>
      </c>
      <c r="E1389" s="1" t="n">
        <v>46298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50266-2024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45600</v>
      </c>
      <c r="E1390" s="1" t="n">
        <v>46298</v>
      </c>
      <c r="F1390" t="inlineStr">
        <is>
          <t>DALARNAS LÄN</t>
        </is>
      </c>
      <c r="G1390" t="inlineStr">
        <is>
          <t>FALUN</t>
        </is>
      </c>
      <c r="I1390" t="n">
        <v>5.4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1466-2023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44937</v>
      </c>
      <c r="E1391" s="1" t="n">
        <v>46298</v>
      </c>
      <c r="F1391" t="inlineStr">
        <is>
          <t>DALARNAS LÄN</t>
        </is>
      </c>
      <c r="G1391" t="inlineStr">
        <is>
          <t>FALUN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31348-2026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46219</v>
      </c>
      <c r="E1392" s="1" t="n">
        <v>46298</v>
      </c>
      <c r="F1392" t="inlineStr">
        <is>
          <t>DALARNAS LÄN</t>
        </is>
      </c>
      <c r="G1392" t="inlineStr">
        <is>
          <t>FALUN</t>
        </is>
      </c>
      <c r="I1392" t="n">
        <v>4.7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45232</v>
      </c>
      <c r="E1393" s="1" t="n">
        <v>46298</v>
      </c>
      <c r="F1393" t="inlineStr">
        <is>
          <t>DALARNAS LÄN</t>
        </is>
      </c>
      <c r="G1393" t="inlineStr">
        <is>
          <t>FALUN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35721-2026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46265</v>
      </c>
      <c r="E1394" s="1" t="n">
        <v>46298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35426-2026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46261</v>
      </c>
      <c r="E1395" s="1" t="n">
        <v>46298</v>
      </c>
      <c r="F1395" t="inlineStr">
        <is>
          <t>DALARNAS LÄN</t>
        </is>
      </c>
      <c r="G1395" t="inlineStr">
        <is>
          <t>FALUN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22343-2026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46298</v>
      </c>
      <c r="F1396" t="inlineStr">
        <is>
          <t>DALARNAS LÄN</t>
        </is>
      </c>
      <c r="G1396" t="inlineStr">
        <is>
          <t>FALUN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55542-2023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45238</v>
      </c>
      <c r="E1397" s="1" t="n">
        <v>46298</v>
      </c>
      <c r="F1397" t="inlineStr">
        <is>
          <t>DALARNAS LÄN</t>
        </is>
      </c>
      <c r="G1397" t="inlineStr">
        <is>
          <t>FALUN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35559-2026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46262</v>
      </c>
      <c r="E1398" s="1" t="n">
        <v>46298</v>
      </c>
      <c r="F1398" t="inlineStr">
        <is>
          <t>DALARNAS LÄN</t>
        </is>
      </c>
      <c r="G1398" t="inlineStr">
        <is>
          <t>FALUN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24694-2023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45084</v>
      </c>
      <c r="E1399" s="1" t="n">
        <v>46298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41006-2025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45898</v>
      </c>
      <c r="E1400" s="1" t="n">
        <v>46298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31496-2026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46298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35936-2026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46266</v>
      </c>
      <c r="E1402" s="1" t="n">
        <v>46298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22941-2023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45072</v>
      </c>
      <c r="E1403" s="1" t="n">
        <v>46298</v>
      </c>
      <c r="F1403" t="inlineStr">
        <is>
          <t>DALARNAS LÄN</t>
        </is>
      </c>
      <c r="G1403" t="inlineStr">
        <is>
          <t>FALUN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22608-2026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46298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31513-2026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46223</v>
      </c>
      <c r="E1405" s="1" t="n">
        <v>46298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31587-2026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46224</v>
      </c>
      <c r="E1406" s="1" t="n">
        <v>46298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4294-2025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45685</v>
      </c>
      <c r="E1407" s="1" t="n">
        <v>46298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10834-2023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44991</v>
      </c>
      <c r="E1408" s="1" t="n">
        <v>46298</v>
      </c>
      <c r="F1408" t="inlineStr">
        <is>
          <t>DALARNAS LÄN</t>
        </is>
      </c>
      <c r="G1408" t="inlineStr">
        <is>
          <t>FALUN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36155-2026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46267</v>
      </c>
      <c r="E1409" s="1" t="n">
        <v>46298</v>
      </c>
      <c r="F1409" t="inlineStr">
        <is>
          <t>DALARNAS LÄN</t>
        </is>
      </c>
      <c r="G1409" t="inlineStr">
        <is>
          <t>FALUN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35981-2022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44802</v>
      </c>
      <c r="E1410" s="1" t="n">
        <v>46298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41933-2024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45561</v>
      </c>
      <c r="E1411" s="1" t="n">
        <v>46298</v>
      </c>
      <c r="F1411" t="inlineStr">
        <is>
          <t>DALARNAS LÄN</t>
        </is>
      </c>
      <c r="G1411" t="inlineStr">
        <is>
          <t>FALUN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44531-2024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45574</v>
      </c>
      <c r="E1412" s="1" t="n">
        <v>46298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31701-2026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46226</v>
      </c>
      <c r="E1413" s="1" t="n">
        <v>46298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45665-2024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45579</v>
      </c>
      <c r="E1414" s="1" t="n">
        <v>46298</v>
      </c>
      <c r="F1414" t="inlineStr">
        <is>
          <t>DALARNAS LÄN</t>
        </is>
      </c>
      <c r="G1414" t="inlineStr">
        <is>
          <t>FALUN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46269</v>
      </c>
      <c r="E1415" s="1" t="n">
        <v>46298</v>
      </c>
      <c r="F1415" t="inlineStr">
        <is>
          <t>DALARNAS LÄN</t>
        </is>
      </c>
      <c r="G1415" t="inlineStr">
        <is>
          <t>FALUN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12847-2025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45733</v>
      </c>
      <c r="E1416" s="1" t="n">
        <v>46298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36795-2026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46272</v>
      </c>
      <c r="E1417" s="1" t="n">
        <v>46298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13567-2024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45389</v>
      </c>
      <c r="E1418" s="1" t="n">
        <v>46298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49642-2024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45596</v>
      </c>
      <c r="E1419" s="1" t="n">
        <v>46298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49663-2024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45596</v>
      </c>
      <c r="E1420" s="1" t="n">
        <v>46298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37036-2026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46298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33548-2022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44789</v>
      </c>
      <c r="E1422" s="1" t="n">
        <v>46298</v>
      </c>
      <c r="F1422" t="inlineStr">
        <is>
          <t>DALARNAS LÄN</t>
        </is>
      </c>
      <c r="G1422" t="inlineStr">
        <is>
          <t>FALUN</t>
        </is>
      </c>
      <c r="I1422" t="n">
        <v>4.7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31858-2026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46230</v>
      </c>
      <c r="E1423" s="1" t="n">
        <v>46298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36803-2026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46272</v>
      </c>
      <c r="E1424" s="1" t="n">
        <v>46298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37068-2026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46273</v>
      </c>
      <c r="E1425" s="1" t="n">
        <v>46298</v>
      </c>
      <c r="F1425" t="inlineStr">
        <is>
          <t>DALARNAS LÄN</t>
        </is>
      </c>
      <c r="G1425" t="inlineStr">
        <is>
          <t>FALUN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31859-2026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46230</v>
      </c>
      <c r="E1426" s="1" t="n">
        <v>46298</v>
      </c>
      <c r="F1426" t="inlineStr">
        <is>
          <t>DALARNAS LÄN</t>
        </is>
      </c>
      <c r="G1426" t="inlineStr">
        <is>
          <t>FALUN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36705-2026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46298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4.9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39135-2022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44817</v>
      </c>
      <c r="E1428" s="1" t="n">
        <v>46298</v>
      </c>
      <c r="F1428" t="inlineStr">
        <is>
          <t>DALARNAS LÄN</t>
        </is>
      </c>
      <c r="G1428" t="inlineStr">
        <is>
          <t>FALUN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36869-2026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46272</v>
      </c>
      <c r="E1429" s="1" t="n">
        <v>46298</v>
      </c>
      <c r="F1429" t="inlineStr">
        <is>
          <t>DALARNAS LÄN</t>
        </is>
      </c>
      <c r="G1429" t="inlineStr">
        <is>
          <t>FALUN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36727-2026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46272</v>
      </c>
      <c r="E1430" s="1" t="n">
        <v>46298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33912-2024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45523</v>
      </c>
      <c r="E1431" s="1" t="n">
        <v>46298</v>
      </c>
      <c r="F1431" t="inlineStr">
        <is>
          <t>DALARNAS LÄN</t>
        </is>
      </c>
      <c r="G1431" t="inlineStr">
        <is>
          <t>FALUN</t>
        </is>
      </c>
      <c r="H1431" t="inlineStr">
        <is>
          <t>Allmännings- och besparingsskogar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58343-2023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45250</v>
      </c>
      <c r="E1432" s="1" t="n">
        <v>46298</v>
      </c>
      <c r="F1432" t="inlineStr">
        <is>
          <t>DALARNAS LÄN</t>
        </is>
      </c>
      <c r="G1432" t="inlineStr">
        <is>
          <t>FALUN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58388-2023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45250</v>
      </c>
      <c r="E1433" s="1" t="n">
        <v>46298</v>
      </c>
      <c r="F1433" t="inlineStr">
        <is>
          <t>DALARNAS LÄN</t>
        </is>
      </c>
      <c r="G1433" t="inlineStr">
        <is>
          <t>FALUN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36695-2026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46272</v>
      </c>
      <c r="E1434" s="1" t="n">
        <v>46298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44987</v>
      </c>
      <c r="E1435" s="1" t="n">
        <v>46298</v>
      </c>
      <c r="F1435" t="inlineStr">
        <is>
          <t>DALARNAS LÄN</t>
        </is>
      </c>
      <c r="G1435" t="inlineStr">
        <is>
          <t>FALUN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37435-2026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46275</v>
      </c>
      <c r="E1436" s="1" t="n">
        <v>46298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29084-2023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45105</v>
      </c>
      <c r="E1437" s="1" t="n">
        <v>46298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25823-2026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46298</v>
      </c>
      <c r="F1438" t="inlineStr">
        <is>
          <t>DALARNAS LÄN</t>
        </is>
      </c>
      <c r="G1438" t="inlineStr">
        <is>
          <t>FALUN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37541-2026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46276</v>
      </c>
      <c r="E1439" s="1" t="n">
        <v>46298</v>
      </c>
      <c r="F1439" t="inlineStr">
        <is>
          <t>DALARNAS LÄN</t>
        </is>
      </c>
      <c r="G1439" t="inlineStr">
        <is>
          <t>FALUN</t>
        </is>
      </c>
      <c r="I1439" t="n">
        <v>7.3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37644-2026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46276</v>
      </c>
      <c r="E1440" s="1" t="n">
        <v>46298</v>
      </c>
      <c r="F1440" t="inlineStr">
        <is>
          <t>DALARNAS LÄN</t>
        </is>
      </c>
      <c r="G1440" t="inlineStr">
        <is>
          <t>FALUN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37308-2026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46274</v>
      </c>
      <c r="E1441" s="1" t="n">
        <v>46298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37538-2026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46298</v>
      </c>
      <c r="F1442" t="inlineStr">
        <is>
          <t>DALARNAS LÄN</t>
        </is>
      </c>
      <c r="G1442" t="inlineStr">
        <is>
          <t>FALUN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38279-2026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46281</v>
      </c>
      <c r="E1443" s="1" t="n">
        <v>46298</v>
      </c>
      <c r="F1443" t="inlineStr">
        <is>
          <t>DALARNAS LÄN</t>
        </is>
      </c>
      <c r="G1443" t="inlineStr">
        <is>
          <t>FALUN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31084-2023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45113</v>
      </c>
      <c r="E1444" s="1" t="n">
        <v>46298</v>
      </c>
      <c r="F1444" t="inlineStr">
        <is>
          <t>DALARNAS LÄN</t>
        </is>
      </c>
      <c r="G1444" t="inlineStr">
        <is>
          <t>FALUN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32390-2026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46238</v>
      </c>
      <c r="E1445" s="1" t="n">
        <v>46298</v>
      </c>
      <c r="F1445" t="inlineStr">
        <is>
          <t>DALARNAS LÄN</t>
        </is>
      </c>
      <c r="G1445" t="inlineStr">
        <is>
          <t>FALUN</t>
        </is>
      </c>
      <c r="I1445" t="n">
        <v>13.1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38019-2026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46280</v>
      </c>
      <c r="E1446" s="1" t="n">
        <v>46298</v>
      </c>
      <c r="F1446" t="inlineStr">
        <is>
          <t>DALARNAS LÄN</t>
        </is>
      </c>
      <c r="G1446" t="inlineStr">
        <is>
          <t>FALUN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61377-2021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44500</v>
      </c>
      <c r="E1447" s="1" t="n">
        <v>46298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45590</v>
      </c>
      <c r="E1448" s="1" t="n">
        <v>46298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19903-2022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44697</v>
      </c>
      <c r="E1449" s="1" t="n">
        <v>46298</v>
      </c>
      <c r="F1449" t="inlineStr">
        <is>
          <t>DALARNAS LÄN</t>
        </is>
      </c>
      <c r="G1449" t="inlineStr">
        <is>
          <t>FALUN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30537-2024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45492</v>
      </c>
      <c r="E1450" s="1" t="n">
        <v>46298</v>
      </c>
      <c r="F1450" t="inlineStr">
        <is>
          <t>DALARNAS LÄN</t>
        </is>
      </c>
      <c r="G1450" t="inlineStr">
        <is>
          <t>FALUN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46283</v>
      </c>
      <c r="E1451" s="1" t="n">
        <v>46298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22925-2023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45072</v>
      </c>
      <c r="E1452" s="1" t="n">
        <v>46298</v>
      </c>
      <c r="F1452" t="inlineStr">
        <is>
          <t>DALARNAS LÄN</t>
        </is>
      </c>
      <c r="G1452" t="inlineStr">
        <is>
          <t>FALUN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38678-2026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46283</v>
      </c>
      <c r="E1453" s="1" t="n">
        <v>46298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25811-2026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46178</v>
      </c>
      <c r="E1454" s="1" t="n">
        <v>46298</v>
      </c>
      <c r="F1454" t="inlineStr">
        <is>
          <t>DALARNAS LÄN</t>
        </is>
      </c>
      <c r="G1454" t="inlineStr">
        <is>
          <t>FALUN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24640-2024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45460</v>
      </c>
      <c r="E1455" s="1" t="n">
        <v>46298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4923-2024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45329</v>
      </c>
      <c r="E1456" s="1" t="n">
        <v>46298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27924-2026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46191</v>
      </c>
      <c r="E1457" s="1" t="n">
        <v>46298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7.5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46298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22646-2024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45447</v>
      </c>
      <c r="E1459" s="1" t="n">
        <v>46298</v>
      </c>
      <c r="F1459" t="inlineStr">
        <is>
          <t>DALARNAS LÄN</t>
        </is>
      </c>
      <c r="G1459" t="inlineStr">
        <is>
          <t>FALUN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48246-2023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45205</v>
      </c>
      <c r="E1460" s="1" t="n">
        <v>46298</v>
      </c>
      <c r="F1460" t="inlineStr">
        <is>
          <t>DALARNAS LÄN</t>
        </is>
      </c>
      <c r="G1460" t="inlineStr">
        <is>
          <t>FALUN</t>
        </is>
      </c>
      <c r="I1460" t="n">
        <v>4.5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32772-2026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46241</v>
      </c>
      <c r="E1461" s="1" t="n">
        <v>46298</v>
      </c>
      <c r="F1461" t="inlineStr">
        <is>
          <t>DALARNAS LÄN</t>
        </is>
      </c>
      <c r="G1461" t="inlineStr">
        <is>
          <t>FALUN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53008-2024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45611</v>
      </c>
      <c r="E1462" s="1" t="n">
        <v>46298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33299-2026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46246</v>
      </c>
      <c r="E1463" s="1" t="n">
        <v>46298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39514-2026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46289</v>
      </c>
      <c r="E1464" s="1" t="n">
        <v>46298</v>
      </c>
      <c r="F1464" t="inlineStr">
        <is>
          <t>DALARNAS LÄN</t>
        </is>
      </c>
      <c r="G1464" t="inlineStr">
        <is>
          <t>FALUN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39544-2026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46289</v>
      </c>
      <c r="E1465" s="1" t="n">
        <v>46298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46090</v>
      </c>
      <c r="E1466" s="1" t="n">
        <v>46298</v>
      </c>
      <c r="F1466" t="inlineStr">
        <is>
          <t>DALARNAS LÄN</t>
        </is>
      </c>
      <c r="G1466" t="inlineStr">
        <is>
          <t>FALUN</t>
        </is>
      </c>
      <c r="I1466" t="n">
        <v>6.5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46298</v>
      </c>
      <c r="F1467" t="inlineStr">
        <is>
          <t>DALARNAS LÄN</t>
        </is>
      </c>
      <c r="G1467" t="inlineStr">
        <is>
          <t>FALUN</t>
        </is>
      </c>
      <c r="I1467" t="n">
        <v>13.7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26598-2023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45092</v>
      </c>
      <c r="E1468" s="1" t="n">
        <v>46298</v>
      </c>
      <c r="F1468" t="inlineStr">
        <is>
          <t>DALARNAS LÄN</t>
        </is>
      </c>
      <c r="G1468" t="inlineStr">
        <is>
          <t>FALUN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46057</v>
      </c>
      <c r="E1469" s="1" t="n">
        <v>46298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24.1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46298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45744</v>
      </c>
      <c r="E1471" s="1" t="n">
        <v>46298</v>
      </c>
      <c r="F1471" t="inlineStr">
        <is>
          <t>DALARNAS LÄN</t>
        </is>
      </c>
      <c r="G1471" t="inlineStr">
        <is>
          <t>FALUN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41538-2024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45560</v>
      </c>
      <c r="E1472" s="1" t="n">
        <v>46298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905-2026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46030</v>
      </c>
      <c r="E1473" s="1" t="n">
        <v>46298</v>
      </c>
      <c r="F1473" t="inlineStr">
        <is>
          <t>DALARNAS LÄN</t>
        </is>
      </c>
      <c r="G1473" t="inlineStr">
        <is>
          <t>FALUN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25809-2026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46178</v>
      </c>
      <c r="E1474" s="1" t="n">
        <v>46298</v>
      </c>
      <c r="F1474" t="inlineStr">
        <is>
          <t>DALARNAS LÄN</t>
        </is>
      </c>
      <c r="G1474" t="inlineStr">
        <is>
          <t>FALUN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50772-2024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45602</v>
      </c>
      <c r="E1475" s="1" t="n">
        <v>46298</v>
      </c>
      <c r="F1475" t="inlineStr">
        <is>
          <t>DALARNAS LÄN</t>
        </is>
      </c>
      <c r="G1475" t="inlineStr">
        <is>
          <t>FALUN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39778-2026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46290</v>
      </c>
      <c r="E1476" s="1" t="n">
        <v>46298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39892-2026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46289</v>
      </c>
      <c r="E1477" s="1" t="n">
        <v>46298</v>
      </c>
      <c r="F1477" t="inlineStr">
        <is>
          <t>DALARNAS LÄN</t>
        </is>
      </c>
      <c r="G1477" t="inlineStr">
        <is>
          <t>FALUN</t>
        </is>
      </c>
      <c r="H1477" t="inlineStr">
        <is>
          <t>Allmännings- och besparingsskogar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58864-2023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45252</v>
      </c>
      <c r="E1478" s="1" t="n">
        <v>46298</v>
      </c>
      <c r="F1478" t="inlineStr">
        <is>
          <t>DALARNAS LÄN</t>
        </is>
      </c>
      <c r="G1478" t="inlineStr">
        <is>
          <t>FALUN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58713-2024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45635</v>
      </c>
      <c r="E1479" s="1" t="n">
        <v>46298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18502-2026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46298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4.6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59673-2024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45639</v>
      </c>
      <c r="E1481" s="1" t="n">
        <v>46298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52116-2022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44873</v>
      </c>
      <c r="E1482" s="1" t="n">
        <v>46298</v>
      </c>
      <c r="F1482" t="inlineStr">
        <is>
          <t>DALARNAS LÄN</t>
        </is>
      </c>
      <c r="G1482" t="inlineStr">
        <is>
          <t>FALUN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46248</v>
      </c>
      <c r="E1483" s="1" t="n">
        <v>46298</v>
      </c>
      <c r="F1483" t="inlineStr">
        <is>
          <t>DALARNAS LÄN</t>
        </is>
      </c>
      <c r="G1483" t="inlineStr">
        <is>
          <t>FALUN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5679-2023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44960</v>
      </c>
      <c r="E1484" s="1" t="n">
        <v>46298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9835-2024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45363</v>
      </c>
      <c r="E1485" s="1" t="n">
        <v>46298</v>
      </c>
      <c r="F1485" t="inlineStr">
        <is>
          <t>DALARNAS LÄN</t>
        </is>
      </c>
      <c r="G1485" t="inlineStr">
        <is>
          <t>FALUN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34279-2026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46253</v>
      </c>
      <c r="E1486" s="1" t="n">
        <v>46298</v>
      </c>
      <c r="F1486" t="inlineStr">
        <is>
          <t>DALARNAS LÄN</t>
        </is>
      </c>
      <c r="G1486" t="inlineStr">
        <is>
          <t>FALUN</t>
        </is>
      </c>
      <c r="I1486" t="n">
        <v>4.3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33762-2026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46251</v>
      </c>
      <c r="E1487" s="1" t="n">
        <v>46298</v>
      </c>
      <c r="F1487" t="inlineStr">
        <is>
          <t>DALARNAS LÄN</t>
        </is>
      </c>
      <c r="G1487" t="inlineStr">
        <is>
          <t>FALUN</t>
        </is>
      </c>
      <c r="I1487" t="n">
        <v>5.6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16929-2023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45033</v>
      </c>
      <c r="E1488" s="1" t="n">
        <v>46298</v>
      </c>
      <c r="F1488" t="inlineStr">
        <is>
          <t>DALARNAS LÄN</t>
        </is>
      </c>
      <c r="G1488" t="inlineStr">
        <is>
          <t>FALUN</t>
        </is>
      </c>
      <c r="I1488" t="n">
        <v>0.3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49683-2024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46298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40558-2026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46295</v>
      </c>
      <c r="E1490" s="1" t="n">
        <v>46298</v>
      </c>
      <c r="F1490" t="inlineStr">
        <is>
          <t>DALARNAS LÄN</t>
        </is>
      </c>
      <c r="G1490" t="inlineStr">
        <is>
          <t>FALUN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34090-2026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46252</v>
      </c>
      <c r="E1491" s="1" t="n">
        <v>46298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33815-2026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46298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16004-2024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45405</v>
      </c>
      <c r="E1493" s="1" t="n">
        <v>46298</v>
      </c>
      <c r="F1493" t="inlineStr">
        <is>
          <t>DALARNAS LÄN</t>
        </is>
      </c>
      <c r="G1493" t="inlineStr">
        <is>
          <t>FALUN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40368-2026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46294</v>
      </c>
      <c r="E1494" s="1" t="n">
        <v>46298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41275-2023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45174</v>
      </c>
      <c r="E1495" s="1" t="n">
        <v>46298</v>
      </c>
      <c r="F1495" t="inlineStr">
        <is>
          <t>DALARNAS LÄN</t>
        </is>
      </c>
      <c r="G1495" t="inlineStr">
        <is>
          <t>FALUN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33820-2026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46298</v>
      </c>
      <c r="F1496" t="inlineStr">
        <is>
          <t>DALARNAS LÄN</t>
        </is>
      </c>
      <c r="G1496" t="inlineStr">
        <is>
          <t>FALUN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34490-2026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46254</v>
      </c>
      <c r="E1497" s="1" t="n">
        <v>46298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9.300000000000001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40906-2026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46297</v>
      </c>
      <c r="E1498" s="1" t="n">
        <v>46298</v>
      </c>
      <c r="F1498" t="inlineStr">
        <is>
          <t>DALARNAS LÄN</t>
        </is>
      </c>
      <c r="G1498" t="inlineStr">
        <is>
          <t>FALUN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16916-2025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45755</v>
      </c>
      <c r="E1499" s="1" t="n">
        <v>46298</v>
      </c>
      <c r="F1499" t="inlineStr">
        <is>
          <t>DALARNAS LÄN</t>
        </is>
      </c>
      <c r="G1499" t="inlineStr">
        <is>
          <t>FALUN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4057-2024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45323</v>
      </c>
      <c r="E1500" s="1" t="n">
        <v>46298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34324-2026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46254</v>
      </c>
      <c r="E1501" s="1" t="n">
        <v>46298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32.9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40832-2024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45558</v>
      </c>
      <c r="E1502" s="1" t="n">
        <v>46298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40905-2026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46297</v>
      </c>
      <c r="E1503" s="1" t="n">
        <v>46298</v>
      </c>
      <c r="F1503" t="inlineStr">
        <is>
          <t>DALARNAS LÄN</t>
        </is>
      </c>
      <c r="G1503" t="inlineStr">
        <is>
          <t>FALUN</t>
        </is>
      </c>
      <c r="I1503" t="n">
        <v>3.2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56587-2024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45625</v>
      </c>
      <c r="E1504" s="1" t="n">
        <v>46298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8823-2023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44978</v>
      </c>
      <c r="E1505" s="1" t="n">
        <v>46298</v>
      </c>
      <c r="F1505" t="inlineStr">
        <is>
          <t>DALARNAS LÄN</t>
        </is>
      </c>
      <c r="G1505" t="inlineStr">
        <is>
          <t>FALUN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46298</v>
      </c>
      <c r="F1506" t="inlineStr">
        <is>
          <t>DALARNAS LÄN</t>
        </is>
      </c>
      <c r="G1506" t="inlineStr">
        <is>
          <t>FALUN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34201-2026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46253</v>
      </c>
      <c r="E1507" s="1" t="n">
        <v>46298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34327-2026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46254</v>
      </c>
      <c r="E1508" s="1" t="n">
        <v>46298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35943-2023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45148</v>
      </c>
      <c r="E1509" s="1" t="n">
        <v>46298</v>
      </c>
      <c r="F1509" t="inlineStr">
        <is>
          <t>DALARNAS LÄN</t>
        </is>
      </c>
      <c r="G1509" t="inlineStr">
        <is>
          <t>FALUN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55390-2022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44887</v>
      </c>
      <c r="E1510" s="1" t="n">
        <v>46298</v>
      </c>
      <c r="F1510" t="inlineStr">
        <is>
          <t>DALARNAS LÄN</t>
        </is>
      </c>
      <c r="G1510" t="inlineStr">
        <is>
          <t>FALUN</t>
        </is>
      </c>
      <c r="I1510" t="n">
        <v>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17336-2025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45756</v>
      </c>
      <c r="E1511" s="1" t="n">
        <v>46298</v>
      </c>
      <c r="F1511" t="inlineStr">
        <is>
          <t>DALARNAS LÄN</t>
        </is>
      </c>
      <c r="G1511" t="inlineStr">
        <is>
          <t>FALUN</t>
        </is>
      </c>
      <c r="I1511" t="n">
        <v>3.2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53864-2023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45231</v>
      </c>
      <c r="E1512" s="1" t="n">
        <v>46298</v>
      </c>
      <c r="F1512" t="inlineStr">
        <is>
          <t>DALARNAS LÄN</t>
        </is>
      </c>
      <c r="G1512" t="inlineStr">
        <is>
          <t>FALUN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18042-2025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45761</v>
      </c>
      <c r="E1513" s="1" t="n">
        <v>46298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18051-2025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45761</v>
      </c>
      <c r="E1514" s="1" t="n">
        <v>46298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5.1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43238-2024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45567</v>
      </c>
      <c r="E1515" s="1" t="n">
        <v>46298</v>
      </c>
      <c r="F1515" t="inlineStr">
        <is>
          <t>DALARNAS LÄN</t>
        </is>
      </c>
      <c r="G1515" t="inlineStr">
        <is>
          <t>FALUN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44797</v>
      </c>
      <c r="E1516" s="1" t="n">
        <v>46298</v>
      </c>
      <c r="F1516" t="inlineStr">
        <is>
          <t>DALARNAS LÄN</t>
        </is>
      </c>
      <c r="G1516" t="inlineStr">
        <is>
          <t>FALUN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46298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42455-2022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44831</v>
      </c>
      <c r="E1518" s="1" t="n">
        <v>46298</v>
      </c>
      <c r="F1518" t="inlineStr">
        <is>
          <t>DALARNAS LÄN</t>
        </is>
      </c>
      <c r="G1518" t="inlineStr">
        <is>
          <t>FALUN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44593-2023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45189</v>
      </c>
      <c r="E1519" s="1" t="n">
        <v>46298</v>
      </c>
      <c r="F1519" t="inlineStr">
        <is>
          <t>DALARNAS LÄN</t>
        </is>
      </c>
      <c r="G1519" t="inlineStr">
        <is>
          <t>FALUN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45336</v>
      </c>
      <c r="E1520" s="1" t="n">
        <v>46298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3360-2023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44949</v>
      </c>
      <c r="E1521" s="1" t="n">
        <v>46298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29508-2024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45484</v>
      </c>
      <c r="E1522" s="1" t="n">
        <v>46298</v>
      </c>
      <c r="F1522" t="inlineStr">
        <is>
          <t>DALARNAS LÄN</t>
        </is>
      </c>
      <c r="G1522" t="inlineStr">
        <is>
          <t>FALUN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4928-2024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45329</v>
      </c>
      <c r="E1523" s="1" t="n">
        <v>46298</v>
      </c>
      <c r="F1523" t="inlineStr">
        <is>
          <t>DALARNAS LÄN</t>
        </is>
      </c>
      <c r="G1523" t="inlineStr">
        <is>
          <t>FALUN</t>
        </is>
      </c>
      <c r="I1523" t="n">
        <v>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33972-2023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45134</v>
      </c>
      <c r="E1524" s="1" t="n">
        <v>46298</v>
      </c>
      <c r="F1524" t="inlineStr">
        <is>
          <t>DALARNAS LÄN</t>
        </is>
      </c>
      <c r="G1524" t="inlineStr">
        <is>
          <t>FALUN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1758-2024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45307</v>
      </c>
      <c r="E1525" s="1" t="n">
        <v>46298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17883-2025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45758</v>
      </c>
      <c r="E1526" s="1" t="n">
        <v>46298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41611-2024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46298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50757-2024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45602</v>
      </c>
      <c r="E1528" s="1" t="n">
        <v>46298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44315-2023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46298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36212-2024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46298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11897-2023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44995</v>
      </c>
      <c r="E1531" s="1" t="n">
        <v>46298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22843-2022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44715</v>
      </c>
      <c r="E1532" s="1" t="n">
        <v>46298</v>
      </c>
      <c r="F1532" t="inlineStr">
        <is>
          <t>DALARNAS LÄN</t>
        </is>
      </c>
      <c r="G1532" t="inlineStr">
        <is>
          <t>FALUN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56768-2024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46298</v>
      </c>
      <c r="F1533" t="inlineStr">
        <is>
          <t>DALARNAS LÄN</t>
        </is>
      </c>
      <c r="G1533" t="inlineStr">
        <is>
          <t>FALUN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45735</v>
      </c>
      <c r="E1534" s="1" t="n">
        <v>46298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50241-2024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45600</v>
      </c>
      <c r="E1535" s="1" t="n">
        <v>46298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54909-2024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45618</v>
      </c>
      <c r="E1536" s="1" t="n">
        <v>46298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22663-2023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45071</v>
      </c>
      <c r="E1537" s="1" t="n">
        <v>46298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20954-2025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45777</v>
      </c>
      <c r="E1538" s="1" t="n">
        <v>46298</v>
      </c>
      <c r="F1538" t="inlineStr">
        <is>
          <t>DALARNAS LÄN</t>
        </is>
      </c>
      <c r="G1538" t="inlineStr">
        <is>
          <t>FALUN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20680-2025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45776</v>
      </c>
      <c r="E1539" s="1" t="n">
        <v>46298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20684-2025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45776</v>
      </c>
      <c r="E1540" s="1" t="n">
        <v>46298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46298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29880-2024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45486</v>
      </c>
      <c r="E1542" s="1" t="n">
        <v>46298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26773-2024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45470</v>
      </c>
      <c r="E1543" s="1" t="n">
        <v>46298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43755-2023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45187</v>
      </c>
      <c r="E1544" s="1" t="n">
        <v>46298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24625-2024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45460</v>
      </c>
      <c r="E1545" s="1" t="n">
        <v>46298</v>
      </c>
      <c r="F1545" t="inlineStr">
        <is>
          <t>DALARNAS LÄN</t>
        </is>
      </c>
      <c r="G1545" t="inlineStr">
        <is>
          <t>FALUN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28123-2024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45476</v>
      </c>
      <c r="E1546" s="1" t="n">
        <v>46298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45478</v>
      </c>
      <c r="E1547" s="1" t="n">
        <v>46298</v>
      </c>
      <c r="F1547" t="inlineStr">
        <is>
          <t>DALARNAS LÄN</t>
        </is>
      </c>
      <c r="G1547" t="inlineStr">
        <is>
          <t>FALUN</t>
        </is>
      </c>
      <c r="I1547" t="n">
        <v>5.1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15790-2024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45404</v>
      </c>
      <c r="E1548" s="1" t="n">
        <v>46298</v>
      </c>
      <c r="F1548" t="inlineStr">
        <is>
          <t>DALARNAS LÄN</t>
        </is>
      </c>
      <c r="G1548" t="inlineStr">
        <is>
          <t>FALUN</t>
        </is>
      </c>
      <c r="I1548" t="n">
        <v>3.7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11109-2024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45371</v>
      </c>
      <c r="E1549" s="1" t="n">
        <v>46298</v>
      </c>
      <c r="F1549" t="inlineStr">
        <is>
          <t>DALARNAS LÄN</t>
        </is>
      </c>
      <c r="G1549" t="inlineStr">
        <is>
          <t>FALUN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46298</v>
      </c>
      <c r="F1550" t="inlineStr">
        <is>
          <t>DALARNAS LÄN</t>
        </is>
      </c>
      <c r="G1550" t="inlineStr">
        <is>
          <t>FALUN</t>
        </is>
      </c>
      <c r="I1550" t="n">
        <v>8.800000000000001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35530-2024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45531</v>
      </c>
      <c r="E1551" s="1" t="n">
        <v>46298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45335</v>
      </c>
      <c r="E1552" s="1" t="n">
        <v>46298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7902-2024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45350</v>
      </c>
      <c r="E1553" s="1" t="n">
        <v>46298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5169-2024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45330</v>
      </c>
      <c r="E1554" s="1" t="n">
        <v>46298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46298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46298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46298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46298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46298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46298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46298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46298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46298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46298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46298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46298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46298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46298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46298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46298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46298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46298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46298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46298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46298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46298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46298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46298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46298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46298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46298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46298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2026-10-03T02:02:21Z</dcterms:created>
  <dcterms:modified xmlns:dcterms="http://purl.org/dc/terms/" xmlns:xsi="http://www.w3.org/2001/XMLSchema-instance" xsi:type="dcterms:W3CDTF">2026-10-03T02:02:23Z</dcterms:modified>
</cp:coreProperties>
</file>