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45841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45841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45841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45841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45841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45841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45841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45841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45841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45841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45841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45841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45841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45841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45841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45841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45841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45841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45841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45841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45841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45841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45841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45841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45841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45841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45841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45841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45841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45841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45841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45841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45841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45841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45841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45841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45841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45841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45841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45841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45841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45841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45841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45841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45841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45841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45841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45841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45841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45841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45841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45841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45841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45841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45841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45841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45841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45841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45841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45841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45841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45841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45841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45841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45841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45841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45841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45841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45841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45841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45841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45841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45841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45841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45841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45841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45841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45841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45841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45841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45841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45841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45841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45841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45841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45841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45841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45841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45841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45841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45841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45841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45841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45841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45841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45841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45841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HYPERLINK("https://klasma.github.io/Logging_202080/artfynd/A 26776-2025 artfynd.xlsx", "A 26776-2025")</f>
        <v/>
      </c>
      <c r="T98">
        <f>HYPERLINK("https://klasma.github.io/Logging_202080/kartor/A 26776-2025 karta.png", "A 26776-2025")</f>
        <v/>
      </c>
      <c r="V98">
        <f>HYPERLINK("https://klasma.github.io/Logging_202080/klagomål/A 26776-2025 FSC-klagomål.docx", "A 26776-2025")</f>
        <v/>
      </c>
      <c r="W98">
        <f>HYPERLINK("https://klasma.github.io/Logging_202080/klagomålsmail/A 26776-2025 FSC-klagomål mail.docx", "A 26776-2025")</f>
        <v/>
      </c>
      <c r="X98">
        <f>HYPERLINK("https://klasma.github.io/Logging_202080/tillsyn/A 26776-2025 tillsynsbegäran.docx", "A 26776-2025")</f>
        <v/>
      </c>
      <c r="Y98">
        <f>HYPERLINK("https://klasma.github.io/Logging_202080/tillsynsmail/A 26776-2025 tillsynsbegäran mail.docx", "A 26776-2025")</f>
        <v/>
      </c>
    </row>
    <row r="99" ht="15" customHeight="1">
      <c r="A99" t="inlineStr">
        <is>
          <t>A 26721-2025</t>
        </is>
      </c>
      <c r="B99" s="1" t="n">
        <v>45810</v>
      </c>
      <c r="C99" s="1" t="n">
        <v>45841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Doftskinn</t>
        </is>
      </c>
      <c r="S99">
        <f>HYPERLINK("https://klasma.github.io/Logging_202080/artfynd/A 26721-2025 artfynd.xlsx", "A 26721-2025")</f>
        <v/>
      </c>
      <c r="T99">
        <f>HYPERLINK("https://klasma.github.io/Logging_202080/kartor/A 26721-2025 karta.png", "A 26721-2025")</f>
        <v/>
      </c>
      <c r="V99">
        <f>HYPERLINK("https://klasma.github.io/Logging_202080/klagomål/A 26721-2025 FSC-klagomål.docx", "A 26721-2025")</f>
        <v/>
      </c>
      <c r="W99">
        <f>HYPERLINK("https://klasma.github.io/Logging_202080/klagomålsmail/A 26721-2025 FSC-klagomål mail.docx", "A 26721-2025")</f>
        <v/>
      </c>
      <c r="X99">
        <f>HYPERLINK("https://klasma.github.io/Logging_202080/tillsyn/A 26721-2025 tillsynsbegäran.docx", "A 26721-2025")</f>
        <v/>
      </c>
      <c r="Y99">
        <f>HYPERLINK("https://klasma.github.io/Logging_202080/tillsynsmail/A 26721-2025 tillsynsbegäran mail.docx", "A 26721-2025")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45841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45841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45841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45841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45841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45841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45841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45841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45841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45841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45841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45841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45841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45841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45841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45841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45841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45841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45841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45841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45841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45841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45841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45841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45841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45841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45841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45841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45841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45841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45841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45841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45841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45841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45841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45841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45841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45841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45841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45841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45841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45841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45841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45841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45841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45841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45841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45841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45841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45841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45841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45841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45841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45841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45841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45841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45841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45841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45841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45841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45841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45841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45841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45841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45841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45841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45841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45841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45841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45841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45841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45841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45841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45841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45841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45841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45841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45841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45841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45841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45841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45841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45841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45841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45841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45841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45841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45841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45841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45841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45841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45841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45841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45841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45841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45841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45841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45841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45841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45841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45841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45841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45841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45841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45841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45841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45841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45841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45841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45841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45841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45841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45841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45841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45841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45841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45841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45841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45841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45841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45841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45841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45841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45841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45841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45841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45841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45841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45841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45841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45841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45841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45841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45841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45841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45841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45841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45841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45841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45841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45841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45841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45841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45841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45841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45841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45841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45841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45841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45841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45841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45841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45841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45841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45841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45841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45841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45841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45841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45841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45841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45841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45841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45841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45841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45841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45841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45841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45841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45841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45841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45841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45841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45841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45841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45841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45841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45841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45841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45841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45841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45841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45841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45841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45841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45841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45841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45841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45841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45841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45841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45841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45841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45841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45841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45841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45841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45841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45841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45841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45841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45841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45841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45841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45841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45841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45841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45841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45841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45841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45841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45841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45841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45841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45841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45841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45841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45841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45841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45841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45841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45841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45841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45841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45841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45841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45841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45841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45841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45841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45841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45841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45841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45841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45841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45841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45841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45841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45841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45841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45841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45841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45841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45841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45841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45841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45841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45841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45841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45841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45841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45841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45841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45841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45841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45841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45841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45841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45841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45841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45841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45841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45841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45841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45841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45841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45841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45841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45841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45841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45841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45841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45841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45841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45841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45841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45841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45841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45841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45841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45841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45841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45841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45841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45841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45841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45841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45841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45841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45841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45841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45841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45841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45841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45841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45841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45841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45841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45841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45841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45841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45841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45841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45841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45841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45841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45841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45841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45841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45841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45841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45841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45841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45841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45841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45841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45841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45841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45841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45841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45841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45841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45841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45841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45841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45841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45841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45841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45841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45841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45841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45841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45841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45841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45841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45841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45841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45841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45841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45841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45841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45841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45841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45841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45841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45841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45841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45841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45841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45841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45841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45841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45841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45841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45841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45841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45841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45841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45841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45841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45841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45841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45841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45841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45841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45841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45841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45841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45841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45841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45841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45841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45841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45841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45841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45841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45841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45841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45841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45841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45841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45841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45841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45841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45841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45841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45841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45841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45841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45841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45841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45841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45841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45841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45841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45841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45841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45841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45841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45841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45841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45841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45841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45841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45841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45841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45841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45841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45841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45841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45841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45841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45841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45841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45841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45841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45841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45841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45841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45841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45841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45841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45841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45841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45841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45841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45841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45841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45841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45841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45841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45841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45841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45841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45841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45841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45841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45841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45841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45841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45841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45841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45841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45841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45841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45841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45841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45841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45841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45841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45841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45841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45841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45841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45841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45841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45841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45841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45841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45841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45841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45841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45841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45841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45841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45841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45841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45841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45841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45841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45841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45841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45841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45841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45841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45841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45841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45841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45841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45841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45841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45841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45841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45841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45841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45841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45841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45841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45841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45841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45841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45841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45841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45841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45841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45841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45841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45841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45841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45841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45841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45841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45841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45841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45841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45841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45841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45841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45841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45841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45841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45841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45841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45841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45841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45841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45841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45841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45841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45841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45841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45841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45841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45841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45841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45841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45841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45841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45841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45841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45841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45841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45841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45841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45841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45841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45841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45841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45841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45841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45841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45841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45841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45841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45841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45841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45841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45841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45841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45841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45841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45841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45841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45841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45841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45841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45841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45841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45841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45841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45841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45841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45841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45841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45841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45841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45841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45841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45841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45841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45841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45841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45841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45841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45841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45841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45841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45841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45841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45841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45841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45841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45841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45841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45841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45841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45841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45841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45841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45841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45841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45841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45841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45841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45841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45841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45841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45841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45841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45841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45841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45841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45841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45841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45841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45841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45841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45841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45841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45841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45841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45841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45841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45841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45841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45841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45841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45841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45841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45841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45841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45841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45841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45841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45841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45841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45841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45841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45841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45841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45841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45841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45841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45841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45841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45841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45841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45841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45841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45841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45841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45841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45841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45841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45841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45841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45841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45841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45841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45841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45841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45841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45841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45841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45841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45841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45841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45841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45841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45841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45841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45841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45841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45841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45841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45841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45841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45841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45841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45841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45841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45841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45841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45841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45841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45841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45841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45841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45841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45841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45841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45841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45841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45841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45841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45841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45841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45841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45841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45841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45841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45841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45841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45841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45841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45841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45841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45841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45841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45841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45841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45841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45841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45841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45841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45841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45841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45841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45841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45841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45841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45841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45841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45841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45841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45841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45841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45841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45841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45841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45841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45841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45841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45841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45841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45841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45841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45841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45841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45841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45841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45841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45841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45841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45841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45841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45841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45841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45841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45841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45841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45841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45841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45841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45841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45841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45841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45841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45841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45841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45841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45841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45841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45841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45841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45841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45841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45841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45841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45841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45841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45841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45841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45841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45841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45841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45841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45841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45841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45841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45841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45841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45841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45841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45841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45841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45841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45841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45841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45841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45841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45841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45841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45841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45841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45841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45841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45841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45841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45841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45841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45841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45841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45841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45841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45841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45841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45841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45841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45841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45841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45841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45841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45841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45841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45841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45841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45841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45841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45841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45841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45841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45841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45841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45841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45841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45841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45841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45841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45841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45841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45841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45841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45841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45841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45841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45841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45841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45841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45841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45841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45841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45841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45841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45841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45841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45841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45841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45841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45841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45841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45841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45841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45841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45841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45841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45841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45841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45841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45841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45841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45841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45841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45841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45841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45841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45841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45841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45841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45841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45841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45841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45841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45841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45841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45841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45841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45841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45841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45841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45841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45841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45841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45841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45841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45841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45841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45841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45841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45841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45841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45841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45841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45841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45841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45841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45841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45841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45841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45841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45841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45841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45841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45841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45841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45841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45841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45841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45841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45841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45841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45841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45841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45841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45841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45841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45841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45841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45841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45841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45841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45841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45841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45841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45841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45841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45841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45841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45841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45841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45841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45841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45841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45841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45841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45841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45841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45841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45841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45841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45841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45841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45841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45841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45841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45841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45841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45841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45841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45841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45841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45841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45841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45841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45841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45841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45841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45841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45841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45841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45841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45841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45841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45841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45841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45841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45841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45841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45841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45841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45841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45841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45841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45841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45841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45841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45841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45841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45841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45841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45841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45841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45841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45841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45841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45841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45841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45841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45841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45841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45841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45841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45841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45841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45841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45841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45841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45841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45841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45841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45841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45841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45841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45841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45841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45841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45841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45841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45841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45841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45841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45841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45841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45841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45841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45841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45841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45841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45841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45841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45841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45841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45841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45841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45841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45841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45841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45841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45841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45841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45841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45841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45841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45841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45841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45841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45841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45841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45841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45841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45841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45841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45841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45841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45841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45841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45841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45841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45841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45841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45841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45841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45841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45841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45841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45841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45841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45841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45841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45841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45841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45841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45841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45841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45841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45841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45841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45841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45841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45841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45841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45841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45841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45841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45841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45841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45841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45841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45841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45841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45841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45841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45841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45841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45841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45841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45841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45841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45841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45841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45841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45841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45841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45841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45841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45841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45841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45841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45841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45841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45841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45841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45841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45841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45841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45841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45841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45841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45841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45841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45841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45841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45841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45841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45841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45841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45841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45841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45841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45841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45841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45841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45841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45841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45841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45841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45841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45841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45841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45841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45841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45841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45841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45841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45841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45841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45841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45841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45841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45841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45841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45841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45841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45841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45841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45841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45841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45841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45841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45841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45841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45841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45841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45841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45841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45841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45841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45841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45841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45841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45841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45841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45841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45841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45841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45841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45841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45841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45841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45841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45841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45841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45841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45841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45841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45841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45841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45841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45841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45841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45841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45841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45841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45841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45841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45841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45841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45841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45841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45841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45841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45841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45841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45841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45841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45841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45841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45841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45841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45841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45841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45841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45841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45841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45841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45841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45841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45841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45841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45841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45841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45841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45841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45841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45841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45841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45841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45841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45841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45841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45841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45841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45841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45841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45841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45841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45841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45841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45841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45841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45841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45841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45841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45841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45841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45841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45841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45841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45841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45841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45841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45841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45841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45841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45841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45841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45841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45841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45841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45841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45841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45841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45841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45841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45841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45841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45841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45841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45841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45841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45841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45841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45841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45841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45841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45841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45841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45841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45841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45841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45841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45841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45841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45841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45841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45841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45841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45841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45841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45841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45841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45841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45841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45841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45841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45841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45841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45841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45841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45841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45841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45841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45841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45841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45841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45841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45841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45841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45841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45841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45841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45841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45841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45841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45841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45841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45841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45841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45841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45841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45841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45841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45841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45841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45841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45841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45841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45841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45841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45841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45841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45841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45841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45841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45841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45841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45841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45841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45841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45841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45841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45841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45841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45841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45841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45841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45841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45841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45841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45841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45841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45841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45841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45841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45841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45841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45841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45841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45841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45841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45841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45841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45841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45841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45841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45841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45841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45841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45841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45841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45841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45841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45841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45841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45841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45841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45841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45841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45841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45841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45841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45841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45841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45841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45841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45841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45841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45841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45841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45841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45841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45841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45841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45841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45841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45841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45841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45841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45841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45841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45841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45841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45841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45841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45841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45841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45841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45841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45841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45841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45841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45841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45841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45841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45841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45841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45841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45841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45841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45841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45841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45841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45841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45841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45841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45841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45841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45841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45841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45841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45841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45841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45841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45841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45841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45841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45841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45841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45841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45841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45841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45841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45841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45841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45841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45841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45841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45841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45841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45841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45841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45841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45841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45841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45841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45841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45841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45841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45841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45841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45841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45841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45841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45841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45841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45841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45841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45841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45841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45841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45841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45841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45841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45841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45841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45841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45841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45841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45841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45841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45841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45841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45841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45841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45841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45841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45841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45841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45841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45841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45841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45841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45841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45841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45841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45841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45841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45841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45841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45841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45841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45841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45841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45841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45841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45841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45841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45841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45841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45841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45841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45841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45841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45841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45841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45841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45841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45841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45841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45841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45841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45841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45841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45841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45841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45841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45841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45841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45841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45841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45841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45841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45841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45841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45841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45841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45841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45841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45841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45841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45841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45841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45841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45841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45841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45841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45841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45841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45841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45841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45841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45841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45841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45841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45841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45841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45841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45841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45841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45841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45841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45841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45841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45841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45841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45841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45841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26530-2025</t>
        </is>
      </c>
      <c r="B1647" s="1" t="n">
        <v>45807</v>
      </c>
      <c r="C1647" s="1" t="n">
        <v>45841</v>
      </c>
      <c r="D1647" t="inlineStr">
        <is>
          <t>DALARNAS LÄN</t>
        </is>
      </c>
      <c r="E1647" t="inlineStr">
        <is>
          <t>FALUN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26525-2025</t>
        </is>
      </c>
      <c r="B1648" s="1" t="n">
        <v>45807</v>
      </c>
      <c r="C1648" s="1" t="n">
        <v>45841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45841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26800-2025</t>
        </is>
      </c>
      <c r="B1650" s="1" t="n">
        <v>45810</v>
      </c>
      <c r="C1650" s="1" t="n">
        <v>45841</v>
      </c>
      <c r="D1650" t="inlineStr">
        <is>
          <t>DALARNAS LÄN</t>
        </is>
      </c>
      <c r="E1650" t="inlineStr">
        <is>
          <t>FALUN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26663-2025</t>
        </is>
      </c>
      <c r="B1651" s="1" t="n">
        <v>45810</v>
      </c>
      <c r="C1651" s="1" t="n">
        <v>45841</v>
      </c>
      <c r="D1651" t="inlineStr">
        <is>
          <t>DALARNAS LÄN</t>
        </is>
      </c>
      <c r="E1651" t="inlineStr">
        <is>
          <t>FALUN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26803-2025</t>
        </is>
      </c>
      <c r="B1652" s="1" t="n">
        <v>45810</v>
      </c>
      <c r="C1652" s="1" t="n">
        <v>45841</v>
      </c>
      <c r="D1652" t="inlineStr">
        <is>
          <t>DALARNAS LÄN</t>
        </is>
      </c>
      <c r="E1652" t="inlineStr">
        <is>
          <t>FALUN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27087-2025</t>
        </is>
      </c>
      <c r="B1653" s="1" t="n">
        <v>45811</v>
      </c>
      <c r="C1653" s="1" t="n">
        <v>45841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27088-2025</t>
        </is>
      </c>
      <c r="B1654" s="1" t="n">
        <v>45811</v>
      </c>
      <c r="C1654" s="1" t="n">
        <v>45841</v>
      </c>
      <c r="D1654" t="inlineStr">
        <is>
          <t>DALARNAS LÄN</t>
        </is>
      </c>
      <c r="E1654" t="inlineStr">
        <is>
          <t>FALUN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26927-2025</t>
        </is>
      </c>
      <c r="B1655" s="1" t="n">
        <v>45811</v>
      </c>
      <c r="C1655" s="1" t="n">
        <v>45841</v>
      </c>
      <c r="D1655" t="inlineStr">
        <is>
          <t>DALARNAS LÄN</t>
        </is>
      </c>
      <c r="E1655" t="inlineStr">
        <is>
          <t>FALUN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45841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27469-2025</t>
        </is>
      </c>
      <c r="B1657" s="1" t="n">
        <v>45813</v>
      </c>
      <c r="C1657" s="1" t="n">
        <v>45841</v>
      </c>
      <c r="D1657" t="inlineStr">
        <is>
          <t>DALARNAS LÄN</t>
        </is>
      </c>
      <c r="E1657" t="inlineStr">
        <is>
          <t>FALUN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45841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27468-2025</t>
        </is>
      </c>
      <c r="B1659" s="1" t="n">
        <v>45813</v>
      </c>
      <c r="C1659" s="1" t="n">
        <v>45841</v>
      </c>
      <c r="D1659" t="inlineStr">
        <is>
          <t>DALARNAS LÄN</t>
        </is>
      </c>
      <c r="E1659" t="inlineStr">
        <is>
          <t>FALUN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45841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45841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28679-2025</t>
        </is>
      </c>
      <c r="B1662" s="1" t="n">
        <v>45819</v>
      </c>
      <c r="C1662" s="1" t="n">
        <v>45841</v>
      </c>
      <c r="D1662" t="inlineStr">
        <is>
          <t>DALARNAS LÄN</t>
        </is>
      </c>
      <c r="E1662" t="inlineStr">
        <is>
          <t>FALUN</t>
        </is>
      </c>
      <c r="F1662" t="inlineStr">
        <is>
          <t>Allmännings- och besparingsskogar</t>
        </is>
      </c>
      <c r="G1662" t="n">
        <v>11.3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28721-2025</t>
        </is>
      </c>
      <c r="B1663" s="1" t="n">
        <v>45820</v>
      </c>
      <c r="C1663" s="1" t="n">
        <v>45841</v>
      </c>
      <c r="D1663" t="inlineStr">
        <is>
          <t>DALARNAS LÄN</t>
        </is>
      </c>
      <c r="E1663" t="inlineStr">
        <is>
          <t>FALUN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28730-2025</t>
        </is>
      </c>
      <c r="B1664" s="1" t="n">
        <v>45820</v>
      </c>
      <c r="C1664" s="1" t="n">
        <v>45841</v>
      </c>
      <c r="D1664" t="inlineStr">
        <is>
          <t>DALARNAS LÄN</t>
        </is>
      </c>
      <c r="E1664" t="inlineStr">
        <is>
          <t>FALUN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28828-2025</t>
        </is>
      </c>
      <c r="B1665" s="1" t="n">
        <v>45820</v>
      </c>
      <c r="C1665" s="1" t="n">
        <v>45841</v>
      </c>
      <c r="D1665" t="inlineStr">
        <is>
          <t>DALARNAS LÄN</t>
        </is>
      </c>
      <c r="E1665" t="inlineStr">
        <is>
          <t>FALUN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28735-2025</t>
        </is>
      </c>
      <c r="B1666" s="1" t="n">
        <v>45820</v>
      </c>
      <c r="C1666" s="1" t="n">
        <v>45841</v>
      </c>
      <c r="D1666" t="inlineStr">
        <is>
          <t>DALARNAS LÄN</t>
        </is>
      </c>
      <c r="E1666" t="inlineStr">
        <is>
          <t>FALUN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28724-2025</t>
        </is>
      </c>
      <c r="B1667" s="1" t="n">
        <v>45820</v>
      </c>
      <c r="C1667" s="1" t="n">
        <v>45841</v>
      </c>
      <c r="D1667" t="inlineStr">
        <is>
          <t>DALARNAS LÄN</t>
        </is>
      </c>
      <c r="E1667" t="inlineStr">
        <is>
          <t>FALUN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28930-2025</t>
        </is>
      </c>
      <c r="B1668" s="1" t="n">
        <v>45820</v>
      </c>
      <c r="C1668" s="1" t="n">
        <v>45841</v>
      </c>
      <c r="D1668" t="inlineStr">
        <is>
          <t>DALARNAS LÄN</t>
        </is>
      </c>
      <c r="E1668" t="inlineStr">
        <is>
          <t>FALUN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  <c r="U1668">
        <f>HYPERLINK("https://klasma.github.io/Logging_202080/knärot/A 28930-2025 karta knärot.png", "A 28930-2025")</f>
        <v/>
      </c>
      <c r="V1668">
        <f>HYPERLINK("https://klasma.github.io/Logging_202080/klagomål/A 28930-2025 FSC-klagomål.docx", "A 28930-2025")</f>
        <v/>
      </c>
      <c r="W1668">
        <f>HYPERLINK("https://klasma.github.io/Logging_202080/klagomålsmail/A 28930-2025 FSC-klagomål mail.docx", "A 28930-2025")</f>
        <v/>
      </c>
      <c r="X1668">
        <f>HYPERLINK("https://klasma.github.io/Logging_202080/tillsyn/A 28930-2025 tillsynsbegäran.docx", "A 28930-2025")</f>
        <v/>
      </c>
      <c r="Y1668">
        <f>HYPERLINK("https://klasma.github.io/Logging_202080/tillsynsmail/A 28930-2025 tillsynsbegäran mail.docx", "A 28930-2025")</f>
        <v/>
      </c>
    </row>
    <row r="1669" ht="15" customHeight="1">
      <c r="A1669" t="inlineStr">
        <is>
          <t>A 29427-2025</t>
        </is>
      </c>
      <c r="B1669" s="1" t="n">
        <v>45824</v>
      </c>
      <c r="C1669" s="1" t="n">
        <v>45841</v>
      </c>
      <c r="D1669" t="inlineStr">
        <is>
          <t>DALARNAS LÄN</t>
        </is>
      </c>
      <c r="E1669" t="inlineStr">
        <is>
          <t>FALUN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29294-2025</t>
        </is>
      </c>
      <c r="B1670" s="1" t="n">
        <v>45824</v>
      </c>
      <c r="C1670" s="1" t="n">
        <v>45841</v>
      </c>
      <c r="D1670" t="inlineStr">
        <is>
          <t>DALARNAS LÄN</t>
        </is>
      </c>
      <c r="E1670" t="inlineStr">
        <is>
          <t>FALUN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29355-2025</t>
        </is>
      </c>
      <c r="B1671" s="1" t="n">
        <v>45824</v>
      </c>
      <c r="C1671" s="1" t="n">
        <v>45841</v>
      </c>
      <c r="D1671" t="inlineStr">
        <is>
          <t>DALARNAS LÄN</t>
        </is>
      </c>
      <c r="E1671" t="inlineStr">
        <is>
          <t>FALUN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29791-2025</t>
        </is>
      </c>
      <c r="B1672" s="1" t="n">
        <v>45825</v>
      </c>
      <c r="C1672" s="1" t="n">
        <v>45841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6.7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  <c r="U1672">
        <f>HYPERLINK("https://klasma.github.io/Logging_202080/knärot/A 29791-2025 karta knärot.png", "A 29791-2025")</f>
        <v/>
      </c>
      <c r="V1672">
        <f>HYPERLINK("https://klasma.github.io/Logging_202080/klagomål/A 29791-2025 FSC-klagomål.docx", "A 29791-2025")</f>
        <v/>
      </c>
      <c r="W1672">
        <f>HYPERLINK("https://klasma.github.io/Logging_202080/klagomålsmail/A 29791-2025 FSC-klagomål mail.docx", "A 29791-2025")</f>
        <v/>
      </c>
      <c r="X1672">
        <f>HYPERLINK("https://klasma.github.io/Logging_202080/tillsyn/A 29791-2025 tillsynsbegäran.docx", "A 29791-2025")</f>
        <v/>
      </c>
      <c r="Y1672">
        <f>HYPERLINK("https://klasma.github.io/Logging_202080/tillsynsmail/A 29791-2025 tillsynsbegäran mail.docx", "A 29791-2025")</f>
        <v/>
      </c>
    </row>
    <row r="1673" ht="15" customHeight="1">
      <c r="A1673" t="inlineStr">
        <is>
          <t>A 29740-2025</t>
        </is>
      </c>
      <c r="B1673" s="1" t="n">
        <v>45825</v>
      </c>
      <c r="C1673" s="1" t="n">
        <v>45841</v>
      </c>
      <c r="D1673" t="inlineStr">
        <is>
          <t>DALARNAS LÄN</t>
        </is>
      </c>
      <c r="E1673" t="inlineStr">
        <is>
          <t>FALUN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29703-2025</t>
        </is>
      </c>
      <c r="B1674" s="1" t="n">
        <v>45825</v>
      </c>
      <c r="C1674" s="1" t="n">
        <v>45841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29527-2025</t>
        </is>
      </c>
      <c r="B1675" s="1" t="n">
        <v>45825</v>
      </c>
      <c r="C1675" s="1" t="n">
        <v>45841</v>
      </c>
      <c r="D1675" t="inlineStr">
        <is>
          <t>DALARNAS LÄN</t>
        </is>
      </c>
      <c r="E1675" t="inlineStr">
        <is>
          <t>FALUN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30146-2025</t>
        </is>
      </c>
      <c r="B1676" s="1" t="n">
        <v>45827</v>
      </c>
      <c r="C1676" s="1" t="n">
        <v>45841</v>
      </c>
      <c r="D1676" t="inlineStr">
        <is>
          <t>DALARNAS LÄN</t>
        </is>
      </c>
      <c r="E1676" t="inlineStr">
        <is>
          <t>FALUN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30405-2025</t>
        </is>
      </c>
      <c r="B1677" s="1" t="n">
        <v>45827</v>
      </c>
      <c r="C1677" s="1" t="n">
        <v>45841</v>
      </c>
      <c r="D1677" t="inlineStr">
        <is>
          <t>DALARNAS LÄN</t>
        </is>
      </c>
      <c r="E1677" t="inlineStr">
        <is>
          <t>FALUN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30378-2025</t>
        </is>
      </c>
      <c r="B1678" s="1" t="n">
        <v>45827</v>
      </c>
      <c r="C1678" s="1" t="n">
        <v>45841</v>
      </c>
      <c r="D1678" t="inlineStr">
        <is>
          <t>DALARNAS LÄN</t>
        </is>
      </c>
      <c r="E1678" t="inlineStr">
        <is>
          <t>FALUN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30593-2025</t>
        </is>
      </c>
      <c r="B1679" s="1" t="n">
        <v>45831</v>
      </c>
      <c r="C1679" s="1" t="n">
        <v>45841</v>
      </c>
      <c r="D1679" t="inlineStr">
        <is>
          <t>DALARNAS LÄN</t>
        </is>
      </c>
      <c r="E1679" t="inlineStr">
        <is>
          <t>FALUN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30541-2025</t>
        </is>
      </c>
      <c r="B1680" s="1" t="n">
        <v>45831</v>
      </c>
      <c r="C1680" s="1" t="n">
        <v>45841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6.4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30804-2025</t>
        </is>
      </c>
      <c r="B1681" s="1" t="n">
        <v>45831</v>
      </c>
      <c r="C1681" s="1" t="n">
        <v>45841</v>
      </c>
      <c r="D1681" t="inlineStr">
        <is>
          <t>DALARNAS LÄN</t>
        </is>
      </c>
      <c r="E1681" t="inlineStr">
        <is>
          <t>FALUN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30814-2025</t>
        </is>
      </c>
      <c r="B1682" s="1" t="n">
        <v>45831</v>
      </c>
      <c r="C1682" s="1" t="n">
        <v>45841</v>
      </c>
      <c r="D1682" t="inlineStr">
        <is>
          <t>DALARNAS LÄN</t>
        </is>
      </c>
      <c r="E1682" t="inlineStr">
        <is>
          <t>FALUN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30819-2025</t>
        </is>
      </c>
      <c r="B1683" s="1" t="n">
        <v>45831</v>
      </c>
      <c r="C1683" s="1" t="n">
        <v>45841</v>
      </c>
      <c r="D1683" t="inlineStr">
        <is>
          <t>DALARNAS LÄN</t>
        </is>
      </c>
      <c r="E1683" t="inlineStr">
        <is>
          <t>FALUN</t>
        </is>
      </c>
      <c r="G1683" t="n">
        <v>8.5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30817-2025</t>
        </is>
      </c>
      <c r="B1684" s="1" t="n">
        <v>45831</v>
      </c>
      <c r="C1684" s="1" t="n">
        <v>45841</v>
      </c>
      <c r="D1684" t="inlineStr">
        <is>
          <t>DALARNAS LÄN</t>
        </is>
      </c>
      <c r="E1684" t="inlineStr">
        <is>
          <t>FALUN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30927-2025</t>
        </is>
      </c>
      <c r="B1685" s="1" t="n">
        <v>45832</v>
      </c>
      <c r="C1685" s="1" t="n">
        <v>45841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31230-2025</t>
        </is>
      </c>
      <c r="B1686" s="1" t="n">
        <v>45832</v>
      </c>
      <c r="C1686" s="1" t="n">
        <v>45841</v>
      </c>
      <c r="D1686" t="inlineStr">
        <is>
          <t>DALARNAS LÄN</t>
        </is>
      </c>
      <c r="E1686" t="inlineStr">
        <is>
          <t>FALUN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30869-2025</t>
        </is>
      </c>
      <c r="B1687" s="1" t="n">
        <v>45832</v>
      </c>
      <c r="C1687" s="1" t="n">
        <v>45841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31267-2025</t>
        </is>
      </c>
      <c r="B1688" s="1" t="n">
        <v>45833</v>
      </c>
      <c r="C1688" s="1" t="n">
        <v>45841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31281-2025</t>
        </is>
      </c>
      <c r="B1689" s="1" t="n">
        <v>45833</v>
      </c>
      <c r="C1689" s="1" t="n">
        <v>45841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31838-2025</t>
        </is>
      </c>
      <c r="B1690" s="1" t="n">
        <v>45834</v>
      </c>
      <c r="C1690" s="1" t="n">
        <v>45841</v>
      </c>
      <c r="D1690" t="inlineStr">
        <is>
          <t>DALARNAS LÄN</t>
        </is>
      </c>
      <c r="E1690" t="inlineStr">
        <is>
          <t>FALUN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32216-2025</t>
        </is>
      </c>
      <c r="B1691" s="1" t="n">
        <v>45835</v>
      </c>
      <c r="C1691" s="1" t="n">
        <v>45841</v>
      </c>
      <c r="D1691" t="inlineStr">
        <is>
          <t>DALARNAS LÄN</t>
        </is>
      </c>
      <c r="E1691" t="inlineStr">
        <is>
          <t>FALUN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32206-2025</t>
        </is>
      </c>
      <c r="B1692" s="1" t="n">
        <v>45835</v>
      </c>
      <c r="C1692" s="1" t="n">
        <v>45841</v>
      </c>
      <c r="D1692" t="inlineStr">
        <is>
          <t>DALARNAS LÄN</t>
        </is>
      </c>
      <c r="E1692" t="inlineStr">
        <is>
          <t>FALUN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32317-2025</t>
        </is>
      </c>
      <c r="B1693" s="1" t="n">
        <v>45836</v>
      </c>
      <c r="C1693" s="1" t="n">
        <v>45841</v>
      </c>
      <c r="D1693" t="inlineStr">
        <is>
          <t>DALARNAS LÄN</t>
        </is>
      </c>
      <c r="E1693" t="inlineStr">
        <is>
          <t>FALUN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32425-2025</t>
        </is>
      </c>
      <c r="B1694" s="1" t="n">
        <v>45838</v>
      </c>
      <c r="C1694" s="1" t="n">
        <v>45841</v>
      </c>
      <c r="D1694" t="inlineStr">
        <is>
          <t>DALARNAS LÄN</t>
        </is>
      </c>
      <c r="E1694" t="inlineStr">
        <is>
          <t>FALUN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32631-2025</t>
        </is>
      </c>
      <c r="B1695" s="1" t="n">
        <v>45838</v>
      </c>
      <c r="C1695" s="1" t="n">
        <v>45841</v>
      </c>
      <c r="D1695" t="inlineStr">
        <is>
          <t>DALARNAS LÄN</t>
        </is>
      </c>
      <c r="E1695" t="inlineStr">
        <is>
          <t>FALUN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32753-2025</t>
        </is>
      </c>
      <c r="B1696" s="1" t="n">
        <v>45838</v>
      </c>
      <c r="C1696" s="1" t="n">
        <v>45841</v>
      </c>
      <c r="D1696" t="inlineStr">
        <is>
          <t>DALARNAS LÄN</t>
        </is>
      </c>
      <c r="E1696" t="inlineStr">
        <is>
          <t>FALUN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32456-2025</t>
        </is>
      </c>
      <c r="B1697" s="1" t="n">
        <v>45838</v>
      </c>
      <c r="C1697" s="1" t="n">
        <v>45841</v>
      </c>
      <c r="D1697" t="inlineStr">
        <is>
          <t>DALARNAS LÄN</t>
        </is>
      </c>
      <c r="E1697" t="inlineStr">
        <is>
          <t>FALUN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32802-2025</t>
        </is>
      </c>
      <c r="B1698" s="1" t="n">
        <v>45839</v>
      </c>
      <c r="C1698" s="1" t="n">
        <v>45841</v>
      </c>
      <c r="D1698" t="inlineStr">
        <is>
          <t>DALARNAS LÄN</t>
        </is>
      </c>
      <c r="E1698" t="inlineStr">
        <is>
          <t>FALUN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33148-2025</t>
        </is>
      </c>
      <c r="B1699" s="1" t="n">
        <v>45840</v>
      </c>
      <c r="C1699" s="1" t="n">
        <v>45841</v>
      </c>
      <c r="D1699" t="inlineStr">
        <is>
          <t>DALARNAS LÄN</t>
        </is>
      </c>
      <c r="E1699" t="inlineStr">
        <is>
          <t>FALUN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>
      <c r="A1700" t="inlineStr">
        <is>
          <t>A 33170-2025</t>
        </is>
      </c>
      <c r="B1700" s="1" t="n">
        <v>45840</v>
      </c>
      <c r="C1700" s="1" t="n">
        <v>45841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21.1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2025-07-03T19:41:34Z</dcterms:created>
  <dcterms:modified xmlns:dcterms="http://purl.org/dc/terms/" xmlns:xsi="http://www.w3.org/2001/XMLSchema-instance" xsi:type="dcterms:W3CDTF">2025-07-03T19:41:35Z</dcterms:modified>
</cp:coreProperties>
</file>