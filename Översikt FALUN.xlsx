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45756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45756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45756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45756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45756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45756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45756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45756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45756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45756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45756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45756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45756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45756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45756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45756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45756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45756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45756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40160-2020</t>
        </is>
      </c>
      <c r="B41" s="1" t="n">
        <v>44068</v>
      </c>
      <c r="C41" s="1" t="n">
        <v>45756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HYPERLINK("https://klasma.github.io/Logging_2080/artfynd/A 40160-2020 artfynd.xlsx", "A 40160-2020")</f>
        <v/>
      </c>
      <c r="T41">
        <f>HYPERLINK("https://klasma.github.io/Logging_2080/kartor/A 40160-2020 karta.png", "A 40160-2020")</f>
        <v/>
      </c>
      <c r="V41">
        <f>HYPERLINK("https://klasma.github.io/Logging_2080/klagomål/A 40160-2020 FSC-klagomål.docx", "A 40160-2020")</f>
        <v/>
      </c>
      <c r="W41">
        <f>HYPERLINK("https://klasma.github.io/Logging_2080/klagomålsmail/A 40160-2020 FSC-klagomål mail.docx", "A 40160-2020")</f>
        <v/>
      </c>
      <c r="X41">
        <f>HYPERLINK("https://klasma.github.io/Logging_2080/tillsyn/A 40160-2020 tillsynsbegäran.docx", "A 40160-2020")</f>
        <v/>
      </c>
      <c r="Y41">
        <f>HYPERLINK("https://klasma.github.io/Logging_2080/tillsynsmail/A 40160-2020 tillsynsbegäran mail.docx", "A 40160-2020")</f>
        <v/>
      </c>
    </row>
    <row r="42" ht="15" customHeight="1">
      <c r="A42" t="inlineStr">
        <is>
          <t>A 45940-2020</t>
        </is>
      </c>
      <c r="B42" s="1" t="n">
        <v>44091</v>
      </c>
      <c r="C42" s="1" t="n">
        <v>45756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3.7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Järpe</t>
        </is>
      </c>
      <c r="S42">
        <f>HYPERLINK("https://klasma.github.io/Logging_2080/artfynd/A 45940-2020 artfynd.xlsx", "A 45940-2020")</f>
        <v/>
      </c>
      <c r="T42">
        <f>HYPERLINK("https://klasma.github.io/Logging_2080/kartor/A 45940-2020 karta.png", "A 45940-2020")</f>
        <v/>
      </c>
      <c r="V42">
        <f>HYPERLINK("https://klasma.github.io/Logging_2080/klagomål/A 45940-2020 FSC-klagomål.docx", "A 45940-2020")</f>
        <v/>
      </c>
      <c r="W42">
        <f>HYPERLINK("https://klasma.github.io/Logging_2080/klagomålsmail/A 45940-2020 FSC-klagomål mail.docx", "A 45940-2020")</f>
        <v/>
      </c>
      <c r="X42">
        <f>HYPERLINK("https://klasma.github.io/Logging_2080/tillsyn/A 45940-2020 tillsynsbegäran.docx", "A 45940-2020")</f>
        <v/>
      </c>
      <c r="Y42">
        <f>HYPERLINK("https://klasma.github.io/Logging_2080/tillsynsmail/A 45940-2020 tillsynsbegäran mail.docx", "A 45940-2020")</f>
        <v/>
      </c>
      <c r="Z42">
        <f>HYPERLINK("https://klasma.github.io/Logging_2080/fåglar/A 45940-2020 prioriterade fågelarter.docx", "A 45940-2020")</f>
        <v/>
      </c>
    </row>
    <row r="43" ht="15" customHeight="1">
      <c r="A43" t="inlineStr">
        <is>
          <t>A 56050-2020</t>
        </is>
      </c>
      <c r="B43" s="1" t="n">
        <v>44133</v>
      </c>
      <c r="C43" s="1" t="n">
        <v>45756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Korallblylav</t>
        </is>
      </c>
      <c r="S43">
        <f>HYPERLINK("https://klasma.github.io/Logging_2080/artfynd/A 56050-2020 artfynd.xlsx", "A 56050-2020")</f>
        <v/>
      </c>
      <c r="T43">
        <f>HYPERLINK("https://klasma.github.io/Logging_2080/kartor/A 56050-2020 karta.png", "A 56050-2020")</f>
        <v/>
      </c>
      <c r="V43">
        <f>HYPERLINK("https://klasma.github.io/Logging_2080/klagomål/A 56050-2020 FSC-klagomål.docx", "A 56050-2020")</f>
        <v/>
      </c>
      <c r="W43">
        <f>HYPERLINK("https://klasma.github.io/Logging_2080/klagomålsmail/A 56050-2020 FSC-klagomål mail.docx", "A 56050-2020")</f>
        <v/>
      </c>
      <c r="X43">
        <f>HYPERLINK("https://klasma.github.io/Logging_2080/tillsyn/A 56050-2020 tillsynsbegäran.docx", "A 56050-2020")</f>
        <v/>
      </c>
      <c r="Y43">
        <f>HYPERLINK("https://klasma.github.io/Logging_2080/tillsynsmail/A 56050-2020 tillsynsbegäran mail.docx", "A 56050-2020")</f>
        <v/>
      </c>
    </row>
    <row r="44" ht="15" customHeight="1">
      <c r="A44" t="inlineStr">
        <is>
          <t>A 19267-2021</t>
        </is>
      </c>
      <c r="B44" s="1" t="n">
        <v>44309</v>
      </c>
      <c r="C44" s="1" t="n">
        <v>45756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Bronshjon</t>
        </is>
      </c>
      <c r="S44">
        <f>HYPERLINK("https://klasma.github.io/Logging_2080/artfynd/A 19267-2021 artfynd.xlsx", "A 19267-2021")</f>
        <v/>
      </c>
      <c r="T44">
        <f>HYPERLINK("https://klasma.github.io/Logging_2080/kartor/A 19267-2021 karta.png", "A 19267-2021")</f>
        <v/>
      </c>
      <c r="V44">
        <f>HYPERLINK("https://klasma.github.io/Logging_2080/klagomål/A 19267-2021 FSC-klagomål.docx", "A 19267-2021")</f>
        <v/>
      </c>
      <c r="W44">
        <f>HYPERLINK("https://klasma.github.io/Logging_2080/klagomålsmail/A 19267-2021 FSC-klagomål mail.docx", "A 19267-2021")</f>
        <v/>
      </c>
      <c r="X44">
        <f>HYPERLINK("https://klasma.github.io/Logging_2080/tillsyn/A 19267-2021 tillsynsbegäran.docx", "A 19267-2021")</f>
        <v/>
      </c>
      <c r="Y44">
        <f>HYPERLINK("https://klasma.github.io/Logging_2080/tillsynsmail/A 19267-2021 tillsynsbegäran mail.docx", "A 19267-2021")</f>
        <v/>
      </c>
    </row>
    <row r="45" ht="15" customHeight="1">
      <c r="A45" t="inlineStr">
        <is>
          <t>A 62396-2022</t>
        </is>
      </c>
      <c r="B45" s="1" t="n">
        <v>44923</v>
      </c>
      <c r="C45" s="1" t="n">
        <v>45756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Mindre märgborre</t>
        </is>
      </c>
      <c r="S45">
        <f>HYPERLINK("https://klasma.github.io/Logging_2080/artfynd/A 62396-2022 artfynd.xlsx", "A 62396-2022")</f>
        <v/>
      </c>
      <c r="T45">
        <f>HYPERLINK("https://klasma.github.io/Logging_2080/kartor/A 62396-2022 karta.png", "A 62396-2022")</f>
        <v/>
      </c>
      <c r="V45">
        <f>HYPERLINK("https://klasma.github.io/Logging_2080/klagomål/A 62396-2022 FSC-klagomål.docx", "A 62396-2022")</f>
        <v/>
      </c>
      <c r="W45">
        <f>HYPERLINK("https://klasma.github.io/Logging_2080/klagomålsmail/A 62396-2022 FSC-klagomål mail.docx", "A 62396-2022")</f>
        <v/>
      </c>
      <c r="X45">
        <f>HYPERLINK("https://klasma.github.io/Logging_2080/tillsyn/A 62396-2022 tillsynsbegäran.docx", "A 62396-2022")</f>
        <v/>
      </c>
      <c r="Y45">
        <f>HYPERLINK("https://klasma.github.io/Logging_2080/tillsynsmail/A 62396-2022 tillsynsbegäran mail.docx", "A 62396-2022")</f>
        <v/>
      </c>
      <c r="Z45">
        <f>HYPERLINK("https://klasma.github.io/Logging_2080/fåglar/A 62396-2022 prioriterade fågelarter.docx", "A 62396-2022")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45756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45756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17742-2023</t>
        </is>
      </c>
      <c r="B48" s="1" t="n">
        <v>45037</v>
      </c>
      <c r="C48" s="1" t="n">
        <v>45756</v>
      </c>
      <c r="D48" t="inlineStr">
        <is>
          <t>DALARNAS LÄN</t>
        </is>
      </c>
      <c r="E48" t="inlineStr">
        <is>
          <t>FALUN</t>
        </is>
      </c>
      <c r="G48" t="n">
        <v>2.4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Nästlav</t>
        </is>
      </c>
      <c r="S48">
        <f>HYPERLINK("https://klasma.github.io/Logging_2080/artfynd/A 17742-2023 artfynd.xlsx", "A 17742-2023")</f>
        <v/>
      </c>
      <c r="T48">
        <f>HYPERLINK("https://klasma.github.io/Logging_2080/kartor/A 17742-2023 karta.png", "A 17742-2023")</f>
        <v/>
      </c>
      <c r="V48">
        <f>HYPERLINK("https://klasma.github.io/Logging_2080/klagomål/A 17742-2023 FSC-klagomål.docx", "A 17742-2023")</f>
        <v/>
      </c>
      <c r="W48">
        <f>HYPERLINK("https://klasma.github.io/Logging_2080/klagomålsmail/A 17742-2023 FSC-klagomål mail.docx", "A 17742-2023")</f>
        <v/>
      </c>
      <c r="X48">
        <f>HYPERLINK("https://klasma.github.io/Logging_2080/tillsyn/A 17742-2023 tillsynsbegäran.docx", "A 17742-2023")</f>
        <v/>
      </c>
      <c r="Y48">
        <f>HYPERLINK("https://klasma.github.io/Logging_2080/tillsynsmail/A 17742-2023 tillsynsbegäran mail.docx", "A 17742-2023")</f>
        <v/>
      </c>
    </row>
    <row r="49" ht="15" customHeight="1">
      <c r="A49" t="inlineStr">
        <is>
          <t>A 18714-2023</t>
        </is>
      </c>
      <c r="B49" s="1" t="n">
        <v>45043</v>
      </c>
      <c r="C49" s="1" t="n">
        <v>45756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23753-2024</t>
        </is>
      </c>
      <c r="B50" s="1" t="n">
        <v>45455</v>
      </c>
      <c r="C50" s="1" t="n">
        <v>45756</v>
      </c>
      <c r="D50" t="inlineStr">
        <is>
          <t>DALARNAS LÄN</t>
        </is>
      </c>
      <c r="E50" t="inlineStr">
        <is>
          <t>FALUN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hackspett
Gröngöling</t>
        </is>
      </c>
      <c r="S50">
        <f>HYPERLINK("https://klasma.github.io/Logging_2080/artfynd/A 23753-2024 artfynd.xlsx", "A 23753-2024")</f>
        <v/>
      </c>
      <c r="T50">
        <f>HYPERLINK("https://klasma.github.io/Logging_2080/kartor/A 23753-2024 karta.png", "A 23753-2024")</f>
        <v/>
      </c>
      <c r="V50">
        <f>HYPERLINK("https://klasma.github.io/Logging_2080/klagomål/A 23753-2024 FSC-klagomål.docx", "A 23753-2024")</f>
        <v/>
      </c>
      <c r="W50">
        <f>HYPERLINK("https://klasma.github.io/Logging_2080/klagomålsmail/A 23753-2024 FSC-klagomål mail.docx", "A 23753-2024")</f>
        <v/>
      </c>
      <c r="X50">
        <f>HYPERLINK("https://klasma.github.io/Logging_2080/tillsyn/A 23753-2024 tillsynsbegäran.docx", "A 23753-2024")</f>
        <v/>
      </c>
      <c r="Y50">
        <f>HYPERLINK("https://klasma.github.io/Logging_2080/tillsynsmail/A 23753-2024 tillsynsbegäran mail.docx", "A 23753-2024")</f>
        <v/>
      </c>
      <c r="Z50">
        <f>HYPERLINK("https://klasma.github.io/Logging_2080/fåglar/A 23753-2024 prioriterade fågelarter.docx", "A 23753-2024")</f>
        <v/>
      </c>
    </row>
    <row r="51" ht="15" customHeight="1">
      <c r="A51" t="inlineStr">
        <is>
          <t>A 25836-2024</t>
        </is>
      </c>
      <c r="B51" s="1" t="n">
        <v>45467</v>
      </c>
      <c r="C51" s="1" t="n">
        <v>45756</v>
      </c>
      <c r="D51" t="inlineStr">
        <is>
          <t>DALARNAS LÄN</t>
        </is>
      </c>
      <c r="E51" t="inlineStr">
        <is>
          <t>FALUN</t>
        </is>
      </c>
      <c r="G51" t="n">
        <v>2.8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Mörk husmossa</t>
        </is>
      </c>
      <c r="S51">
        <f>HYPERLINK("https://klasma.github.io/Logging_2080/artfynd/A 25836-2024 artfynd.xlsx", "A 25836-2024")</f>
        <v/>
      </c>
      <c r="T51">
        <f>HYPERLINK("https://klasma.github.io/Logging_2080/kartor/A 25836-2024 karta.png", "A 25836-2024")</f>
        <v/>
      </c>
      <c r="V51">
        <f>HYPERLINK("https://klasma.github.io/Logging_2080/klagomål/A 25836-2024 FSC-klagomål.docx", "A 25836-2024")</f>
        <v/>
      </c>
      <c r="W51">
        <f>HYPERLINK("https://klasma.github.io/Logging_2080/klagomålsmail/A 25836-2024 FSC-klagomål mail.docx", "A 25836-2024")</f>
        <v/>
      </c>
      <c r="X51">
        <f>HYPERLINK("https://klasma.github.io/Logging_2080/tillsyn/A 25836-2024 tillsynsbegäran.docx", "A 25836-2024")</f>
        <v/>
      </c>
      <c r="Y51">
        <f>HYPERLINK("https://klasma.github.io/Logging_2080/tillsynsmail/A 25836-2024 tillsynsbegäran mail.docx", "A 25836-2024")</f>
        <v/>
      </c>
    </row>
    <row r="52" ht="15" customHeight="1">
      <c r="A52" t="inlineStr">
        <is>
          <t>A 29216-2024</t>
        </is>
      </c>
      <c r="B52" s="1" t="n">
        <v>45482</v>
      </c>
      <c r="C52" s="1" t="n">
        <v>45756</v>
      </c>
      <c r="D52" t="inlineStr">
        <is>
          <t>DALARNAS LÄN</t>
        </is>
      </c>
      <c r="E52" t="inlineStr">
        <is>
          <t>FALUN</t>
        </is>
      </c>
      <c r="G52" t="n">
        <v>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Tjäder</t>
        </is>
      </c>
      <c r="S52">
        <f>HYPERLINK("https://klasma.github.io/Logging_2080/artfynd/A 29216-2024 artfynd.xlsx", "A 29216-2024")</f>
        <v/>
      </c>
      <c r="T52">
        <f>HYPERLINK("https://klasma.github.io/Logging_2080/kartor/A 29216-2024 karta.png", "A 29216-2024")</f>
        <v/>
      </c>
      <c r="V52">
        <f>HYPERLINK("https://klasma.github.io/Logging_2080/klagomål/A 29216-2024 FSC-klagomål.docx", "A 29216-2024")</f>
        <v/>
      </c>
      <c r="W52">
        <f>HYPERLINK("https://klasma.github.io/Logging_2080/klagomålsmail/A 29216-2024 FSC-klagomål mail.docx", "A 29216-2024")</f>
        <v/>
      </c>
      <c r="X52">
        <f>HYPERLINK("https://klasma.github.io/Logging_2080/tillsyn/A 29216-2024 tillsynsbegäran.docx", "A 29216-2024")</f>
        <v/>
      </c>
      <c r="Y52">
        <f>HYPERLINK("https://klasma.github.io/Logging_2080/tillsynsmail/A 29216-2024 tillsynsbegäran mail.docx", "A 29216-2024")</f>
        <v/>
      </c>
      <c r="Z52">
        <f>HYPERLINK("https://klasma.github.io/Logging_2080/fåglar/A 29216-2024 prioriterade fågelarter.docx", "A 29216-2024")</f>
        <v/>
      </c>
    </row>
    <row r="53" ht="15" customHeight="1">
      <c r="A53" t="inlineStr">
        <is>
          <t>A 32793-2024</t>
        </is>
      </c>
      <c r="B53" s="1" t="n">
        <v>45516</v>
      </c>
      <c r="C53" s="1" t="n">
        <v>45756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Stenfalk
Tjäder</t>
        </is>
      </c>
      <c r="S53">
        <f>HYPERLINK("https://klasma.github.io/Logging_2080/artfynd/A 32793-2024 artfynd.xlsx", "A 32793-2024")</f>
        <v/>
      </c>
      <c r="T53">
        <f>HYPERLINK("https://klasma.github.io/Logging_2080/kartor/A 32793-2024 karta.png", "A 32793-2024")</f>
        <v/>
      </c>
      <c r="V53">
        <f>HYPERLINK("https://klasma.github.io/Logging_2080/klagomål/A 32793-2024 FSC-klagomål.docx", "A 32793-2024")</f>
        <v/>
      </c>
      <c r="W53">
        <f>HYPERLINK("https://klasma.github.io/Logging_2080/klagomålsmail/A 32793-2024 FSC-klagomål mail.docx", "A 32793-2024")</f>
        <v/>
      </c>
      <c r="X53">
        <f>HYPERLINK("https://klasma.github.io/Logging_2080/tillsyn/A 32793-2024 tillsynsbegäran.docx", "A 32793-2024")</f>
        <v/>
      </c>
      <c r="Y53">
        <f>HYPERLINK("https://klasma.github.io/Logging_2080/tillsynsmail/A 32793-2024 tillsynsbegäran mail.docx", "A 32793-2024")</f>
        <v/>
      </c>
      <c r="Z53">
        <f>HYPERLINK("https://klasma.github.io/Logging_2080/fåglar/A 32793-2024 prioriterade fågelarter.docx", "A 32793-2024")</f>
        <v/>
      </c>
    </row>
    <row r="54" ht="15" customHeight="1">
      <c r="A54" t="inlineStr">
        <is>
          <t>A 49335-2024</t>
        </is>
      </c>
      <c r="B54" s="1" t="n">
        <v>45595</v>
      </c>
      <c r="C54" s="1" t="n">
        <v>45756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45756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45756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45756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45756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45756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45756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45756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45756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45756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45756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45756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45756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45756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45756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45756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45756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45756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45756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45756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45756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45756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45756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45756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45756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45756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45756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45756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45756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45756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45756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45756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45756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45756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45756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45756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45756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45756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45756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45756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45756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45756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45756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45756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45756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45756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45756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45756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45756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45756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45756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45756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45756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45756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45756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45756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45756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45756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45756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45756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45756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45756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45756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45756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45756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45756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45756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45756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45756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45756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45756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45756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45756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45756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45756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45756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45756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45756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45756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45756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45756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45756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45756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45756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45756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45756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45756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45756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45756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45756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45756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45756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45756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45756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45756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45756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45756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45756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45756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45756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45756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45756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45756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45756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45756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45756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45756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45756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45756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45756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45756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45756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45756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45756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45756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45756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45756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45756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45756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45756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45756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45756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45756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45756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45756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45756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45756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45756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45756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45756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45756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45756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45756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45756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45756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45756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45756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45756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45756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45756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45756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45756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45756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45756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45756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45756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45756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45756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45756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45756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45756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45756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45756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45756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45756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45756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45756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45756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45756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45756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45756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45756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45756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45756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45756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45756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45756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45756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45756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45756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45756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45756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45756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45756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45756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45756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45756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45756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45756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45756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45756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45756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45756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45756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45756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45756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45756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45756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45756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45756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45756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45756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45756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45756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45756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45756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45756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45756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45756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45756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45756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45756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45756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45756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45756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45756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45756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45756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45756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45756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45756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45756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45756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45756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45756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45756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45756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45756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45756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45756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45756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45756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45756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45756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45756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45756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45756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45756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45756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45756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45756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45756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45756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45756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45756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45756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45756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45756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45756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45756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45756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45756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45756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45756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45756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45756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45756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45756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45756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45756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45756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45756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45756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45756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45756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45756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45756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45756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45756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45756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45756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45756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45756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45756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45756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45756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45756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45756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45756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45756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45756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45756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45756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45756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45756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45756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45756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45756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45756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45756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45756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45756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45756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45756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45756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45756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45756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45756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45756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45756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45756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45756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45756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45756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45756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45756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45756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45756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45756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45756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45756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45756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45756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45756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45756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45756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45756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45756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45756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45756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45756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45756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45756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45756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45756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45756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45756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45756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45756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45756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45756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45756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45756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45756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45756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45756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45756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45756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45756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45756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45756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45756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45756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45756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45756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45756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45756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45756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45756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45756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45756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45756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45756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45756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45756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45756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45756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45756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45756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45756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45756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45756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45756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45756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45756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45756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45756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45756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45756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45756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45756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45756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45756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45756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45756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45756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45756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45756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45756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45756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45756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45756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45756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45756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45756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45756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45756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45756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45756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45756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45756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45756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45756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45756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45756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45756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45756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45756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45756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45756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45756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45756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45756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45756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45756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45756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45756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45756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45756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45756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45756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45756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45756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45756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45756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45756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45756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45756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45756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45756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45756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45756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45756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45756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45756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45756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45756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45756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45756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45756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45756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45756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45756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45756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45756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45756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45756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45756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45756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45756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45756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45756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45756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45756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45756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45756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45756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45756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45756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45756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45756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45756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45756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45756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45756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45756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45756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45756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45756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45756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45756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45756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45756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45756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45756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45756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45756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45756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45756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45756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45756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45756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45756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45756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45756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45756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45756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45756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45756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45756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45756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45756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45756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45756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45756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45756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45756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45756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45756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45756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45756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45756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45756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45756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45756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45756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45756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45756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45756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45756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45756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45756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45756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45756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45756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45756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45756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45756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45756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45756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45756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45756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45756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45756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45756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45756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45756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45756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45756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45756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45756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45756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45756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45756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45756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45756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45756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45756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45756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45756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45756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45756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45756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45756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45756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45756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45756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45756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45756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45756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45756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45756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45756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45756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45756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45756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45756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45756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45756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45756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45756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45756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45756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45756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45756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45756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45756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45756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45756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45756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45756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45756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45756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45756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45756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45756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45756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45756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45756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45756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45756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45756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45756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45756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45756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45756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45756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45756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45756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45756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45756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45756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45756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45756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45756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45756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45756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45756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45756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45756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45756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45756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45756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45756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45756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45756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45756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45756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45756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45756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45756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45756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45756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45756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45756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45756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45756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45756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45756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45756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45756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45756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45756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45756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45756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45756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45756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45756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45756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45756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45756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45756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45756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45756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45756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45756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45756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45756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45756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45756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45756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45756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45756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45756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45756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45756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45756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45756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45756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45756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45756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45756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45756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45756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45756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45756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45756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45756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45756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45756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45756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45756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45756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45756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45756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45756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45756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45756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45756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45756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45756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45756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45756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45756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45756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45756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45756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45756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45756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45756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45756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45756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45756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45756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45756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45756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45756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45756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45756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45756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45756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45756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45756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45756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45756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45756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45756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45756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45756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45756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45756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45756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45756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45756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45756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45756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45756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45756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45756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45756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45756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45756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45756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45756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45756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45756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45756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45756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45756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45756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45756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45756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45756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45756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45756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45756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45756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45756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45756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45756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45756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45756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45756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45756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45756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45756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45756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45756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45756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45756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45756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45756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45756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45756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45756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45756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45756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45756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45756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45756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45756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45756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45756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45756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45756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45756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45756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45756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45756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45756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45756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45756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45756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45756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45756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45756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45756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45756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45756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45756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45756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45756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45756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45756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45756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45756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45756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45756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45756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45756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45756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45756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45756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45756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45756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45756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45756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45756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45756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45756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45756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45756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45756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45756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45756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45756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45756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45756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45756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45756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45756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45756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45756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45756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45756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45756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45756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45756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45756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45756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45756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45756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45756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45756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45756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45756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45756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45756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45756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45756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45756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45756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45756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45756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45756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45756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45756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45756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45756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45756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45756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45756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45756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45756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45756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45756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45756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45756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45756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45756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45756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45756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45756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45756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45756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45756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45756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45756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45756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45756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45756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45756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45756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45756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45756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45756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45756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45756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45756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45756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45756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45756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45756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45756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45756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45756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45756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45756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45756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45756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45756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45756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45756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45756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45756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45756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45756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45756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45756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45756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45756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45756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45756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45756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45756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45756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45756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45756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45756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45756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45756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45756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45756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45756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45756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45756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45756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45756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45756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45756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45756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45756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45756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45756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45756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45756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45756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45756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45756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45756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45756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45756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45756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45756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45756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45756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45756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45756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45756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45756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45756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45756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45756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45756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45756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45756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45756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45756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45756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45756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45756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45756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45756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45756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45756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45756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45756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45756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45756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45756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45756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45756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45756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45756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45756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45756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45756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45756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45756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45756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45756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45756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45756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45756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45756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45756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45756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45756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45756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45756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45756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45756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45756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45756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45756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45756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45756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45756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45756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45756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45756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45756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45756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45756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45756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45756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45756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45756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45756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45756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45756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45756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45756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45756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45756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45756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45756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45756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45756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45756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45756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45756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45756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45756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45756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45756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45756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45756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45756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45756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45756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45756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45756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45756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45756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45756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45756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45756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45756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45756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45756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45756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45756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45756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45756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45756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45756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45756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45756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45756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45756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45756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45756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45756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45756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45756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45756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45756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45756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45756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45756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45756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45756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45756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45756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45756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45756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45756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45756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45756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45756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45756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45756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45756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45756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45756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45756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45756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45756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45756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45756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45756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45756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45756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45756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45756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45756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45756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45756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45756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45756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45756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45756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45756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45756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45756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45756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45756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45756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45756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45756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45756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45756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45756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45756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45756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45756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45756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45756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45756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45756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45756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45756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45756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45756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45756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45756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45756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45756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45756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45756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45756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45756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45756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45756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45756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45756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45756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45756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45756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45756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45756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45756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45756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45756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45756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45756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45756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45756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45756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45756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45756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45756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45756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45756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45756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45756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45756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45756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45756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45756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45756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45756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45756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45756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45756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45756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45756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45756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45756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45756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45756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45756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45756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45756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45756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45756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45756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45756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45756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45756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45756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45756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45756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45756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45756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45756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45756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45756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45756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45756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45756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45756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45756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45756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45756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45756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45756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45756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45756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45756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45756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45756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45756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45756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45756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45756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45756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45756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45756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45756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45756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45756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45756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45756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45756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45756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45756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45756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45756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45756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45756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45756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45756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45756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45756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45756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45756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45756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45756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45756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45756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45756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45756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45756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45756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45756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45756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45756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45756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45756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45756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45756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45756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45756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45756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45756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45756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45756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45756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45756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45756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45756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45756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45756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45756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45756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45756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45756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45756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45756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45756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45756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45756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14501-2025</t>
        </is>
      </c>
      <c r="B1553" s="1" t="n">
        <v>45741</v>
      </c>
      <c r="C1553" s="1" t="n">
        <v>45756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45756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45756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45756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45756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45756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45756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45756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45756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45756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45756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45756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15119-2025</t>
        </is>
      </c>
      <c r="B1565" s="1" t="n">
        <v>45744</v>
      </c>
      <c r="C1565" s="1" t="n">
        <v>45756</v>
      </c>
      <c r="D1565" t="inlineStr">
        <is>
          <t>DALARNAS LÄN</t>
        </is>
      </c>
      <c r="E1565" t="inlineStr">
        <is>
          <t>FALUN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15121-2025</t>
        </is>
      </c>
      <c r="B1566" s="1" t="n">
        <v>45744</v>
      </c>
      <c r="C1566" s="1" t="n">
        <v>45756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45756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45756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15104-2025</t>
        </is>
      </c>
      <c r="B1569" s="1" t="n">
        <v>45744</v>
      </c>
      <c r="C1569" s="1" t="n">
        <v>45756</v>
      </c>
      <c r="D1569" t="inlineStr">
        <is>
          <t>DALARNAS LÄN</t>
        </is>
      </c>
      <c r="E1569" t="inlineStr">
        <is>
          <t>FALUN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15106-2025</t>
        </is>
      </c>
      <c r="B1570" s="1" t="n">
        <v>45744</v>
      </c>
      <c r="C1570" s="1" t="n">
        <v>45756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45756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45756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45756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45756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45756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45756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45756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45756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45756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45756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45756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45756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16916-2025</t>
        </is>
      </c>
      <c r="B1583" s="1" t="n">
        <v>45755</v>
      </c>
      <c r="C1583" s="1" t="n">
        <v>45756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2025-04-09T17:13:37Z</dcterms:created>
  <dcterms:modified xmlns:dcterms="http://purl.org/dc/terms/" xmlns:xsi="http://www.w3.org/2001/XMLSchema-instance" xsi:type="dcterms:W3CDTF">2025-04-09T17:13:38Z</dcterms:modified>
</cp:coreProperties>
</file>