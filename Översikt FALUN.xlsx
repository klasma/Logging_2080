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47417-2023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45202</v>
      </c>
      <c r="E2" s="1" t="n">
        <v>46314</v>
      </c>
      <c r="F2" t="inlineStr">
        <is>
          <t>DALARNAS LÄN</t>
        </is>
      </c>
      <c r="G2" t="inlineStr">
        <is>
          <t>FALUN</t>
        </is>
      </c>
      <c r="I2" t="n">
        <v>18.5</v>
      </c>
      <c r="J2" t="n">
        <v>10</v>
      </c>
      <c r="K2" t="n">
        <v>6</v>
      </c>
      <c r="L2" t="n">
        <v>6</v>
      </c>
      <c r="M2" t="n">
        <v>2</v>
      </c>
      <c r="N2" t="n">
        <v>0</v>
      </c>
      <c r="O2" t="n">
        <v>0</v>
      </c>
      <c r="P2" t="n">
        <v>0</v>
      </c>
      <c r="Q2" t="n">
        <v>8</v>
      </c>
      <c r="R2" t="n">
        <v>2</v>
      </c>
      <c r="S2" t="n">
        <v>22</v>
      </c>
      <c r="T2" t="n">
        <v>136</v>
      </c>
      <c r="U2" t="n">
        <v>116</v>
      </c>
      <c r="V2" s="2" t="inlineStr">
        <is>
          <t>Knärot
Rostskinn
Humlerotfjäril
Motaggsvamp
Rosenticka
Rynkskinn
Tallkötticka
Ullticka
Bronshjon
Gullgröppa
Mindre märgborre
Plattlummer
Thomsons trägnagare
Vågbandad barkbock
Blåsippa
Mattlummer
Spillkråka
Kungsfågel
Större vattensalamander
Kopparödla
Mindre vattensalamander
Vanlig padda</t>
        </is>
      </c>
      <c r="W2">
        <f>HYPERLINK("https://klasma.github.io/Logging_2080/artfynd/A 47417-2023 artfynd.xlsx", "A 47417-2023")</f>
        <v/>
      </c>
      <c r="X2">
        <f>HYPERLINK("https://klasma.github.io/Logging_2080/kartor/A 47417-2023 karta.png", "A 47417-2023")</f>
        <v/>
      </c>
      <c r="Y2">
        <f>HYPERLINK("https://klasma.github.io/Logging_2080/kartor_geotiff/A 47417-2023 georefererad karta.tif", "A 47417-2023")</f>
        <v/>
      </c>
      <c r="Z2">
        <f>HYPERLINK("https://klasma.github.io/Logging_2080/knärot/A 47417-2023 karta knärot.png", "A 47417-2023")</f>
        <v/>
      </c>
      <c r="AA2">
        <f>HYPERLINK("https://klasma.github.io/Logging_2080/klagomål/A 47417-2023 FSC-klagomål.docx", "A 47417-2023")</f>
        <v/>
      </c>
      <c r="AB2">
        <f>HYPERLINK("https://klasma.github.io/Logging_2080/klagomålsmail/A 47417-2023 FSC-klagomål mail.docx", "A 47417-2023")</f>
        <v/>
      </c>
      <c r="AC2">
        <f>HYPERLINK("https://klasma.github.io/Logging_2080/tillsyn/A 47417-2023 tillsynsbegäran.docx", "A 47417-2023")</f>
        <v/>
      </c>
      <c r="AD2">
        <f>HYPERLINK("https://klasma.github.io/Logging_2080/tillsynsmail/A 47417-2023 tillsynsbegäran mail.docx", "A 47417-2023")</f>
        <v/>
      </c>
      <c r="AE2">
        <f>HYPERLINK("https://klasma.github.io/Logging_2080/fåglar/A 47417-2023 prioriterade fågelarter.docx", "A 47417-2023")</f>
        <v/>
      </c>
    </row>
    <row r="3" ht="15" customHeight="1">
      <c r="A3" t="inlineStr">
        <is>
          <t>A 32722-2024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45516</v>
      </c>
      <c r="E3" s="1" t="n">
        <v>46314</v>
      </c>
      <c r="F3" t="inlineStr">
        <is>
          <t>DALARNAS LÄN</t>
        </is>
      </c>
      <c r="G3" t="inlineStr">
        <is>
          <t>FALUN</t>
        </is>
      </c>
      <c r="H3" t="inlineStr">
        <is>
          <t>Bergvik skog väst AB</t>
        </is>
      </c>
      <c r="I3" t="n">
        <v>3.1</v>
      </c>
      <c r="J3" t="n">
        <v>5</v>
      </c>
      <c r="K3" t="n">
        <v>5</v>
      </c>
      <c r="L3" t="n">
        <v>7</v>
      </c>
      <c r="M3" t="n">
        <v>1</v>
      </c>
      <c r="N3" t="n">
        <v>0</v>
      </c>
      <c r="O3" t="n">
        <v>0</v>
      </c>
      <c r="P3" t="n">
        <v>0</v>
      </c>
      <c r="Q3" t="n">
        <v>8</v>
      </c>
      <c r="R3" t="n">
        <v>1</v>
      </c>
      <c r="S3" t="n">
        <v>16</v>
      </c>
      <c r="T3" t="n">
        <v>44</v>
      </c>
      <c r="U3" t="n">
        <v>44</v>
      </c>
      <c r="V3" s="2" t="inlineStr">
        <is>
          <t>Knärot
Dofttaggsvamp
Dropptaggsvamp
Motaggsvamp
Rynkskinn
Sotvaxskivling
Tretåig hackspett
Ullticka
Bronshjon
Rödgul trumpetsvamp
Svavelriska
Thomsons trägnagare
Vågbandad barkbock
Järpe
Spillkråka
Nattviol</t>
        </is>
      </c>
      <c r="W3">
        <f>HYPERLINK("https://klasma.github.io/Logging_2080/artfynd/A 32722-2024 artfynd.xlsx", "A 32722-2024")</f>
        <v/>
      </c>
      <c r="X3">
        <f>HYPERLINK("https://klasma.github.io/Logging_2080/kartor/A 32722-2024 karta.png", "A 32722-2024")</f>
        <v/>
      </c>
      <c r="Y3">
        <f>HYPERLINK("https://klasma.github.io/Logging_2080/kartor_geotiff/A 32722-2024 georefererad karta.tif", "A 32722-2024")</f>
        <v/>
      </c>
      <c r="Z3">
        <f>HYPERLINK("https://klasma.github.io/Logging_2080/knärot/A 32722-2024 karta knärot.png", "A 32722-2024")</f>
        <v/>
      </c>
      <c r="AA3">
        <f>HYPERLINK("https://klasma.github.io/Logging_2080/klagomål/A 32722-2024 FSC-klagomål.docx", "A 32722-2024")</f>
        <v/>
      </c>
      <c r="AB3">
        <f>HYPERLINK("https://klasma.github.io/Logging_2080/klagomålsmail/A 32722-2024 FSC-klagomål mail.docx", "A 32722-2024")</f>
        <v/>
      </c>
      <c r="AC3">
        <f>HYPERLINK("https://klasma.github.io/Logging_2080/tillsyn/A 32722-2024 tillsynsbegäran.docx", "A 32722-2024")</f>
        <v/>
      </c>
      <c r="AD3">
        <f>HYPERLINK("https://klasma.github.io/Logging_2080/tillsynsmail/A 32722-2024 tillsynsbegäran mail.docx", "A 32722-2024")</f>
        <v/>
      </c>
      <c r="AE3">
        <f>HYPERLINK("https://klasma.github.io/Logging_2080/fåglar/A 32722-2024 prioriterade fågelarter.docx", "A 32722-2024")</f>
        <v/>
      </c>
    </row>
    <row r="4" ht="15" customHeight="1">
      <c r="A4" t="inlineStr">
        <is>
          <t>A 1164-2026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46029</v>
      </c>
      <c r="E4" s="1" t="n">
        <v>46314</v>
      </c>
      <c r="F4" t="inlineStr">
        <is>
          <t>DALARNAS LÄN</t>
        </is>
      </c>
      <c r="G4" t="inlineStr">
        <is>
          <t>FALUN</t>
        </is>
      </c>
      <c r="I4" t="n">
        <v>17.9</v>
      </c>
      <c r="J4" t="n">
        <v>12</v>
      </c>
      <c r="K4" t="n">
        <v>1</v>
      </c>
      <c r="L4" t="n">
        <v>3</v>
      </c>
      <c r="M4" t="n">
        <v>1</v>
      </c>
      <c r="N4" t="n">
        <v>1</v>
      </c>
      <c r="O4" t="n">
        <v>0</v>
      </c>
      <c r="P4" t="n">
        <v>0</v>
      </c>
      <c r="Q4" t="n">
        <v>5</v>
      </c>
      <c r="R4" t="n">
        <v>2</v>
      </c>
      <c r="S4" t="n">
        <v>13</v>
      </c>
      <c r="T4" t="n">
        <v>14</v>
      </c>
      <c r="U4" t="n">
        <v>3</v>
      </c>
      <c r="V4" s="2" t="inlineStr">
        <is>
          <t>Pärluggla
Knärot
Järnsparv
Talltita
Tretåig hackspett
Mindre märgborre
Järpe
Mindre flugsnappare
Spillkråka
Tjäder
Buskskvätta
Orre
Törnskata</t>
        </is>
      </c>
      <c r="W4">
        <f>HYPERLINK("https://klasma.github.io/Logging_2080/artfynd/A 1164-2026 artfynd.xlsx", "A 1164-2026")</f>
        <v/>
      </c>
      <c r="X4">
        <f>HYPERLINK("https://klasma.github.io/Logging_2080/kartor/A 1164-2026 karta.png", "A 1164-2026")</f>
        <v/>
      </c>
      <c r="Y4">
        <f>HYPERLINK("https://klasma.github.io/Logging_2080/kartor_geotiff/A 1164-2026 georefererad karta.tif", "A 1164-2026")</f>
        <v/>
      </c>
      <c r="Z4">
        <f>HYPERLINK("https://klasma.github.io/Logging_2080/knärot/A 1164-2026 karta knärot.png", "A 1164-2026")</f>
        <v/>
      </c>
      <c r="AA4">
        <f>HYPERLINK("https://klasma.github.io/Logging_2080/klagomål/A 1164-2026 FSC-klagomål.docx", "A 1164-2026")</f>
        <v/>
      </c>
      <c r="AB4">
        <f>HYPERLINK("https://klasma.github.io/Logging_2080/klagomålsmail/A 1164-2026 FSC-klagomål mail.docx", "A 1164-2026")</f>
        <v/>
      </c>
      <c r="AC4">
        <f>HYPERLINK("https://klasma.github.io/Logging_2080/tillsyn/A 1164-2026 tillsynsbegäran.docx", "A 1164-2026")</f>
        <v/>
      </c>
      <c r="AD4">
        <f>HYPERLINK("https://klasma.github.io/Logging_2080/tillsynsmail/A 1164-2026 tillsynsbegäran mail.docx", "A 1164-2026")</f>
        <v/>
      </c>
      <c r="AE4">
        <f>HYPERLINK("https://klasma.github.io/Logging_2080/fåglar/A 1164-2026 prioriterade fågelarter.docx", "A 1164-2026")</f>
        <v/>
      </c>
    </row>
    <row r="5" ht="15" customHeight="1">
      <c r="A5" t="inlineStr">
        <is>
          <t>A 38847-2022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44816</v>
      </c>
      <c r="E5" s="1" t="n">
        <v>46314</v>
      </c>
      <c r="F5" t="inlineStr">
        <is>
          <t>DALARNAS LÄN</t>
        </is>
      </c>
      <c r="G5" t="inlineStr">
        <is>
          <t>FALUN</t>
        </is>
      </c>
      <c r="I5" t="n">
        <v>4.9</v>
      </c>
      <c r="J5" t="n">
        <v>2</v>
      </c>
      <c r="K5" t="n">
        <v>3</v>
      </c>
      <c r="L5" t="n">
        <v>6</v>
      </c>
      <c r="M5" t="n">
        <v>2</v>
      </c>
      <c r="N5" t="n">
        <v>0</v>
      </c>
      <c r="O5" t="n">
        <v>0</v>
      </c>
      <c r="P5" t="n">
        <v>0</v>
      </c>
      <c r="Q5" t="n">
        <v>8</v>
      </c>
      <c r="R5" t="n">
        <v>2</v>
      </c>
      <c r="S5" t="n">
        <v>12</v>
      </c>
      <c r="T5" t="n">
        <v>23</v>
      </c>
      <c r="U5" t="n">
        <v>23</v>
      </c>
      <c r="V5" s="2" t="inlineStr">
        <is>
          <t>Garnlav
Ulltickeporing
Dropptaggsvamp
Tallriska
Tallticka
Tretåig hackspett
Ullticka
Violettgrå tagellav
Bronshjon
Gullgröppa
Vågbandad barkbock
Spillkråka</t>
        </is>
      </c>
      <c r="W5">
        <f>HYPERLINK("https://klasma.github.io/Logging_2080/artfynd/A 38847-2022 artfynd.xlsx", "A 38847-2022")</f>
        <v/>
      </c>
      <c r="X5">
        <f>HYPERLINK("https://klasma.github.io/Logging_2080/kartor/A 38847-2022 karta.png", "A 38847-2022")</f>
        <v/>
      </c>
      <c r="Y5">
        <f>HYPERLINK("https://klasma.github.io/Logging_2080/kartor_geotiff/A 38847-2022 georefererad karta.tif", "A 38847-2022")</f>
        <v/>
      </c>
      <c r="AA5">
        <f>HYPERLINK("https://klasma.github.io/Logging_2080/klagomål/A 38847-2022 FSC-klagomål.docx", "A 38847-2022")</f>
        <v/>
      </c>
      <c r="AB5">
        <f>HYPERLINK("https://klasma.github.io/Logging_2080/klagomålsmail/A 38847-2022 FSC-klagomål mail.docx", "A 38847-2022")</f>
        <v/>
      </c>
      <c r="AC5">
        <f>HYPERLINK("https://klasma.github.io/Logging_2080/tillsyn/A 38847-2022 tillsynsbegäran.docx", "A 38847-2022")</f>
        <v/>
      </c>
      <c r="AD5">
        <f>HYPERLINK("https://klasma.github.io/Logging_2080/tillsynsmail/A 38847-2022 tillsynsbegäran mail.docx", "A 38847-2022")</f>
        <v/>
      </c>
      <c r="AE5">
        <f>HYPERLINK("https://klasma.github.io/Logging_2080/fåglar/A 38847-2022 prioriterade fågelarter.docx", "A 38847-2022")</f>
        <v/>
      </c>
    </row>
    <row r="6" ht="15" customHeight="1">
      <c r="A6" t="inlineStr">
        <is>
          <t>A 4468-2026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46045</v>
      </c>
      <c r="E6" s="1" t="n">
        <v>46314</v>
      </c>
      <c r="F6" t="inlineStr">
        <is>
          <t>DALARNAS LÄN</t>
        </is>
      </c>
      <c r="G6" t="inlineStr">
        <is>
          <t>FALUN</t>
        </is>
      </c>
      <c r="I6" t="n">
        <v>4</v>
      </c>
      <c r="J6" t="n">
        <v>7</v>
      </c>
      <c r="K6" t="n">
        <v>2</v>
      </c>
      <c r="L6" t="n">
        <v>3</v>
      </c>
      <c r="M6" t="n">
        <v>2</v>
      </c>
      <c r="N6" t="n">
        <v>0</v>
      </c>
      <c r="O6" t="n">
        <v>0</v>
      </c>
      <c r="P6" t="n">
        <v>0</v>
      </c>
      <c r="Q6" t="n">
        <v>5</v>
      </c>
      <c r="R6" t="n">
        <v>2</v>
      </c>
      <c r="S6" t="n">
        <v>12</v>
      </c>
      <c r="T6" t="n">
        <v>54</v>
      </c>
      <c r="U6" t="n">
        <v>38</v>
      </c>
      <c r="V6" s="2" t="inlineStr">
        <is>
          <t>Grönfink
Knärot
Apelsinticka
Dropptaggsvamp
Tallticka
Bronshjon
Mindre märgborre
Gråspett
Spillkråka
Tofsmes
Grönsiska
Orre</t>
        </is>
      </c>
      <c r="W6">
        <f>HYPERLINK("https://klasma.github.io/Logging_2080/artfynd/A 4468-2026 artfynd.xlsx", "A 4468-2026")</f>
        <v/>
      </c>
      <c r="X6">
        <f>HYPERLINK("https://klasma.github.io/Logging_2080/kartor/A 4468-2026 karta.png", "A 4468-2026")</f>
        <v/>
      </c>
      <c r="Y6">
        <f>HYPERLINK("https://klasma.github.io/Logging_2080/kartor_geotiff/A 4468-2026 georefererad karta.tif", "A 4468-2026")</f>
        <v/>
      </c>
      <c r="Z6">
        <f>HYPERLINK("https://klasma.github.io/Logging_2080/knärot/A 4468-2026 karta knärot.png", "A 4468-2026")</f>
        <v/>
      </c>
      <c r="AA6">
        <f>HYPERLINK("https://klasma.github.io/Logging_2080/klagomål/A 4468-2026 FSC-klagomål.docx", "A 4468-2026")</f>
        <v/>
      </c>
      <c r="AB6">
        <f>HYPERLINK("https://klasma.github.io/Logging_2080/klagomålsmail/A 4468-2026 FSC-klagomål mail.docx", "A 4468-2026")</f>
        <v/>
      </c>
      <c r="AC6">
        <f>HYPERLINK("https://klasma.github.io/Logging_2080/tillsyn/A 4468-2026 tillsynsbegäran.docx", "A 4468-2026")</f>
        <v/>
      </c>
      <c r="AD6">
        <f>HYPERLINK("https://klasma.github.io/Logging_2080/tillsynsmail/A 4468-2026 tillsynsbegäran mail.docx", "A 4468-2026")</f>
        <v/>
      </c>
      <c r="AE6">
        <f>HYPERLINK("https://klasma.github.io/Logging_2080/fåglar/A 4468-2026 prioriterade fågelarter.docx", "A 4468-2026")</f>
        <v/>
      </c>
    </row>
    <row r="7" ht="15" customHeight="1">
      <c r="A7" t="inlineStr">
        <is>
          <t>A 28385-2025</t>
        </is>
      </c>
      <c r="B7" t="inlineStr">
        <is>
          <t>avverkningsanmälan</t>
        </is>
      </c>
      <c r="C7" t="inlineStr">
        <is>
          <t>Avverkning för att bevara och utveckla /försöksver</t>
        </is>
      </c>
      <c r="D7" s="1" t="n">
        <v>45819</v>
      </c>
      <c r="E7" s="1" t="n">
        <v>46314</v>
      </c>
      <c r="F7" t="inlineStr">
        <is>
          <t>DALARNAS LÄN</t>
        </is>
      </c>
      <c r="G7" t="inlineStr">
        <is>
          <t>FALUN</t>
        </is>
      </c>
      <c r="I7" t="n">
        <v>14.2</v>
      </c>
      <c r="J7" t="n">
        <v>9</v>
      </c>
      <c r="K7" t="n">
        <v>1</v>
      </c>
      <c r="L7" t="n">
        <v>5</v>
      </c>
      <c r="M7" t="n">
        <v>1</v>
      </c>
      <c r="N7" t="n">
        <v>0</v>
      </c>
      <c r="O7" t="n">
        <v>0</v>
      </c>
      <c r="P7" t="n">
        <v>0</v>
      </c>
      <c r="Q7" t="n">
        <v>6</v>
      </c>
      <c r="R7" t="n">
        <v>1</v>
      </c>
      <c r="S7" t="n">
        <v>12</v>
      </c>
      <c r="T7" t="n">
        <v>45</v>
      </c>
      <c r="U7" t="n">
        <v>43</v>
      </c>
      <c r="V7" s="2" t="inlineStr">
        <is>
          <t>Knärot
Dropptaggsvamp
Lavskrika
Motaggsvamp
Rödvingetrast
Talltita
Mindre märgborre
Spillkråka
Tjäder
Kråka
Kungsfågel
Fläcknycklar</t>
        </is>
      </c>
      <c r="W7">
        <f>HYPERLINK("https://klasma.github.io/Logging_2080/artfynd/A 28385-2025 artfynd.xlsx", "A 28385-2025")</f>
        <v/>
      </c>
      <c r="X7">
        <f>HYPERLINK("https://klasma.github.io/Logging_2080/kartor/A 28385-2025 karta.png", "A 28385-2025")</f>
        <v/>
      </c>
      <c r="Y7">
        <f>HYPERLINK("https://klasma.github.io/Logging_2080/kartor_geotiff/A 28385-2025 georefererad karta.tif", "A 28385-2025")</f>
        <v/>
      </c>
      <c r="Z7">
        <f>HYPERLINK("https://klasma.github.io/Logging_2080/knärot/A 28385-2025 karta knärot.png", "A 28385-2025")</f>
        <v/>
      </c>
      <c r="AA7">
        <f>HYPERLINK("https://klasma.github.io/Logging_2080/klagomål/A 28385-2025 FSC-klagomål.docx", "A 28385-2025")</f>
        <v/>
      </c>
      <c r="AB7">
        <f>HYPERLINK("https://klasma.github.io/Logging_2080/klagomålsmail/A 28385-2025 FSC-klagomål mail.docx", "A 28385-2025")</f>
        <v/>
      </c>
      <c r="AC7">
        <f>HYPERLINK("https://klasma.github.io/Logging_2080/tillsyn/A 28385-2025 tillsynsbegäran.docx", "A 28385-2025")</f>
        <v/>
      </c>
      <c r="AD7">
        <f>HYPERLINK("https://klasma.github.io/Logging_2080/tillsynsmail/A 28385-2025 tillsynsbegäran mail.docx", "A 28385-2025")</f>
        <v/>
      </c>
      <c r="AE7">
        <f>HYPERLINK("https://klasma.github.io/Logging_2080/fåglar/A 28385-2025 prioriterade fågelarter.docx", "A 28385-2025")</f>
        <v/>
      </c>
    </row>
    <row r="8" ht="15" customHeight="1">
      <c r="A8" t="inlineStr">
        <is>
          <t>A 34868-2026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46258</v>
      </c>
      <c r="E8" s="1" t="n">
        <v>46314</v>
      </c>
      <c r="F8" t="inlineStr">
        <is>
          <t>DALARNAS LÄN</t>
        </is>
      </c>
      <c r="G8" t="inlineStr">
        <is>
          <t>FALUN</t>
        </is>
      </c>
      <c r="I8" t="n">
        <v>14.4</v>
      </c>
      <c r="J8" t="n">
        <v>5</v>
      </c>
      <c r="K8" t="n">
        <v>4</v>
      </c>
      <c r="L8" t="n">
        <v>3</v>
      </c>
      <c r="M8" t="n">
        <v>1</v>
      </c>
      <c r="N8" t="n">
        <v>0</v>
      </c>
      <c r="O8" t="n">
        <v>0</v>
      </c>
      <c r="P8" t="n">
        <v>0</v>
      </c>
      <c r="Q8" t="n">
        <v>4</v>
      </c>
      <c r="R8" t="n">
        <v>1</v>
      </c>
      <c r="S8" t="n">
        <v>11</v>
      </c>
      <c r="T8" t="n">
        <v>83</v>
      </c>
      <c r="U8" t="n">
        <v>17</v>
      </c>
      <c r="V8" s="2" t="inlineStr">
        <is>
          <t>Knärot
Rosenticka
Rynkskinn
Ullticka
Bronshjon
Mindre märgborre
Plattlummer
Thomsons trägnagare
Spillkråka
Tjäder
Revlummer</t>
        </is>
      </c>
      <c r="W8">
        <f>HYPERLINK("https://klasma.github.io/Logging_2080/artfynd/A 34868-2026 artfynd.xlsx", "A 34868-2026")</f>
        <v/>
      </c>
      <c r="X8">
        <f>HYPERLINK("https://klasma.github.io/Logging_2080/kartor/A 34868-2026 karta.png", "A 34868-2026")</f>
        <v/>
      </c>
      <c r="Y8">
        <f>HYPERLINK("https://klasma.github.io/Logging_2080/kartor_geotiff/A 34868-2026 georefererad karta.tif", "A 34868-2026")</f>
        <v/>
      </c>
      <c r="Z8">
        <f>HYPERLINK("https://klasma.github.io/Logging_2080/knärot/A 34868-2026 karta knärot.png", "A 34868-2026")</f>
        <v/>
      </c>
      <c r="AA8">
        <f>HYPERLINK("https://klasma.github.io/Logging_2080/klagomål/A 34868-2026 FSC-klagomål.docx", "A 34868-2026")</f>
        <v/>
      </c>
      <c r="AB8">
        <f>HYPERLINK("https://klasma.github.io/Logging_2080/klagomålsmail/A 34868-2026 FSC-klagomål mail.docx", "A 34868-2026")</f>
        <v/>
      </c>
      <c r="AC8">
        <f>HYPERLINK("https://klasma.github.io/Logging_2080/tillsyn/A 34868-2026 tillsynsbegäran.docx", "A 34868-2026")</f>
        <v/>
      </c>
      <c r="AD8">
        <f>HYPERLINK("https://klasma.github.io/Logging_2080/tillsynsmail/A 34868-2026 tillsynsbegäran mail.docx", "A 34868-2026")</f>
        <v/>
      </c>
      <c r="AE8">
        <f>HYPERLINK("https://klasma.github.io/Logging_2080/fåglar/A 34868-2026 prioriterade fågelarter.docx", "A 34868-2026")</f>
        <v/>
      </c>
    </row>
    <row r="9" ht="15" customHeight="1">
      <c r="A9" t="inlineStr">
        <is>
          <t>S 592-2025</t>
        </is>
      </c>
      <c r="B9" t="inlineStr">
        <is>
          <t>samrådsanmälan</t>
        </is>
      </c>
      <c r="C9" t="inlineStr">
        <is>
          <t>Annan skogsbruksåtgärd</t>
        </is>
      </c>
      <c r="D9" s="1" t="n">
        <v>45712</v>
      </c>
      <c r="E9" s="1" t="n">
        <v>46314</v>
      </c>
      <c r="F9" t="inlineStr">
        <is>
          <t>DALARNAS LÄN</t>
        </is>
      </c>
      <c r="G9" t="inlineStr">
        <is>
          <t>FALUN</t>
        </is>
      </c>
      <c r="I9" t="n">
        <v>5.4</v>
      </c>
      <c r="J9" t="n">
        <v>2</v>
      </c>
      <c r="K9" t="n">
        <v>3</v>
      </c>
      <c r="L9" t="n">
        <v>5</v>
      </c>
      <c r="M9" t="n">
        <v>2</v>
      </c>
      <c r="N9" t="n">
        <v>0</v>
      </c>
      <c r="O9" t="n">
        <v>0</v>
      </c>
      <c r="P9" t="n">
        <v>0</v>
      </c>
      <c r="Q9" t="n">
        <v>7</v>
      </c>
      <c r="R9" t="n">
        <v>2</v>
      </c>
      <c r="S9" t="n">
        <v>11</v>
      </c>
      <c r="T9" t="n">
        <v>21</v>
      </c>
      <c r="U9" t="n">
        <v>1</v>
      </c>
      <c r="V9" s="2" t="inlineStr">
        <is>
          <t>Garnlav
Ulltickeporing
Dropptaggsvamp
Tallriska
Tretåig hackspett
Ullticka
Violettgrå tagellav
Bronshjon
Gullgröppa
Vågbandad barkbock
Spillkråka</t>
        </is>
      </c>
      <c r="W9">
        <f>HYPERLINK("https://klasma.github.io/Logging_2080/artfynd/S 592-2025 artfynd.xlsx", "S 592-2025")</f>
        <v/>
      </c>
      <c r="X9">
        <f>HYPERLINK("https://klasma.github.io/Logging_2080/kartor/S 592-2025 karta.png", "S 592-2025")</f>
        <v/>
      </c>
      <c r="Y9">
        <f>HYPERLINK("https://klasma.github.io/Logging_2080/kartor_geotiff/S 592-2025 georefererad karta.tif", "S 592-2025")</f>
        <v/>
      </c>
      <c r="AA9">
        <f>HYPERLINK("https://klasma.github.io/Logging_2080/klagomål/S 592-2025 FSC-klagomål.docx", "S 592-2025")</f>
        <v/>
      </c>
      <c r="AB9">
        <f>HYPERLINK("https://klasma.github.io/Logging_2080/klagomålsmail/S 592-2025 FSC-klagomål mail.docx", "S 592-2025")</f>
        <v/>
      </c>
      <c r="AC9">
        <f>HYPERLINK("https://klasma.github.io/Logging_2080/tillsyn/S 592-2025 tillsynsbegäran.docx", "S 592-2025")</f>
        <v/>
      </c>
      <c r="AD9">
        <f>HYPERLINK("https://klasma.github.io/Logging_2080/tillsynsmail/S 592-2025 tillsynsbegäran mail.docx", "S 592-2025")</f>
        <v/>
      </c>
      <c r="AE9">
        <f>HYPERLINK("https://klasma.github.io/Logging_2080/fåglar/S 592-2025 prioriterade fågelarter.docx", "S 592-2025")</f>
        <v/>
      </c>
    </row>
    <row r="10" ht="15" customHeight="1">
      <c r="A10" t="inlineStr">
        <is>
          <t>A 2044-2026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46035</v>
      </c>
      <c r="E10" s="1" t="n">
        <v>46314</v>
      </c>
      <c r="F10" t="inlineStr">
        <is>
          <t>DALARNAS LÄN</t>
        </is>
      </c>
      <c r="G10" t="inlineStr">
        <is>
          <t>FALUN</t>
        </is>
      </c>
      <c r="I10" t="n">
        <v>35.4</v>
      </c>
      <c r="J10" t="n">
        <v>3</v>
      </c>
      <c r="K10" t="n">
        <v>3</v>
      </c>
      <c r="L10" t="n">
        <v>4</v>
      </c>
      <c r="M10" t="n">
        <v>1</v>
      </c>
      <c r="N10" t="n">
        <v>0</v>
      </c>
      <c r="O10" t="n">
        <v>0</v>
      </c>
      <c r="P10" t="n">
        <v>0</v>
      </c>
      <c r="Q10" t="n">
        <v>5</v>
      </c>
      <c r="R10" t="n">
        <v>1</v>
      </c>
      <c r="S10" t="n">
        <v>10</v>
      </c>
      <c r="T10" t="n">
        <v>68</v>
      </c>
      <c r="U10" t="n">
        <v>65</v>
      </c>
      <c r="V10" s="2" t="inlineStr">
        <is>
          <t>Garnlav
Kolflarnlav
Mörk kolflarnlav
Tallticka
Tretåig hackspett
Bronshjon
Mindre märgborre
Vågbandad barkbock
Tjäder
Orre</t>
        </is>
      </c>
      <c r="W10">
        <f>HYPERLINK("https://klasma.github.io/Logging_2080/artfynd/A 2044-2026 artfynd.xlsx", "A 2044-2026")</f>
        <v/>
      </c>
      <c r="X10">
        <f>HYPERLINK("https://klasma.github.io/Logging_2080/kartor/A 2044-2026 karta.png", "A 2044-2026")</f>
        <v/>
      </c>
      <c r="Y10">
        <f>HYPERLINK("https://klasma.github.io/Logging_2080/kartor_geotiff/A 2044-2026 georefererad karta.tif", "A 2044-2026")</f>
        <v/>
      </c>
      <c r="AA10">
        <f>HYPERLINK("https://klasma.github.io/Logging_2080/klagomål/A 2044-2026 FSC-klagomål.docx", "A 2044-2026")</f>
        <v/>
      </c>
      <c r="AB10">
        <f>HYPERLINK("https://klasma.github.io/Logging_2080/klagomålsmail/A 2044-2026 FSC-klagomål mail.docx", "A 2044-2026")</f>
        <v/>
      </c>
      <c r="AC10">
        <f>HYPERLINK("https://klasma.github.io/Logging_2080/tillsyn/A 2044-2026 tillsynsbegäran.docx", "A 2044-2026")</f>
        <v/>
      </c>
      <c r="AD10">
        <f>HYPERLINK("https://klasma.github.io/Logging_2080/tillsynsmail/A 2044-2026 tillsynsbegäran mail.docx", "A 2044-2026")</f>
        <v/>
      </c>
      <c r="AE10">
        <f>HYPERLINK("https://klasma.github.io/Logging_2080/fåglar/A 2044-2026 prioriterade fågelarter.docx", "A 2044-2026")</f>
        <v/>
      </c>
    </row>
    <row r="11" ht="15" customHeight="1">
      <c r="A11" t="inlineStr">
        <is>
          <t>S 2076-2022</t>
        </is>
      </c>
      <c r="B11" t="inlineStr">
        <is>
          <t>samrådsanmälan</t>
        </is>
      </c>
      <c r="C11" t="inlineStr">
        <is>
          <t>Askåterföring</t>
        </is>
      </c>
      <c r="D11" s="1" t="n">
        <v>44672</v>
      </c>
      <c r="E11" s="1" t="n">
        <v>46314</v>
      </c>
      <c r="F11" t="inlineStr">
        <is>
          <t>DALARNAS LÄN</t>
        </is>
      </c>
      <c r="G11" t="inlineStr">
        <is>
          <t>FALUN</t>
        </is>
      </c>
      <c r="I11" t="n">
        <v>130.9</v>
      </c>
      <c r="J11" t="n">
        <v>1</v>
      </c>
      <c r="K11" t="n">
        <v>4</v>
      </c>
      <c r="L11" t="n">
        <v>3</v>
      </c>
      <c r="M11" t="n">
        <v>3</v>
      </c>
      <c r="N11" t="n">
        <v>0</v>
      </c>
      <c r="O11" t="n">
        <v>0</v>
      </c>
      <c r="P11" t="n">
        <v>0</v>
      </c>
      <c r="Q11" t="n">
        <v>6</v>
      </c>
      <c r="R11" t="n">
        <v>3</v>
      </c>
      <c r="S11" t="n">
        <v>10</v>
      </c>
      <c r="T11" t="n">
        <v>12</v>
      </c>
      <c r="U11" t="n">
        <v>9</v>
      </c>
      <c r="V11" s="2" t="inlineStr">
        <is>
          <t>Garnlav
Knärot
Norsk näverlav
Kattfotslav
Kortskaftad ärgspik
Skuggblåslav
Guldlockmossa
Gulnål
Platt fjädermossa
Purpurmylia</t>
        </is>
      </c>
      <c r="W11">
        <f>HYPERLINK("https://klasma.github.io/Logging_2080/artfynd/S 2076-2022 artfynd.xlsx", "S 2076-2022")</f>
        <v/>
      </c>
      <c r="X11">
        <f>HYPERLINK("https://klasma.github.io/Logging_2080/kartor/S 2076-2022 karta.png", "S 2076-2022")</f>
        <v/>
      </c>
      <c r="Y11">
        <f>HYPERLINK("https://klasma.github.io/Logging_2080/kartor_geotiff/S 2076-2022 georefererad karta.tif", "S 2076-2022")</f>
        <v/>
      </c>
      <c r="Z11">
        <f>HYPERLINK("https://klasma.github.io/Logging_2080/knärot/S 2076-2022 karta knärot.png", "S 2076-2022")</f>
        <v/>
      </c>
      <c r="AA11">
        <f>HYPERLINK("https://klasma.github.io/Logging_2080/klagomål/S 2076-2022 FSC-klagomål.docx", "S 2076-2022")</f>
        <v/>
      </c>
      <c r="AB11">
        <f>HYPERLINK("https://klasma.github.io/Logging_2080/klagomålsmail/S 2076-2022 FSC-klagomål mail.docx", "S 2076-2022")</f>
        <v/>
      </c>
      <c r="AC11">
        <f>HYPERLINK("https://klasma.github.io/Logging_2080/tillsyn/S 2076-2022 tillsynsbegäran.docx", "S 2076-2022")</f>
        <v/>
      </c>
      <c r="AD11">
        <f>HYPERLINK("https://klasma.github.io/Logging_2080/tillsynsmail/S 2076-2022 tillsynsbegäran mail.docx", "S 2076-2022")</f>
        <v/>
      </c>
    </row>
    <row r="12" ht="15" customHeight="1">
      <c r="A12" t="inlineStr">
        <is>
          <t>A 22889-2026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46160</v>
      </c>
      <c r="E12" s="1" t="n">
        <v>46314</v>
      </c>
      <c r="F12" t="inlineStr">
        <is>
          <t>DALARNAS LÄN</t>
        </is>
      </c>
      <c r="G12" t="inlineStr">
        <is>
          <t>FALUN</t>
        </is>
      </c>
      <c r="H12" t="inlineStr">
        <is>
          <t>Bergvik skog väst AB</t>
        </is>
      </c>
      <c r="I12" t="n">
        <v>3.6</v>
      </c>
      <c r="J12" t="n">
        <v>3</v>
      </c>
      <c r="K12" t="n">
        <v>1</v>
      </c>
      <c r="L12" t="n">
        <v>4</v>
      </c>
      <c r="M12" t="n">
        <v>3</v>
      </c>
      <c r="N12" t="n">
        <v>0</v>
      </c>
      <c r="O12" t="n">
        <v>0</v>
      </c>
      <c r="P12" t="n">
        <v>0</v>
      </c>
      <c r="Q12" t="n">
        <v>7</v>
      </c>
      <c r="R12" t="n">
        <v>3</v>
      </c>
      <c r="S12" t="n">
        <v>9</v>
      </c>
      <c r="T12" t="n">
        <v>13</v>
      </c>
      <c r="U12" t="n">
        <v>0</v>
      </c>
      <c r="V12" s="2" t="inlineStr">
        <is>
          <t>Garnlav
Gråtrut
Knärot
Motaggsvamp
Tallticka
Vaddporing
Violettgrå tagellav
Mindre märgborre
Revlummer</t>
        </is>
      </c>
      <c r="W12">
        <f>HYPERLINK("https://klasma.github.io/Logging_2080/artfynd/A 22889-2026 artfynd.xlsx", "A 22889-2026")</f>
        <v/>
      </c>
      <c r="X12">
        <f>HYPERLINK("https://klasma.github.io/Logging_2080/kartor/A 22889-2026 karta.png", "A 22889-2026")</f>
        <v/>
      </c>
      <c r="Y12">
        <f>HYPERLINK("https://klasma.github.io/Logging_2080/kartor_geotiff/A 22889-2026 georefererad karta.tif", "A 22889-2026")</f>
        <v/>
      </c>
      <c r="Z12">
        <f>HYPERLINK("https://klasma.github.io/Logging_2080/knärot/A 22889-2026 karta knärot.png", "A 22889-2026")</f>
        <v/>
      </c>
      <c r="AA12">
        <f>HYPERLINK("https://klasma.github.io/Logging_2080/klagomål/A 22889-2026 FSC-klagomål.docx", "A 22889-2026")</f>
        <v/>
      </c>
      <c r="AB12">
        <f>HYPERLINK("https://klasma.github.io/Logging_2080/klagomålsmail/A 22889-2026 FSC-klagomål mail.docx", "A 22889-2026")</f>
        <v/>
      </c>
      <c r="AC12">
        <f>HYPERLINK("https://klasma.github.io/Logging_2080/tillsyn/A 22889-2026 tillsynsbegäran.docx", "A 22889-2026")</f>
        <v/>
      </c>
      <c r="AD12">
        <f>HYPERLINK("https://klasma.github.io/Logging_2080/tillsynsmail/A 22889-2026 tillsynsbegäran mail.docx", "A 22889-2026")</f>
        <v/>
      </c>
    </row>
    <row r="13" ht="15" customHeight="1">
      <c r="A13" t="inlineStr">
        <is>
          <t>A 15915-2022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44664</v>
      </c>
      <c r="E13" s="1" t="n">
        <v>46314</v>
      </c>
      <c r="F13" t="inlineStr">
        <is>
          <t>DALARNAS LÄN</t>
        </is>
      </c>
      <c r="G13" t="inlineStr">
        <is>
          <t>FALUN</t>
        </is>
      </c>
      <c r="H13" t="inlineStr">
        <is>
          <t>Bergvik skog väst AB</t>
        </is>
      </c>
      <c r="I13" t="n">
        <v>2.9</v>
      </c>
      <c r="J13" t="n">
        <v>2</v>
      </c>
      <c r="K13" t="n">
        <v>4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1</v>
      </c>
      <c r="S13" t="n">
        <v>8</v>
      </c>
      <c r="T13" t="n">
        <v>36</v>
      </c>
      <c r="U13" t="n">
        <v>36</v>
      </c>
      <c r="V13" s="2" t="inlineStr">
        <is>
          <t>Knärot
Dropptaggsvamp
Ullticka
Bronshjon
Mindre märgborre
Thomsons trägnagare
Vågbandad barkbock
Spillkråka</t>
        </is>
      </c>
      <c r="W13">
        <f>HYPERLINK("https://klasma.github.io/Logging_2080/artfynd/A 15915-2022 artfynd.xlsx", "A 15915-2022")</f>
        <v/>
      </c>
      <c r="X13">
        <f>HYPERLINK("https://klasma.github.io/Logging_2080/kartor/A 15915-2022 karta.png", "A 15915-2022")</f>
        <v/>
      </c>
      <c r="Y13">
        <f>HYPERLINK("https://klasma.github.io/Logging_2080/kartor_geotiff/A 15915-2022 georefererad karta.tif", "A 15915-2022")</f>
        <v/>
      </c>
      <c r="Z13">
        <f>HYPERLINK("https://klasma.github.io/Logging_2080/knärot/A 15915-2022 karta knärot.png", "A 15915-2022")</f>
        <v/>
      </c>
      <c r="AA13">
        <f>HYPERLINK("https://klasma.github.io/Logging_2080/klagomål/A 15915-2022 FSC-klagomål.docx", "A 15915-2022")</f>
        <v/>
      </c>
      <c r="AB13">
        <f>HYPERLINK("https://klasma.github.io/Logging_2080/klagomålsmail/A 15915-2022 FSC-klagomål mail.docx", "A 15915-2022")</f>
        <v/>
      </c>
      <c r="AC13">
        <f>HYPERLINK("https://klasma.github.io/Logging_2080/tillsyn/A 15915-2022 tillsynsbegäran.docx", "A 15915-2022")</f>
        <v/>
      </c>
      <c r="AD13">
        <f>HYPERLINK("https://klasma.github.io/Logging_2080/tillsynsmail/A 15915-2022 tillsynsbegäran mail.docx", "A 15915-2022")</f>
        <v/>
      </c>
      <c r="AE13">
        <f>HYPERLINK("https://klasma.github.io/Logging_2080/fåglar/A 15915-2022 prioriterade fågelarter.docx", "A 15915-2022")</f>
        <v/>
      </c>
    </row>
    <row r="14" ht="15" customHeight="1">
      <c r="A14" t="inlineStr">
        <is>
          <t>A 13961-2026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46098</v>
      </c>
      <c r="E14" s="1" t="n">
        <v>46314</v>
      </c>
      <c r="F14" t="inlineStr">
        <is>
          <t>DALARNAS LÄN</t>
        </is>
      </c>
      <c r="G14" t="inlineStr">
        <is>
          <t>FALUN</t>
        </is>
      </c>
      <c r="H14" t="inlineStr">
        <is>
          <t>Bergvik skog väst AB</t>
        </is>
      </c>
      <c r="I14" t="n">
        <v>18.7</v>
      </c>
      <c r="J14" t="n">
        <v>2</v>
      </c>
      <c r="K14" t="n">
        <v>3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n">
        <v>4</v>
      </c>
      <c r="R14" t="n">
        <v>1</v>
      </c>
      <c r="S14" t="n">
        <v>8</v>
      </c>
      <c r="T14" t="n">
        <v>8</v>
      </c>
      <c r="U14" t="n">
        <v>0</v>
      </c>
      <c r="V14" s="2" t="inlineStr">
        <is>
          <t>Garnlav
Dropptaggsvamp
Motaggsvamp
Tallriska
Bronshjon
Plattlummer
Vågbandad barkbock
Spillkråka</t>
        </is>
      </c>
      <c r="W14">
        <f>HYPERLINK("https://klasma.github.io/Logging_2080/artfynd/A 13961-2026 artfynd.xlsx", "A 13961-2026")</f>
        <v/>
      </c>
      <c r="X14">
        <f>HYPERLINK("https://klasma.github.io/Logging_2080/kartor/A 13961-2026 karta.png", "A 13961-2026")</f>
        <v/>
      </c>
      <c r="Y14">
        <f>HYPERLINK("https://klasma.github.io/Logging_2080/kartor_geotiff/A 13961-2026 georefererad karta.tif", "A 13961-2026")</f>
        <v/>
      </c>
      <c r="AA14">
        <f>HYPERLINK("https://klasma.github.io/Logging_2080/klagomål/A 13961-2026 FSC-klagomål.docx", "A 13961-2026")</f>
        <v/>
      </c>
      <c r="AB14">
        <f>HYPERLINK("https://klasma.github.io/Logging_2080/klagomålsmail/A 13961-2026 FSC-klagomål mail.docx", "A 13961-2026")</f>
        <v/>
      </c>
      <c r="AC14">
        <f>HYPERLINK("https://klasma.github.io/Logging_2080/tillsyn/A 13961-2026 tillsynsbegäran.docx", "A 13961-2026")</f>
        <v/>
      </c>
      <c r="AD14">
        <f>HYPERLINK("https://klasma.github.io/Logging_2080/tillsynsmail/A 13961-2026 tillsynsbegäran mail.docx", "A 13961-2026")</f>
        <v/>
      </c>
      <c r="AE14">
        <f>HYPERLINK("https://klasma.github.io/Logging_2080/fåglar/A 13961-2026 prioriterade fågelarter.docx", "A 13961-2026")</f>
        <v/>
      </c>
    </row>
    <row r="15" ht="15" customHeight="1">
      <c r="A15" t="inlineStr">
        <is>
          <t>S 2620-2023</t>
        </is>
      </c>
      <c r="B15" t="inlineStr">
        <is>
          <t>samrådsanmälan</t>
        </is>
      </c>
      <c r="C15" t="inlineStr">
        <is>
          <t>Askåterföring</t>
        </is>
      </c>
      <c r="D15" s="1" t="n">
        <v>45147</v>
      </c>
      <c r="E15" s="1" t="n">
        <v>46314</v>
      </c>
      <c r="F15" t="inlineStr">
        <is>
          <t>DALARNAS LÄN</t>
        </is>
      </c>
      <c r="G15" t="inlineStr">
        <is>
          <t>FALUN</t>
        </is>
      </c>
      <c r="I15" t="n">
        <v>27.2</v>
      </c>
      <c r="J15" t="n">
        <v>0</v>
      </c>
      <c r="K15" t="n">
        <v>4</v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4</v>
      </c>
      <c r="R15" t="n">
        <v>2</v>
      </c>
      <c r="S15" t="n">
        <v>8</v>
      </c>
      <c r="T15" t="n">
        <v>9</v>
      </c>
      <c r="U15" t="n">
        <v>9</v>
      </c>
      <c r="V15" s="2" t="inlineStr">
        <is>
          <t>Garnlav
Norsk näverlav
Kattfotslav
Skuggblåslav
Guldlockmossa
Gulnål
Platt fjädermossa
Purpurmylia</t>
        </is>
      </c>
      <c r="W15">
        <f>HYPERLINK("https://klasma.github.io/Logging_2080/artfynd/S 2620-2023 artfynd.xlsx", "S 2620-2023")</f>
        <v/>
      </c>
      <c r="X15">
        <f>HYPERLINK("https://klasma.github.io/Logging_2080/kartor/S 2620-2023 karta.png", "S 2620-2023")</f>
        <v/>
      </c>
      <c r="Y15">
        <f>HYPERLINK("https://klasma.github.io/Logging_2080/kartor_geotiff/S 2620-2023 georefererad karta.tif", "S 2620-2023")</f>
        <v/>
      </c>
      <c r="AA15">
        <f>HYPERLINK("https://klasma.github.io/Logging_2080/klagomål/S 2620-2023 FSC-klagomål.docx", "S 2620-2023")</f>
        <v/>
      </c>
      <c r="AB15">
        <f>HYPERLINK("https://klasma.github.io/Logging_2080/klagomålsmail/S 2620-2023 FSC-klagomål mail.docx", "S 2620-2023")</f>
        <v/>
      </c>
      <c r="AC15">
        <f>HYPERLINK("https://klasma.github.io/Logging_2080/tillsyn/S 2620-2023 tillsynsbegäran.docx", "S 2620-2023")</f>
        <v/>
      </c>
      <c r="AD15">
        <f>HYPERLINK("https://klasma.github.io/Logging_2080/tillsynsmail/S 2620-2023 tillsynsbegäran mail.docx", "S 2620-2023")</f>
        <v/>
      </c>
    </row>
    <row r="16" ht="15" customHeight="1">
      <c r="A16" t="inlineStr">
        <is>
          <t>A 24024-2026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46167</v>
      </c>
      <c r="E16" s="1" t="n">
        <v>46314</v>
      </c>
      <c r="F16" t="inlineStr">
        <is>
          <t>DALARNAS LÄN</t>
        </is>
      </c>
      <c r="G16" t="inlineStr">
        <is>
          <t>FALUN</t>
        </is>
      </c>
      <c r="H16" t="inlineStr">
        <is>
          <t>Bergvik skog väst AB</t>
        </is>
      </c>
      <c r="I16" t="n">
        <v>37.3</v>
      </c>
      <c r="J16" t="n">
        <v>1</v>
      </c>
      <c r="K16" t="n">
        <v>0</v>
      </c>
      <c r="L16" t="n">
        <v>5</v>
      </c>
      <c r="M16" t="n">
        <v>2</v>
      </c>
      <c r="N16" t="n">
        <v>0</v>
      </c>
      <c r="O16" t="n">
        <v>0</v>
      </c>
      <c r="P16" t="n">
        <v>0</v>
      </c>
      <c r="Q16" t="n">
        <v>7</v>
      </c>
      <c r="R16" t="n">
        <v>2</v>
      </c>
      <c r="S16" t="n">
        <v>7</v>
      </c>
      <c r="T16" t="n">
        <v>10</v>
      </c>
      <c r="U16" t="n">
        <v>0</v>
      </c>
      <c r="V16" s="2" t="inlineStr">
        <is>
          <t>Garnlav
Knärot
Dvärgbägarlav
Kolflarnlav
Tallticka
Ullticka
Vedskivlav</t>
        </is>
      </c>
      <c r="W16">
        <f>HYPERLINK("https://klasma.github.io/Logging_2080/artfynd/A 24024-2026 artfynd.xlsx", "A 24024-2026")</f>
        <v/>
      </c>
      <c r="X16">
        <f>HYPERLINK("https://klasma.github.io/Logging_2080/kartor/A 24024-2026 karta.png", "A 24024-2026")</f>
        <v/>
      </c>
      <c r="Y16">
        <f>HYPERLINK("https://klasma.github.io/Logging_2080/kartor_geotiff/A 24024-2026 georefererad karta.tif", "A 24024-2026")</f>
        <v/>
      </c>
      <c r="Z16">
        <f>HYPERLINK("https://klasma.github.io/Logging_2080/knärot/A 24024-2026 karta knärot.png", "A 24024-2026")</f>
        <v/>
      </c>
      <c r="AA16">
        <f>HYPERLINK("https://klasma.github.io/Logging_2080/klagomål/A 24024-2026 FSC-klagomål.docx", "A 24024-2026")</f>
        <v/>
      </c>
      <c r="AB16">
        <f>HYPERLINK("https://klasma.github.io/Logging_2080/klagomålsmail/A 24024-2026 FSC-klagomål mail.docx", "A 24024-2026")</f>
        <v/>
      </c>
      <c r="AC16">
        <f>HYPERLINK("https://klasma.github.io/Logging_2080/tillsyn/A 24024-2026 tillsynsbegäran.docx", "A 24024-2026")</f>
        <v/>
      </c>
      <c r="AD16">
        <f>HYPERLINK("https://klasma.github.io/Logging_2080/tillsynsmail/A 24024-2026 tillsynsbegäran mail.docx", "A 24024-2026")</f>
        <v/>
      </c>
    </row>
    <row r="17" ht="15" customHeight="1">
      <c r="A17" t="inlineStr">
        <is>
          <t>A 61535-2022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44916</v>
      </c>
      <c r="E17" s="1" t="n">
        <v>46314</v>
      </c>
      <c r="F17" t="inlineStr">
        <is>
          <t>DALARNAS LÄN</t>
        </is>
      </c>
      <c r="G17" t="inlineStr">
        <is>
          <t>FALUN</t>
        </is>
      </c>
      <c r="I17" t="n">
        <v>13.1</v>
      </c>
      <c r="J17" t="n">
        <v>5</v>
      </c>
      <c r="K17" t="n">
        <v>1</v>
      </c>
      <c r="L17" t="n">
        <v>4</v>
      </c>
      <c r="M17" t="n">
        <v>1</v>
      </c>
      <c r="N17" t="n">
        <v>0</v>
      </c>
      <c r="O17" t="n">
        <v>0</v>
      </c>
      <c r="P17" t="n">
        <v>0</v>
      </c>
      <c r="Q17" t="n">
        <v>5</v>
      </c>
      <c r="R17" t="n">
        <v>1</v>
      </c>
      <c r="S17" t="n">
        <v>7</v>
      </c>
      <c r="T17" t="n">
        <v>7</v>
      </c>
      <c r="U17" t="n">
        <v>7</v>
      </c>
      <c r="V17" s="2" t="inlineStr">
        <is>
          <t>Knärot
Entita
Rosenticka
Sparvuggla
Talltita
Tibast
Spillkråka</t>
        </is>
      </c>
      <c r="W17">
        <f>HYPERLINK("https://klasma.github.io/Logging_2080/artfynd/A 61535-2022 artfynd.xlsx", "A 61535-2022")</f>
        <v/>
      </c>
      <c r="X17">
        <f>HYPERLINK("https://klasma.github.io/Logging_2080/kartor/A 61535-2022 karta.png", "A 61535-2022")</f>
        <v/>
      </c>
      <c r="Y17">
        <f>HYPERLINK("https://klasma.github.io/Logging_2080/kartor_geotiff/A 61535-2022 georefererad karta.tif", "A 61535-2022")</f>
        <v/>
      </c>
      <c r="Z17">
        <f>HYPERLINK("https://klasma.github.io/Logging_2080/knärot/A 61535-2022 karta knärot.png", "A 61535-2022")</f>
        <v/>
      </c>
      <c r="AA17">
        <f>HYPERLINK("https://klasma.github.io/Logging_2080/klagomål/A 61535-2022 FSC-klagomål.docx", "A 61535-2022")</f>
        <v/>
      </c>
      <c r="AB17">
        <f>HYPERLINK("https://klasma.github.io/Logging_2080/klagomålsmail/A 61535-2022 FSC-klagomål mail.docx", "A 61535-2022")</f>
        <v/>
      </c>
      <c r="AC17">
        <f>HYPERLINK("https://klasma.github.io/Logging_2080/tillsyn/A 61535-2022 tillsynsbegäran.docx", "A 61535-2022")</f>
        <v/>
      </c>
      <c r="AD17">
        <f>HYPERLINK("https://klasma.github.io/Logging_2080/tillsynsmail/A 61535-2022 tillsynsbegäran mail.docx", "A 61535-2022")</f>
        <v/>
      </c>
      <c r="AE17">
        <f>HYPERLINK("https://klasma.github.io/Logging_2080/fåglar/A 61535-2022 prioriterade fågelarter.docx", "A 61535-2022")</f>
        <v/>
      </c>
    </row>
    <row r="18" ht="15" customHeight="1">
      <c r="A18" t="inlineStr">
        <is>
          <t>A 16488-2025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45751</v>
      </c>
      <c r="E18" s="1" t="n">
        <v>46314</v>
      </c>
      <c r="F18" t="inlineStr">
        <is>
          <t>DALARNAS LÄN</t>
        </is>
      </c>
      <c r="G18" t="inlineStr">
        <is>
          <t>FALUN</t>
        </is>
      </c>
      <c r="H18" t="inlineStr">
        <is>
          <t>Övriga statliga verk och myndigheter</t>
        </is>
      </c>
      <c r="I18" t="n">
        <v>3.3</v>
      </c>
      <c r="J18" t="n">
        <v>3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7</v>
      </c>
      <c r="T18" t="n">
        <v>28</v>
      </c>
      <c r="U18" t="n">
        <v>28</v>
      </c>
      <c r="V18" s="2" t="inlineStr">
        <is>
          <t>Rosenticka
Ullticka
Bronshjon
Gullgröppa
Plattlummer
Mattlummer
Revlummer</t>
        </is>
      </c>
      <c r="W18">
        <f>HYPERLINK("https://klasma.github.io/Logging_2080/artfynd/A 16488-2025 artfynd.xlsx", "A 16488-2025")</f>
        <v/>
      </c>
      <c r="X18">
        <f>HYPERLINK("https://klasma.github.io/Logging_2080/kartor/A 16488-2025 karta.png", "A 16488-2025")</f>
        <v/>
      </c>
      <c r="Y18">
        <f>HYPERLINK("https://klasma.github.io/Logging_2080/kartor_geotiff/A 16488-2025 georefererad karta.tif", "A 16488-2025")</f>
        <v/>
      </c>
      <c r="AA18">
        <f>HYPERLINK("https://klasma.github.io/Logging_2080/klagomål/A 16488-2025 FSC-klagomål.docx", "A 16488-2025")</f>
        <v/>
      </c>
      <c r="AB18">
        <f>HYPERLINK("https://klasma.github.io/Logging_2080/klagomålsmail/A 16488-2025 FSC-klagomål mail.docx", "A 16488-2025")</f>
        <v/>
      </c>
      <c r="AC18">
        <f>HYPERLINK("https://klasma.github.io/Logging_2080/tillsyn/A 16488-2025 tillsynsbegäran.docx", "A 16488-2025")</f>
        <v/>
      </c>
      <c r="AD18">
        <f>HYPERLINK("https://klasma.github.io/Logging_2080/tillsynsmail/A 16488-2025 tillsynsbegäran mail.docx", "A 16488-2025")</f>
        <v/>
      </c>
    </row>
    <row r="19" ht="15" customHeight="1">
      <c r="A19" t="inlineStr">
        <is>
          <t>A 39877-2026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46290</v>
      </c>
      <c r="E19" s="1" t="n">
        <v>46314</v>
      </c>
      <c r="F19" t="inlineStr">
        <is>
          <t>DALARNAS LÄN</t>
        </is>
      </c>
      <c r="G19" t="inlineStr">
        <is>
          <t>FALUN</t>
        </is>
      </c>
      <c r="I19" t="n">
        <v>1.9</v>
      </c>
      <c r="J19" t="n">
        <v>1</v>
      </c>
      <c r="K19" t="n">
        <v>1</v>
      </c>
      <c r="L19" t="n">
        <v>4</v>
      </c>
      <c r="M19" t="n">
        <v>2</v>
      </c>
      <c r="N19" t="n">
        <v>0</v>
      </c>
      <c r="O19" t="n">
        <v>0</v>
      </c>
      <c r="P19" t="n">
        <v>0</v>
      </c>
      <c r="Q19" t="n">
        <v>6</v>
      </c>
      <c r="R19" t="n">
        <v>2</v>
      </c>
      <c r="S19" t="n">
        <v>7</v>
      </c>
      <c r="T19" t="n">
        <v>7</v>
      </c>
      <c r="U19" t="n">
        <v>0</v>
      </c>
      <c r="V19" s="2" t="inlineStr">
        <is>
          <t>Garnlav
Knärot
Kolflarnlav
Mörk kolflarnlav
Vedflikmossa
Vedtrappmossa
Gulnål</t>
        </is>
      </c>
      <c r="W19">
        <f>HYPERLINK("https://klasma.github.io/Logging_2080/artfynd/A 39877-2026 artfynd.xlsx", "A 39877-2026")</f>
        <v/>
      </c>
      <c r="X19">
        <f>HYPERLINK("https://klasma.github.io/Logging_2080/kartor/A 39877-2026 karta.png", "A 39877-2026")</f>
        <v/>
      </c>
      <c r="Y19">
        <f>HYPERLINK("https://klasma.github.io/Logging_2080/kartor_geotiff/A 39877-2026 georefererad karta.tif", "A 39877-2026")</f>
        <v/>
      </c>
      <c r="Z19">
        <f>HYPERLINK("https://klasma.github.io/Logging_2080/knärot/A 39877-2026 karta knärot.png", "A 39877-2026")</f>
        <v/>
      </c>
      <c r="AA19">
        <f>HYPERLINK("https://klasma.github.io/Logging_2080/klagomål/A 39877-2026 FSC-klagomål.docx", "A 39877-2026")</f>
        <v/>
      </c>
      <c r="AB19">
        <f>HYPERLINK("https://klasma.github.io/Logging_2080/klagomålsmail/A 39877-2026 FSC-klagomål mail.docx", "A 39877-2026")</f>
        <v/>
      </c>
      <c r="AC19">
        <f>HYPERLINK("https://klasma.github.io/Logging_2080/tillsyn/A 39877-2026 tillsynsbegäran.docx", "A 39877-2026")</f>
        <v/>
      </c>
      <c r="AD19">
        <f>HYPERLINK("https://klasma.github.io/Logging_2080/tillsynsmail/A 39877-2026 tillsynsbegäran mail.docx", "A 39877-2026")</f>
        <v/>
      </c>
    </row>
    <row r="20" ht="15" customHeight="1">
      <c r="A20" t="inlineStr">
        <is>
          <t>A 23023-2026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46161</v>
      </c>
      <c r="E20" s="1" t="n">
        <v>46314</v>
      </c>
      <c r="F20" t="inlineStr">
        <is>
          <t>DALARNAS LÄN</t>
        </is>
      </c>
      <c r="G20" t="inlineStr">
        <is>
          <t>FALUN</t>
        </is>
      </c>
      <c r="H20" t="inlineStr">
        <is>
          <t>Bergvik skog väst AB</t>
        </is>
      </c>
      <c r="I20" t="n">
        <v>13.6</v>
      </c>
      <c r="J20" t="n">
        <v>2</v>
      </c>
      <c r="K20" t="n">
        <v>0</v>
      </c>
      <c r="L20" t="n">
        <v>3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1</v>
      </c>
      <c r="S20" t="n">
        <v>6</v>
      </c>
      <c r="T20" t="n">
        <v>13</v>
      </c>
      <c r="U20" t="n">
        <v>0</v>
      </c>
      <c r="V20" s="2" t="inlineStr">
        <is>
          <t>Garnlav
Motaggsvamp
Mörk kolflarnlav
Vedskivlav
Fläcknycklar
Revlummer</t>
        </is>
      </c>
      <c r="W20">
        <f>HYPERLINK("https://klasma.github.io/Logging_2080/artfynd/A 23023-2026 artfynd.xlsx", "A 23023-2026")</f>
        <v/>
      </c>
      <c r="X20">
        <f>HYPERLINK("https://klasma.github.io/Logging_2080/kartor/A 23023-2026 karta.png", "A 23023-2026")</f>
        <v/>
      </c>
      <c r="Y20">
        <f>HYPERLINK("https://klasma.github.io/Logging_2080/kartor_geotiff/A 23023-2026 georefererad karta.tif", "A 23023-2026")</f>
        <v/>
      </c>
      <c r="AA20">
        <f>HYPERLINK("https://klasma.github.io/Logging_2080/klagomål/A 23023-2026 FSC-klagomål.docx", "A 23023-2026")</f>
        <v/>
      </c>
      <c r="AB20">
        <f>HYPERLINK("https://klasma.github.io/Logging_2080/klagomålsmail/A 23023-2026 FSC-klagomål mail.docx", "A 23023-2026")</f>
        <v/>
      </c>
      <c r="AC20">
        <f>HYPERLINK("https://klasma.github.io/Logging_2080/tillsyn/A 23023-2026 tillsynsbegäran.docx", "A 23023-2026")</f>
        <v/>
      </c>
      <c r="AD20">
        <f>HYPERLINK("https://klasma.github.io/Logging_2080/tillsynsmail/A 23023-2026 tillsynsbegäran mail.docx", "A 23023-2026")</f>
        <v/>
      </c>
    </row>
    <row r="21" ht="15" customHeight="1">
      <c r="A21" t="inlineStr">
        <is>
          <t>A 180-2026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46025</v>
      </c>
      <c r="E21" s="1" t="n">
        <v>46314</v>
      </c>
      <c r="F21" t="inlineStr">
        <is>
          <t>DALARNAS LÄN</t>
        </is>
      </c>
      <c r="G21" t="inlineStr">
        <is>
          <t>FALUN</t>
        </is>
      </c>
      <c r="I21" t="n">
        <v>6.9</v>
      </c>
      <c r="J21" t="n">
        <v>3</v>
      </c>
      <c r="K21" t="n">
        <v>1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6</v>
      </c>
      <c r="T21" t="n">
        <v>7</v>
      </c>
      <c r="U21" t="n">
        <v>7</v>
      </c>
      <c r="V21" s="2" t="inlineStr">
        <is>
          <t>Garnlav
Dropptaggsvamp
Talltita
Mindre märgborre
Spillkråka
Tofsmes</t>
        </is>
      </c>
      <c r="W21">
        <f>HYPERLINK("https://klasma.github.io/Logging_2080/artfynd/A 180-2026 artfynd.xlsx", "A 180-2026")</f>
        <v/>
      </c>
      <c r="X21">
        <f>HYPERLINK("https://klasma.github.io/Logging_2080/kartor/A 180-2026 karta.png", "A 180-2026")</f>
        <v/>
      </c>
      <c r="Y21">
        <f>HYPERLINK("https://klasma.github.io/Logging_2080/kartor_geotiff/A 180-2026 georefererad karta.tif", "A 180-2026")</f>
        <v/>
      </c>
      <c r="AA21">
        <f>HYPERLINK("https://klasma.github.io/Logging_2080/klagomål/A 180-2026 FSC-klagomål.docx", "A 180-2026")</f>
        <v/>
      </c>
      <c r="AB21">
        <f>HYPERLINK("https://klasma.github.io/Logging_2080/klagomålsmail/A 180-2026 FSC-klagomål mail.docx", "A 180-2026")</f>
        <v/>
      </c>
      <c r="AC21">
        <f>HYPERLINK("https://klasma.github.io/Logging_2080/tillsyn/A 180-2026 tillsynsbegäran.docx", "A 180-2026")</f>
        <v/>
      </c>
      <c r="AD21">
        <f>HYPERLINK("https://klasma.github.io/Logging_2080/tillsynsmail/A 180-2026 tillsynsbegäran mail.docx", "A 180-2026")</f>
        <v/>
      </c>
      <c r="AE21">
        <f>HYPERLINK("https://klasma.github.io/Logging_2080/fåglar/A 180-2026 prioriterade fågelarter.docx", "A 180-2026")</f>
        <v/>
      </c>
    </row>
    <row r="22" ht="15" customHeight="1">
      <c r="A22" t="inlineStr">
        <is>
          <t>A 1364-2026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46031</v>
      </c>
      <c r="E22" s="1" t="n">
        <v>46314</v>
      </c>
      <c r="F22" t="inlineStr">
        <is>
          <t>DALARNAS LÄN</t>
        </is>
      </c>
      <c r="G22" t="inlineStr">
        <is>
          <t>FALUN</t>
        </is>
      </c>
      <c r="I22" t="n">
        <v>10.2</v>
      </c>
      <c r="J22" t="n">
        <v>3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6</v>
      </c>
      <c r="T22" t="n">
        <v>10</v>
      </c>
      <c r="U22" t="n">
        <v>10</v>
      </c>
      <c r="V22" s="2" t="inlineStr">
        <is>
          <t>Stjärntagging
Tretåig hackspett
Nästlav
Linnea
Spillkråka
Grönsiska</t>
        </is>
      </c>
      <c r="W22">
        <f>HYPERLINK("https://klasma.github.io/Logging_2080/artfynd/A 1364-2026 artfynd.xlsx", "A 1364-2026")</f>
        <v/>
      </c>
      <c r="X22">
        <f>HYPERLINK("https://klasma.github.io/Logging_2080/kartor/A 1364-2026 karta.png", "A 1364-2026")</f>
        <v/>
      </c>
      <c r="Y22">
        <f>HYPERLINK("https://klasma.github.io/Logging_2080/kartor_geotiff/A 1364-2026 georefererad karta.tif", "A 1364-2026")</f>
        <v/>
      </c>
      <c r="AA22">
        <f>HYPERLINK("https://klasma.github.io/Logging_2080/klagomål/A 1364-2026 FSC-klagomål.docx", "A 1364-2026")</f>
        <v/>
      </c>
      <c r="AB22">
        <f>HYPERLINK("https://klasma.github.io/Logging_2080/klagomålsmail/A 1364-2026 FSC-klagomål mail.docx", "A 1364-2026")</f>
        <v/>
      </c>
      <c r="AC22">
        <f>HYPERLINK("https://klasma.github.io/Logging_2080/tillsyn/A 1364-2026 tillsynsbegäran.docx", "A 1364-2026")</f>
        <v/>
      </c>
      <c r="AD22">
        <f>HYPERLINK("https://klasma.github.io/Logging_2080/tillsynsmail/A 1364-2026 tillsynsbegäran mail.docx", "A 1364-2026")</f>
        <v/>
      </c>
      <c r="AE22">
        <f>HYPERLINK("https://klasma.github.io/Logging_2080/fåglar/A 1364-2026 prioriterade fågelarter.docx", "A 1364-2026")</f>
        <v/>
      </c>
    </row>
    <row r="23" ht="15" customHeight="1">
      <c r="A23" t="inlineStr">
        <is>
          <t>A 3383-2026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46042</v>
      </c>
      <c r="E23" s="1" t="n">
        <v>46314</v>
      </c>
      <c r="F23" t="inlineStr">
        <is>
          <t>DALARNAS LÄN</t>
        </is>
      </c>
      <c r="G23" t="inlineStr">
        <is>
          <t>FALUN</t>
        </is>
      </c>
      <c r="I23" t="n">
        <v>15.7</v>
      </c>
      <c r="J23" t="n">
        <v>3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8</v>
      </c>
      <c r="U23" t="n">
        <v>0</v>
      </c>
      <c r="V23" s="2" t="inlineStr">
        <is>
          <t>Dropptaggsvamp
Talltita
Bollvitmossa
Mindre märgborre
Spillkråka
Kungsfågel</t>
        </is>
      </c>
      <c r="W23">
        <f>HYPERLINK("https://klasma.github.io/Logging_2080/artfynd/A 3383-2026 artfynd.xlsx", "A 3383-2026")</f>
        <v/>
      </c>
      <c r="X23">
        <f>HYPERLINK("https://klasma.github.io/Logging_2080/kartor/A 3383-2026 karta.png", "A 3383-2026")</f>
        <v/>
      </c>
      <c r="Y23">
        <f>HYPERLINK("https://klasma.github.io/Logging_2080/kartor_geotiff/A 3383-2026 georefererad karta.tif", "A 3383-2026")</f>
        <v/>
      </c>
      <c r="AA23">
        <f>HYPERLINK("https://klasma.github.io/Logging_2080/klagomål/A 3383-2026 FSC-klagomål.docx", "A 3383-2026")</f>
        <v/>
      </c>
      <c r="AB23">
        <f>HYPERLINK("https://klasma.github.io/Logging_2080/klagomålsmail/A 3383-2026 FSC-klagomål mail.docx", "A 3383-2026")</f>
        <v/>
      </c>
      <c r="AC23">
        <f>HYPERLINK("https://klasma.github.io/Logging_2080/tillsyn/A 3383-2026 tillsynsbegäran.docx", "A 3383-2026")</f>
        <v/>
      </c>
      <c r="AD23">
        <f>HYPERLINK("https://klasma.github.io/Logging_2080/tillsynsmail/A 3383-2026 tillsynsbegäran mail.docx", "A 3383-2026")</f>
        <v/>
      </c>
      <c r="AE23">
        <f>HYPERLINK("https://klasma.github.io/Logging_2080/fåglar/A 3383-2026 prioriterade fågelarter.docx", "A 3383-2026")</f>
        <v/>
      </c>
    </row>
    <row r="24" ht="15" customHeight="1">
      <c r="A24" t="inlineStr">
        <is>
          <t>A 14308-2026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46099</v>
      </c>
      <c r="E24" s="1" t="n">
        <v>46314</v>
      </c>
      <c r="F24" t="inlineStr">
        <is>
          <t>DALARNAS LÄN</t>
        </is>
      </c>
      <c r="G24" t="inlineStr">
        <is>
          <t>FALUN</t>
        </is>
      </c>
      <c r="H24" t="inlineStr">
        <is>
          <t>Bergvik skog väst AB</t>
        </is>
      </c>
      <c r="I24" t="n">
        <v>44.5</v>
      </c>
      <c r="J24" t="n">
        <v>4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6</v>
      </c>
      <c r="T24" t="n">
        <v>8</v>
      </c>
      <c r="U24" t="n">
        <v>0</v>
      </c>
      <c r="V24" s="2" t="inlineStr">
        <is>
          <t>Garnlav
Kungsörn
Mindre märgborre
Järpe
Spillkråka
Tjäder</t>
        </is>
      </c>
      <c r="W24">
        <f>HYPERLINK("https://klasma.github.io/Logging_2080/artfynd/A 14308-2026 artfynd.xlsx", "A 14308-2026")</f>
        <v/>
      </c>
      <c r="X24">
        <f>HYPERLINK("https://klasma.github.io/Logging_2080/kartor/A 14308-2026 karta.png", "A 14308-2026")</f>
        <v/>
      </c>
      <c r="Y24">
        <f>HYPERLINK("https://klasma.github.io/Logging_2080/kartor_geotiff/A 14308-2026 georefererad karta.tif", "A 14308-2026")</f>
        <v/>
      </c>
      <c r="AA24">
        <f>HYPERLINK("https://klasma.github.io/Logging_2080/klagomål/A 14308-2026 FSC-klagomål.docx", "A 14308-2026")</f>
        <v/>
      </c>
      <c r="AB24">
        <f>HYPERLINK("https://klasma.github.io/Logging_2080/klagomålsmail/A 14308-2026 FSC-klagomål mail.docx", "A 14308-2026")</f>
        <v/>
      </c>
      <c r="AC24">
        <f>HYPERLINK("https://klasma.github.io/Logging_2080/tillsyn/A 14308-2026 tillsynsbegäran.docx", "A 14308-2026")</f>
        <v/>
      </c>
      <c r="AD24">
        <f>HYPERLINK("https://klasma.github.io/Logging_2080/tillsynsmail/A 14308-2026 tillsynsbegäran mail.docx", "A 14308-2026")</f>
        <v/>
      </c>
      <c r="AE24">
        <f>HYPERLINK("https://klasma.github.io/Logging_2080/fåglar/A 14308-2026 prioriterade fågelarter.docx", "A 14308-2026")</f>
        <v/>
      </c>
    </row>
    <row r="25" ht="15" customHeight="1">
      <c r="A25" t="inlineStr">
        <is>
          <t>A 31622-2023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45117</v>
      </c>
      <c r="E25" s="1" t="n">
        <v>46314</v>
      </c>
      <c r="F25" t="inlineStr">
        <is>
          <t>DALARNAS LÄN</t>
        </is>
      </c>
      <c r="G25" t="inlineStr">
        <is>
          <t>FALUN</t>
        </is>
      </c>
      <c r="H25" t="inlineStr">
        <is>
          <t>Bergvik skog väst AB</t>
        </is>
      </c>
      <c r="I25" t="n">
        <v>6.6</v>
      </c>
      <c r="J25" t="n">
        <v>4</v>
      </c>
      <c r="K25" t="n">
        <v>2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6</v>
      </c>
      <c r="T25" t="n">
        <v>29</v>
      </c>
      <c r="U25" t="n">
        <v>5</v>
      </c>
      <c r="V25" s="2" t="inlineStr">
        <is>
          <t>Knärot
Gultoppig fingersvamp
Grönpyrola
Plattlummer
Mattlummer
Spillkråka</t>
        </is>
      </c>
      <c r="W25">
        <f>HYPERLINK("https://klasma.github.io/Logging_2080/artfynd/A 31622-2023 artfynd.xlsx", "A 31622-2023")</f>
        <v/>
      </c>
      <c r="X25">
        <f>HYPERLINK("https://klasma.github.io/Logging_2080/kartor/A 31622-2023 karta.png", "A 31622-2023")</f>
        <v/>
      </c>
      <c r="Y25">
        <f>HYPERLINK("https://klasma.github.io/Logging_2080/kartor_geotiff/A 31622-2023 georefererad karta.tif", "A 31622-2023")</f>
        <v/>
      </c>
      <c r="Z25">
        <f>HYPERLINK("https://klasma.github.io/Logging_2080/knärot/A 31622-2023 karta knärot.png", "A 31622-2023")</f>
        <v/>
      </c>
      <c r="AA25">
        <f>HYPERLINK("https://klasma.github.io/Logging_2080/klagomål/A 31622-2023 FSC-klagomål.docx", "A 31622-2023")</f>
        <v/>
      </c>
      <c r="AB25">
        <f>HYPERLINK("https://klasma.github.io/Logging_2080/klagomålsmail/A 31622-2023 FSC-klagomål mail.docx", "A 31622-2023")</f>
        <v/>
      </c>
      <c r="AC25">
        <f>HYPERLINK("https://klasma.github.io/Logging_2080/tillsyn/A 31622-2023 tillsynsbegäran.docx", "A 31622-2023")</f>
        <v/>
      </c>
      <c r="AD25">
        <f>HYPERLINK("https://klasma.github.io/Logging_2080/tillsynsmail/A 31622-2023 tillsynsbegäran mail.docx", "A 31622-2023")</f>
        <v/>
      </c>
      <c r="AE25">
        <f>HYPERLINK("https://klasma.github.io/Logging_2080/fåglar/A 31622-2023 prioriterade fågelarter.docx", "A 31622-2023")</f>
        <v/>
      </c>
    </row>
    <row r="26" ht="15" customHeight="1">
      <c r="A26" t="inlineStr">
        <is>
          <t>A 5415-2024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45331</v>
      </c>
      <c r="E26" s="1" t="n">
        <v>46314</v>
      </c>
      <c r="F26" t="inlineStr">
        <is>
          <t>DALARNAS LÄN</t>
        </is>
      </c>
      <c r="G26" t="inlineStr">
        <is>
          <t>FALUN</t>
        </is>
      </c>
      <c r="I26" t="n">
        <v>4.7</v>
      </c>
      <c r="J26" t="n">
        <v>2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6</v>
      </c>
      <c r="T26" t="n">
        <v>8</v>
      </c>
      <c r="U26" t="n">
        <v>3</v>
      </c>
      <c r="V26" s="2" t="inlineStr">
        <is>
          <t>Tallticka
Bronshjon
Gullgröppa
Mindre märgborre
Tjäder
Revlummer</t>
        </is>
      </c>
      <c r="W26">
        <f>HYPERLINK("https://klasma.github.io/Logging_2080/artfynd/A 5415-2024 artfynd.xlsx", "A 5415-2024")</f>
        <v/>
      </c>
      <c r="X26">
        <f>HYPERLINK("https://klasma.github.io/Logging_2080/kartor/A 5415-2024 karta.png", "A 5415-2024")</f>
        <v/>
      </c>
      <c r="Y26">
        <f>HYPERLINK("https://klasma.github.io/Logging_2080/kartor_geotiff/A 5415-2024 georefererad karta.tif", "A 5415-2024")</f>
        <v/>
      </c>
      <c r="AA26">
        <f>HYPERLINK("https://klasma.github.io/Logging_2080/klagomål/A 5415-2024 FSC-klagomål.docx", "A 5415-2024")</f>
        <v/>
      </c>
      <c r="AB26">
        <f>HYPERLINK("https://klasma.github.io/Logging_2080/klagomålsmail/A 5415-2024 FSC-klagomål mail.docx", "A 5415-2024")</f>
        <v/>
      </c>
      <c r="AC26">
        <f>HYPERLINK("https://klasma.github.io/Logging_2080/tillsyn/A 5415-2024 tillsynsbegäran.docx", "A 5415-2024")</f>
        <v/>
      </c>
      <c r="AD26">
        <f>HYPERLINK("https://klasma.github.io/Logging_2080/tillsynsmail/A 5415-2024 tillsynsbegäran mail.docx", "A 5415-2024")</f>
        <v/>
      </c>
      <c r="AE26">
        <f>HYPERLINK("https://klasma.github.io/Logging_2080/fåglar/A 5415-2024 prioriterade fågelarter.docx", "A 5415-2024")</f>
        <v/>
      </c>
    </row>
    <row r="27" ht="15" customHeight="1">
      <c r="A27" t="inlineStr">
        <is>
          <t>A 3204-2024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45316</v>
      </c>
      <c r="E27" s="1" t="n">
        <v>46314</v>
      </c>
      <c r="F27" t="inlineStr">
        <is>
          <t>DALARNAS LÄN</t>
        </is>
      </c>
      <c r="G27" t="inlineStr">
        <is>
          <t>FALUN</t>
        </is>
      </c>
      <c r="I27" t="n">
        <v>6.1</v>
      </c>
      <c r="J27" t="n">
        <v>0</v>
      </c>
      <c r="K27" t="n">
        <v>2</v>
      </c>
      <c r="L27" t="n">
        <v>3</v>
      </c>
      <c r="M27" t="n">
        <v>1</v>
      </c>
      <c r="N27" t="n">
        <v>0</v>
      </c>
      <c r="O27" t="n">
        <v>0</v>
      </c>
      <c r="P27" t="n">
        <v>0</v>
      </c>
      <c r="Q27" t="n">
        <v>4</v>
      </c>
      <c r="R27" t="n">
        <v>1</v>
      </c>
      <c r="S27" t="n">
        <v>6</v>
      </c>
      <c r="T27" t="n">
        <v>11</v>
      </c>
      <c r="U27" t="n">
        <v>11</v>
      </c>
      <c r="V27" s="2" t="inlineStr">
        <is>
          <t>Garnlav
Kattfotslav
Skuggblåslav
Violettgrå tagellav
Rödgul trumpetsvamp
Skinnlav</t>
        </is>
      </c>
      <c r="W27">
        <f>HYPERLINK("https://klasma.github.io/Logging_2080/artfynd/A 3204-2024 artfynd.xlsx", "A 3204-2024")</f>
        <v/>
      </c>
      <c r="X27">
        <f>HYPERLINK("https://klasma.github.io/Logging_2080/kartor/A 3204-2024 karta.png", "A 3204-2024")</f>
        <v/>
      </c>
      <c r="Y27">
        <f>HYPERLINK("https://klasma.github.io/Logging_2080/kartor_geotiff/A 3204-2024 georefererad karta.tif", "A 3204-2024")</f>
        <v/>
      </c>
      <c r="AA27">
        <f>HYPERLINK("https://klasma.github.io/Logging_2080/klagomål/A 3204-2024 FSC-klagomål.docx", "A 3204-2024")</f>
        <v/>
      </c>
      <c r="AB27">
        <f>HYPERLINK("https://klasma.github.io/Logging_2080/klagomålsmail/A 3204-2024 FSC-klagomål mail.docx", "A 3204-2024")</f>
        <v/>
      </c>
      <c r="AC27">
        <f>HYPERLINK("https://klasma.github.io/Logging_2080/tillsyn/A 3204-2024 tillsynsbegäran.docx", "A 3204-2024")</f>
        <v/>
      </c>
      <c r="AD27">
        <f>HYPERLINK("https://klasma.github.io/Logging_2080/tillsynsmail/A 3204-2024 tillsynsbegäran mail.docx", "A 3204-2024")</f>
        <v/>
      </c>
    </row>
    <row r="28" ht="15" customHeight="1">
      <c r="A28" t="inlineStr">
        <is>
          <t>A 48476-2024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45591</v>
      </c>
      <c r="E28" s="1" t="n">
        <v>46314</v>
      </c>
      <c r="F28" t="inlineStr">
        <is>
          <t>DALARNAS LÄN</t>
        </is>
      </c>
      <c r="G28" t="inlineStr">
        <is>
          <t>FALUN</t>
        </is>
      </c>
      <c r="I28" t="n">
        <v>4.3</v>
      </c>
      <c r="J28" t="n">
        <v>2</v>
      </c>
      <c r="K28" t="n">
        <v>1</v>
      </c>
      <c r="L28" t="n">
        <v>2</v>
      </c>
      <c r="M28" t="n">
        <v>2</v>
      </c>
      <c r="N28" t="n">
        <v>0</v>
      </c>
      <c r="O28" t="n">
        <v>0</v>
      </c>
      <c r="P28" t="n">
        <v>0</v>
      </c>
      <c r="Q28" t="n">
        <v>4</v>
      </c>
      <c r="R28" t="n">
        <v>2</v>
      </c>
      <c r="S28" t="n">
        <v>6</v>
      </c>
      <c r="T28" t="n">
        <v>9</v>
      </c>
      <c r="U28" t="n">
        <v>9</v>
      </c>
      <c r="V28" s="2" t="inlineStr">
        <is>
          <t>Garnlav
Knärot
Rynkskinn
Ullticka
Grönpyrola
Revlummer</t>
        </is>
      </c>
      <c r="W28">
        <f>HYPERLINK("https://klasma.github.io/Logging_2080/artfynd/A 48476-2024 artfynd.xlsx", "A 48476-2024")</f>
        <v/>
      </c>
      <c r="X28">
        <f>HYPERLINK("https://klasma.github.io/Logging_2080/kartor/A 48476-2024 karta.png", "A 48476-2024")</f>
        <v/>
      </c>
      <c r="Y28">
        <f>HYPERLINK("https://klasma.github.io/Logging_2080/kartor_geotiff/A 48476-2024 georefererad karta.tif", "A 48476-2024")</f>
        <v/>
      </c>
      <c r="Z28">
        <f>HYPERLINK("https://klasma.github.io/Logging_2080/knärot/A 48476-2024 karta knärot.png", "A 48476-2024")</f>
        <v/>
      </c>
      <c r="AA28">
        <f>HYPERLINK("https://klasma.github.io/Logging_2080/klagomål/A 48476-2024 FSC-klagomål.docx", "A 48476-2024")</f>
        <v/>
      </c>
      <c r="AB28">
        <f>HYPERLINK("https://klasma.github.io/Logging_2080/klagomålsmail/A 48476-2024 FSC-klagomål mail.docx", "A 48476-2024")</f>
        <v/>
      </c>
      <c r="AC28">
        <f>HYPERLINK("https://klasma.github.io/Logging_2080/tillsyn/A 48476-2024 tillsynsbegäran.docx", "A 48476-2024")</f>
        <v/>
      </c>
      <c r="AD28">
        <f>HYPERLINK("https://klasma.github.io/Logging_2080/tillsynsmail/A 48476-2024 tillsynsbegäran mail.docx", "A 48476-2024")</f>
        <v/>
      </c>
    </row>
    <row r="29" ht="15" customHeight="1">
      <c r="A29" t="inlineStr">
        <is>
          <t>A 5462-2024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45332</v>
      </c>
      <c r="E29" s="1" t="n">
        <v>46314</v>
      </c>
      <c r="F29" t="inlineStr">
        <is>
          <t>DALARNAS LÄN</t>
        </is>
      </c>
      <c r="G29" t="inlineStr">
        <is>
          <t>FALUN</t>
        </is>
      </c>
      <c r="H29" t="inlineStr">
        <is>
          <t>Kyrkan</t>
        </is>
      </c>
      <c r="I29" t="n">
        <v>11.1</v>
      </c>
      <c r="J29" t="n">
        <v>0</v>
      </c>
      <c r="K29" t="n">
        <v>1</v>
      </c>
      <c r="L29" t="n">
        <v>4</v>
      </c>
      <c r="M29" t="n">
        <v>1</v>
      </c>
      <c r="N29" t="n">
        <v>0</v>
      </c>
      <c r="O29" t="n">
        <v>0</v>
      </c>
      <c r="P29" t="n">
        <v>0</v>
      </c>
      <c r="Q29" t="n">
        <v>5</v>
      </c>
      <c r="R29" t="n">
        <v>1</v>
      </c>
      <c r="S29" t="n">
        <v>6</v>
      </c>
      <c r="T29" t="n">
        <v>12</v>
      </c>
      <c r="U29" t="n">
        <v>12</v>
      </c>
      <c r="V29" s="2" t="inlineStr">
        <is>
          <t>Garnlav
Dropptaggsvamp
Liten svartspik
Vitgrynig nållav
Vitplätt
Mindre märgborre</t>
        </is>
      </c>
      <c r="W29">
        <f>HYPERLINK("https://klasma.github.io/Logging_2080/artfynd/A 5462-2024 artfynd.xlsx", "A 5462-2024")</f>
        <v/>
      </c>
      <c r="X29">
        <f>HYPERLINK("https://klasma.github.io/Logging_2080/kartor/A 5462-2024 karta.png", "A 5462-2024")</f>
        <v/>
      </c>
      <c r="Y29">
        <f>HYPERLINK("https://klasma.github.io/Logging_2080/kartor_geotiff/A 5462-2024 georefererad karta.tif", "A 5462-2024")</f>
        <v/>
      </c>
      <c r="AA29">
        <f>HYPERLINK("https://klasma.github.io/Logging_2080/klagomål/A 5462-2024 FSC-klagomål.docx", "A 5462-2024")</f>
        <v/>
      </c>
      <c r="AB29">
        <f>HYPERLINK("https://klasma.github.io/Logging_2080/klagomålsmail/A 5462-2024 FSC-klagomål mail.docx", "A 5462-2024")</f>
        <v/>
      </c>
      <c r="AC29">
        <f>HYPERLINK("https://klasma.github.io/Logging_2080/tillsyn/A 5462-2024 tillsynsbegäran.docx", "A 5462-2024")</f>
        <v/>
      </c>
      <c r="AD29">
        <f>HYPERLINK("https://klasma.github.io/Logging_2080/tillsynsmail/A 5462-2024 tillsynsbegäran mail.docx", "A 5462-2024")</f>
        <v/>
      </c>
    </row>
    <row r="30" ht="15" customHeight="1">
      <c r="A30" t="inlineStr">
        <is>
          <t>S 1076-2022</t>
        </is>
      </c>
      <c r="B30" t="inlineStr">
        <is>
          <t>samrådsanmälan</t>
        </is>
      </c>
      <c r="C30" t="inlineStr">
        <is>
          <t>Skogsgödsling</t>
        </is>
      </c>
      <c r="D30" s="1" t="n">
        <v>44614</v>
      </c>
      <c r="E30" s="1" t="n">
        <v>46314</v>
      </c>
      <c r="F30" t="inlineStr">
        <is>
          <t>DALARNAS LÄN</t>
        </is>
      </c>
      <c r="G30" t="inlineStr">
        <is>
          <t>FALUN</t>
        </is>
      </c>
      <c r="H30" t="inlineStr">
        <is>
          <t>Bergvik skog väst AB</t>
        </is>
      </c>
      <c r="I30" t="n">
        <v>470.9</v>
      </c>
      <c r="J30" t="n">
        <v>3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1</v>
      </c>
      <c r="S30" t="n">
        <v>6</v>
      </c>
      <c r="T30" t="n">
        <v>8</v>
      </c>
      <c r="U30" t="n">
        <v>6</v>
      </c>
      <c r="V30" s="2" t="inlineStr">
        <is>
          <t>Flodpärlmussla
Månlåsbräken
Vedticka
Mattlummer
Tjäder
Kungsfågel</t>
        </is>
      </c>
      <c r="W30">
        <f>HYPERLINK("https://klasma.github.io/Logging_2080/artfynd/S 1076-2022 artfynd.xlsx", "S 1076-2022")</f>
        <v/>
      </c>
      <c r="X30">
        <f>HYPERLINK("https://klasma.github.io/Logging_2080/kartor/S 1076-2022 karta.png", "S 1076-2022")</f>
        <v/>
      </c>
      <c r="Y30">
        <f>HYPERLINK("https://klasma.github.io/Logging_2080/kartor_geotiff/S 1076-2022 georefererad karta.tif", "S 1076-2022")</f>
        <v/>
      </c>
      <c r="AA30">
        <f>HYPERLINK("https://klasma.github.io/Logging_2080/klagomål/S 1076-2022 FSC-klagomål.docx", "S 1076-2022")</f>
        <v/>
      </c>
      <c r="AB30">
        <f>HYPERLINK("https://klasma.github.io/Logging_2080/klagomålsmail/S 1076-2022 FSC-klagomål mail.docx", "S 1076-2022")</f>
        <v/>
      </c>
      <c r="AC30">
        <f>HYPERLINK("https://klasma.github.io/Logging_2080/tillsyn/S 1076-2022 tillsynsbegäran.docx", "S 1076-2022")</f>
        <v/>
      </c>
      <c r="AD30">
        <f>HYPERLINK("https://klasma.github.io/Logging_2080/tillsynsmail/S 1076-2022 tillsynsbegäran mail.docx", "S 1076-2022")</f>
        <v/>
      </c>
      <c r="AE30">
        <f>HYPERLINK("https://klasma.github.io/Logging_2080/fåglar/S 1076-2022 prioriterade fågelarter.docx", "S 1076-2022")</f>
        <v/>
      </c>
    </row>
    <row r="31" ht="15" customHeight="1">
      <c r="A31" t="inlineStr">
        <is>
          <t>A 6816-2026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46056</v>
      </c>
      <c r="E31" s="1" t="n">
        <v>46314</v>
      </c>
      <c r="F31" t="inlineStr">
        <is>
          <t>DALARNAS LÄN</t>
        </is>
      </c>
      <c r="G31" t="inlineStr">
        <is>
          <t>FALUN</t>
        </is>
      </c>
      <c r="H31" t="inlineStr">
        <is>
          <t>Allmännings- och besparingsskogar</t>
        </is>
      </c>
      <c r="I31" t="n">
        <v>9.5</v>
      </c>
      <c r="J31" t="n">
        <v>1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5</v>
      </c>
      <c r="T31" t="n">
        <v>5</v>
      </c>
      <c r="U31" t="n">
        <v>0</v>
      </c>
      <c r="V31" s="2" t="inlineStr">
        <is>
          <t>Doftskinn
Gammelgransskål
Gulnål
Plattlummer
Vågbandad barkbock</t>
        </is>
      </c>
      <c r="W31">
        <f>HYPERLINK("https://klasma.github.io/Logging_2080/artfynd/A 6816-2026 artfynd.xlsx", "A 6816-2026")</f>
        <v/>
      </c>
      <c r="X31">
        <f>HYPERLINK("https://klasma.github.io/Logging_2080/kartor/A 6816-2026 karta.png", "A 6816-2026")</f>
        <v/>
      </c>
      <c r="Y31">
        <f>HYPERLINK("https://klasma.github.io/Logging_2080/kartor_geotiff/A 6816-2026 georefererad karta.tif", "A 6816-2026")</f>
        <v/>
      </c>
      <c r="AA31">
        <f>HYPERLINK("https://klasma.github.io/Logging_2080/klagomål/A 6816-2026 FSC-klagomål.docx", "A 6816-2026")</f>
        <v/>
      </c>
      <c r="AB31">
        <f>HYPERLINK("https://klasma.github.io/Logging_2080/klagomålsmail/A 6816-2026 FSC-klagomål mail.docx", "A 6816-2026")</f>
        <v/>
      </c>
      <c r="AC31">
        <f>HYPERLINK("https://klasma.github.io/Logging_2080/tillsyn/A 6816-2026 tillsynsbegäran.docx", "A 6816-2026")</f>
        <v/>
      </c>
      <c r="AD31">
        <f>HYPERLINK("https://klasma.github.io/Logging_2080/tillsynsmail/A 6816-2026 tillsynsbegäran mail.docx", "A 6816-2026")</f>
        <v/>
      </c>
    </row>
    <row r="32" ht="15" customHeight="1">
      <c r="A32" t="inlineStr">
        <is>
          <t>A 23458-2026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46163</v>
      </c>
      <c r="E32" s="1" t="n">
        <v>46314</v>
      </c>
      <c r="F32" t="inlineStr">
        <is>
          <t>DALARNAS LÄN</t>
        </is>
      </c>
      <c r="G32" t="inlineStr">
        <is>
          <t>FALUN</t>
        </is>
      </c>
      <c r="H32" t="inlineStr">
        <is>
          <t>Bergvik skog väst AB</t>
        </is>
      </c>
      <c r="I32" t="n">
        <v>77.8</v>
      </c>
      <c r="J32" t="n">
        <v>1</v>
      </c>
      <c r="K32" t="n">
        <v>1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5</v>
      </c>
      <c r="T32" t="n">
        <v>7</v>
      </c>
      <c r="U32" t="n">
        <v>0</v>
      </c>
      <c r="V32" s="2" t="inlineStr">
        <is>
          <t>Dropptaggsvamp
Ullticka
Vaddporing
Vedskivlav
Plattlummer</t>
        </is>
      </c>
      <c r="W32">
        <f>HYPERLINK("https://klasma.github.io/Logging_2080/artfynd/A 23458-2026 artfynd.xlsx", "A 23458-2026")</f>
        <v/>
      </c>
      <c r="X32">
        <f>HYPERLINK("https://klasma.github.io/Logging_2080/kartor/A 23458-2026 karta.png", "A 23458-2026")</f>
        <v/>
      </c>
      <c r="Y32">
        <f>HYPERLINK("https://klasma.github.io/Logging_2080/kartor_geotiff/A 23458-2026 georefererad karta.tif", "A 23458-2026")</f>
        <v/>
      </c>
      <c r="AA32">
        <f>HYPERLINK("https://klasma.github.io/Logging_2080/klagomål/A 23458-2026 FSC-klagomål.docx", "A 23458-2026")</f>
        <v/>
      </c>
      <c r="AB32">
        <f>HYPERLINK("https://klasma.github.io/Logging_2080/klagomålsmail/A 23458-2026 FSC-klagomål mail.docx", "A 23458-2026")</f>
        <v/>
      </c>
      <c r="AC32">
        <f>HYPERLINK("https://klasma.github.io/Logging_2080/tillsyn/A 23458-2026 tillsynsbegäran.docx", "A 23458-2026")</f>
        <v/>
      </c>
      <c r="AD32">
        <f>HYPERLINK("https://klasma.github.io/Logging_2080/tillsynsmail/A 23458-2026 tillsynsbegäran mail.docx", "A 23458-2026")</f>
        <v/>
      </c>
    </row>
    <row r="33" ht="15" customHeight="1">
      <c r="A33" t="inlineStr">
        <is>
          <t>A 8756-2024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45356</v>
      </c>
      <c r="E33" s="1" t="n">
        <v>46314</v>
      </c>
      <c r="F33" t="inlineStr">
        <is>
          <t>DALARNAS LÄN</t>
        </is>
      </c>
      <c r="G33" t="inlineStr">
        <is>
          <t>FALUN</t>
        </is>
      </c>
      <c r="I33" t="n">
        <v>4.1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11</v>
      </c>
      <c r="U33" t="n">
        <v>11</v>
      </c>
      <c r="V33" s="2" t="inlineStr">
        <is>
          <t>Mindre märgborre
Blåbär
Linnea
Spillkråka
Kungsfågel</t>
        </is>
      </c>
      <c r="W33">
        <f>HYPERLINK("https://klasma.github.io/Logging_2080/artfynd/A 8756-2024 artfynd.xlsx", "A 8756-2024")</f>
        <v/>
      </c>
      <c r="X33">
        <f>HYPERLINK("https://klasma.github.io/Logging_2080/kartor/A 8756-2024 karta.png", "A 8756-2024")</f>
        <v/>
      </c>
      <c r="Y33">
        <f>HYPERLINK("https://klasma.github.io/Logging_2080/kartor_geotiff/A 8756-2024 georefererad karta.tif", "A 8756-2024")</f>
        <v/>
      </c>
      <c r="AA33">
        <f>HYPERLINK("https://klasma.github.io/Logging_2080/klagomål/A 8756-2024 FSC-klagomål.docx", "A 8756-2024")</f>
        <v/>
      </c>
      <c r="AB33">
        <f>HYPERLINK("https://klasma.github.io/Logging_2080/klagomålsmail/A 8756-2024 FSC-klagomål mail.docx", "A 8756-2024")</f>
        <v/>
      </c>
      <c r="AC33">
        <f>HYPERLINK("https://klasma.github.io/Logging_2080/tillsyn/A 8756-2024 tillsynsbegäran.docx", "A 8756-2024")</f>
        <v/>
      </c>
      <c r="AD33">
        <f>HYPERLINK("https://klasma.github.io/Logging_2080/tillsynsmail/A 8756-2024 tillsynsbegäran mail.docx", "A 8756-2024")</f>
        <v/>
      </c>
      <c r="AE33">
        <f>HYPERLINK("https://klasma.github.io/Logging_2080/fåglar/A 8756-2024 prioriterade fågelarter.docx", "A 8756-2024")</f>
        <v/>
      </c>
    </row>
    <row r="34" ht="15" customHeight="1">
      <c r="A34" t="inlineStr">
        <is>
          <t>A 14878-2024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45398</v>
      </c>
      <c r="E34" s="1" t="n">
        <v>46314</v>
      </c>
      <c r="F34" t="inlineStr">
        <is>
          <t>DALARNAS LÄN</t>
        </is>
      </c>
      <c r="G34" t="inlineStr">
        <is>
          <t>FALUN</t>
        </is>
      </c>
      <c r="I34" t="n">
        <v>1.2</v>
      </c>
      <c r="J34" t="n">
        <v>3</v>
      </c>
      <c r="K34" t="n">
        <v>0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3</v>
      </c>
      <c r="R34" t="n">
        <v>2</v>
      </c>
      <c r="S34" t="n">
        <v>5</v>
      </c>
      <c r="T34" t="n">
        <v>10</v>
      </c>
      <c r="U34" t="n">
        <v>10</v>
      </c>
      <c r="V34" s="2" t="inlineStr">
        <is>
          <t>Garnlav
Knärot
Dropptaggsvamp
Spillkråka
Tjäder</t>
        </is>
      </c>
      <c r="W34">
        <f>HYPERLINK("https://klasma.github.io/Logging_2080/artfynd/A 14878-2024 artfynd.xlsx", "A 14878-2024")</f>
        <v/>
      </c>
      <c r="X34">
        <f>HYPERLINK("https://klasma.github.io/Logging_2080/kartor/A 14878-2024 karta.png", "A 14878-2024")</f>
        <v/>
      </c>
      <c r="Y34">
        <f>HYPERLINK("https://klasma.github.io/Logging_2080/kartor_geotiff/A 14878-2024 georefererad karta.tif", "A 14878-2024")</f>
        <v/>
      </c>
      <c r="Z34">
        <f>HYPERLINK("https://klasma.github.io/Logging_2080/knärot/A 14878-2024 karta knärot.png", "A 14878-2024")</f>
        <v/>
      </c>
      <c r="AA34">
        <f>HYPERLINK("https://klasma.github.io/Logging_2080/klagomål/A 14878-2024 FSC-klagomål.docx", "A 14878-2024")</f>
        <v/>
      </c>
      <c r="AB34">
        <f>HYPERLINK("https://klasma.github.io/Logging_2080/klagomålsmail/A 14878-2024 FSC-klagomål mail.docx", "A 14878-2024")</f>
        <v/>
      </c>
      <c r="AC34">
        <f>HYPERLINK("https://klasma.github.io/Logging_2080/tillsyn/A 14878-2024 tillsynsbegäran.docx", "A 14878-2024")</f>
        <v/>
      </c>
      <c r="AD34">
        <f>HYPERLINK("https://klasma.github.io/Logging_2080/tillsynsmail/A 14878-2024 tillsynsbegäran mail.docx", "A 14878-2024")</f>
        <v/>
      </c>
      <c r="AE34">
        <f>HYPERLINK("https://klasma.github.io/Logging_2080/fåglar/A 14878-2024 prioriterade fågelarter.docx", "A 14878-2024")</f>
        <v/>
      </c>
    </row>
    <row r="35" ht="15" customHeight="1">
      <c r="A35" t="inlineStr">
        <is>
          <t>S 5083-2024</t>
        </is>
      </c>
      <c r="B35" t="inlineStr">
        <is>
          <t>samrådsanmälan</t>
        </is>
      </c>
      <c r="C35" t="inlineStr">
        <is>
          <t>Annan skogsbruksåtgärd</t>
        </is>
      </c>
      <c r="D35" s="1" t="n">
        <v>45639</v>
      </c>
      <c r="E35" s="1" t="n">
        <v>46314</v>
      </c>
      <c r="F35" t="inlineStr">
        <is>
          <t>DALARNAS LÄN</t>
        </is>
      </c>
      <c r="G35" t="inlineStr">
        <is>
          <t>FALUN</t>
        </is>
      </c>
      <c r="I35" t="n">
        <v>0.9</v>
      </c>
      <c r="J35" t="n">
        <v>1</v>
      </c>
      <c r="K35" t="n">
        <v>1</v>
      </c>
      <c r="L35" t="n">
        <v>2</v>
      </c>
      <c r="M35" t="n">
        <v>2</v>
      </c>
      <c r="N35" t="n">
        <v>0</v>
      </c>
      <c r="O35" t="n">
        <v>0</v>
      </c>
      <c r="P35" t="n">
        <v>0</v>
      </c>
      <c r="Q35" t="n">
        <v>4</v>
      </c>
      <c r="R35" t="n">
        <v>2</v>
      </c>
      <c r="S35" t="n">
        <v>5</v>
      </c>
      <c r="T35" t="n">
        <v>7</v>
      </c>
      <c r="U35" t="n">
        <v>0</v>
      </c>
      <c r="V35" s="2" t="inlineStr">
        <is>
          <t>Garnlav
Knärot
Rynkskinn
Ullticka
Grönpyrola</t>
        </is>
      </c>
      <c r="W35">
        <f>HYPERLINK("https://klasma.github.io/Logging_2080/artfynd/S 5083-2024 artfynd.xlsx", "S 5083-2024")</f>
        <v/>
      </c>
      <c r="X35">
        <f>HYPERLINK("https://klasma.github.io/Logging_2080/kartor/S 5083-2024 karta.png", "S 5083-2024")</f>
        <v/>
      </c>
      <c r="Y35">
        <f>HYPERLINK("https://klasma.github.io/Logging_2080/kartor_geotiff/S 5083-2024 georefererad karta.tif", "S 5083-2024")</f>
        <v/>
      </c>
      <c r="Z35">
        <f>HYPERLINK("https://klasma.github.io/Logging_2080/knärot/S 5083-2024 karta knärot.png", "S 5083-2024")</f>
        <v/>
      </c>
      <c r="AA35">
        <f>HYPERLINK("https://klasma.github.io/Logging_2080/klagomål/S 5083-2024 FSC-klagomål.docx", "S 5083-2024")</f>
        <v/>
      </c>
      <c r="AB35">
        <f>HYPERLINK("https://klasma.github.io/Logging_2080/klagomålsmail/S 5083-2024 FSC-klagomål mail.docx", "S 5083-2024")</f>
        <v/>
      </c>
      <c r="AC35">
        <f>HYPERLINK("https://klasma.github.io/Logging_2080/tillsyn/S 5083-2024 tillsynsbegäran.docx", "S 5083-2024")</f>
        <v/>
      </c>
      <c r="AD35">
        <f>HYPERLINK("https://klasma.github.io/Logging_2080/tillsynsmail/S 5083-2024 tillsynsbegäran mail.docx", "S 5083-2024")</f>
        <v/>
      </c>
    </row>
    <row r="36" ht="15" customHeight="1">
      <c r="A36" t="inlineStr">
        <is>
          <t>S 1270-2026</t>
        </is>
      </c>
      <c r="B36" t="inlineStr">
        <is>
          <t>samrådsanmälan</t>
        </is>
      </c>
      <c r="C36" t="inlineStr">
        <is>
          <t>Askåterföring</t>
        </is>
      </c>
      <c r="D36" s="1" t="n">
        <v>46142</v>
      </c>
      <c r="E36" s="1" t="n">
        <v>46314</v>
      </c>
      <c r="F36" t="inlineStr">
        <is>
          <t>DALARNAS LÄN</t>
        </is>
      </c>
      <c r="G36" t="inlineStr">
        <is>
          <t>FALUN</t>
        </is>
      </c>
      <c r="H36" t="inlineStr">
        <is>
          <t>Sveaskog</t>
        </is>
      </c>
      <c r="I36" t="n">
        <v>12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7</v>
      </c>
      <c r="U36" t="n">
        <v>0</v>
      </c>
      <c r="V36" s="2" t="inlineStr">
        <is>
          <t>Plattlummer
Tjäder
Kopparödla
Vanlig groda
Fläcknycklar</t>
        </is>
      </c>
      <c r="W36">
        <f>HYPERLINK("https://klasma.github.io/Logging_2080/artfynd/S 1270-2026 artfynd.xlsx", "S 1270-2026")</f>
        <v/>
      </c>
      <c r="X36">
        <f>HYPERLINK("https://klasma.github.io/Logging_2080/kartor/S 1270-2026 karta.png", "S 1270-2026")</f>
        <v/>
      </c>
      <c r="Y36">
        <f>HYPERLINK("https://klasma.github.io/Logging_2080/kartor_geotiff/S 1270-2026 georefererad karta.tif", "S 1270-2026")</f>
        <v/>
      </c>
      <c r="AA36">
        <f>HYPERLINK("https://klasma.github.io/Logging_2080/klagomål/S 1270-2026 FSC-klagomål.docx", "S 1270-2026")</f>
        <v/>
      </c>
      <c r="AB36">
        <f>HYPERLINK("https://klasma.github.io/Logging_2080/klagomålsmail/S 1270-2026 FSC-klagomål mail.docx", "S 1270-2026")</f>
        <v/>
      </c>
      <c r="AC36">
        <f>HYPERLINK("https://klasma.github.io/Logging_2080/tillsyn/S 1270-2026 tillsynsbegäran.docx", "S 1270-2026")</f>
        <v/>
      </c>
      <c r="AD36">
        <f>HYPERLINK("https://klasma.github.io/Logging_2080/tillsynsmail/S 1270-2026 tillsynsbegäran mail.docx", "S 1270-2026")</f>
        <v/>
      </c>
      <c r="AE36">
        <f>HYPERLINK("https://klasma.github.io/Logging_2080/fåglar/S 1270-2026 prioriterade fågelarter.docx", "S 1270-2026")</f>
        <v/>
      </c>
    </row>
    <row r="37" ht="15" customHeight="1">
      <c r="A37" t="inlineStr">
        <is>
          <t>A 20167-2022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44698</v>
      </c>
      <c r="E37" s="1" t="n">
        <v>46314</v>
      </c>
      <c r="F37" t="inlineStr">
        <is>
          <t>DALARNAS LÄN</t>
        </is>
      </c>
      <c r="G37" t="inlineStr">
        <is>
          <t>FALUN</t>
        </is>
      </c>
      <c r="H37" t="inlineStr">
        <is>
          <t>Bergvik skog väst AB</t>
        </is>
      </c>
      <c r="I37" t="n">
        <v>1.1</v>
      </c>
      <c r="J37" t="n">
        <v>0</v>
      </c>
      <c r="K37" t="n">
        <v>1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1</v>
      </c>
      <c r="S37" t="n">
        <v>4</v>
      </c>
      <c r="T37" t="n">
        <v>4</v>
      </c>
      <c r="U37" t="n">
        <v>4</v>
      </c>
      <c r="V37" s="2" t="inlineStr">
        <is>
          <t>Garnlav
Kötticka
Vedtrappmossa
Vedticka</t>
        </is>
      </c>
      <c r="W37">
        <f>HYPERLINK("https://klasma.github.io/Logging_2080/artfynd/A 20167-2022 artfynd.xlsx", "A 20167-2022")</f>
        <v/>
      </c>
      <c r="X37">
        <f>HYPERLINK("https://klasma.github.io/Logging_2080/kartor/A 20167-2022 karta.png", "A 20167-2022")</f>
        <v/>
      </c>
      <c r="Y37">
        <f>HYPERLINK("https://klasma.github.io/Logging_2080/kartor_geotiff/A 20167-2022 georefererad karta.tif", "A 20167-2022")</f>
        <v/>
      </c>
      <c r="AA37">
        <f>HYPERLINK("https://klasma.github.io/Logging_2080/klagomål/A 20167-2022 FSC-klagomål.docx", "A 20167-2022")</f>
        <v/>
      </c>
      <c r="AB37">
        <f>HYPERLINK("https://klasma.github.io/Logging_2080/klagomålsmail/A 20167-2022 FSC-klagomål mail.docx", "A 20167-2022")</f>
        <v/>
      </c>
      <c r="AC37">
        <f>HYPERLINK("https://klasma.github.io/Logging_2080/tillsyn/A 20167-2022 tillsynsbegäran.docx", "A 20167-2022")</f>
        <v/>
      </c>
      <c r="AD37">
        <f>HYPERLINK("https://klasma.github.io/Logging_2080/tillsynsmail/A 20167-2022 tillsynsbegäran mail.docx", "A 20167-2022")</f>
        <v/>
      </c>
    </row>
    <row r="38" ht="15" customHeight="1">
      <c r="A38" t="inlineStr">
        <is>
          <t>A 34506-2024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45525</v>
      </c>
      <c r="E38" s="1" t="n">
        <v>46314</v>
      </c>
      <c r="F38" t="inlineStr">
        <is>
          <t>DALARNAS LÄN</t>
        </is>
      </c>
      <c r="G38" t="inlineStr">
        <is>
          <t>FALUN</t>
        </is>
      </c>
      <c r="H38" t="inlineStr">
        <is>
          <t>Bergvik skog väst AB</t>
        </is>
      </c>
      <c r="I38" t="n">
        <v>12.5</v>
      </c>
      <c r="J38" t="n">
        <v>2</v>
      </c>
      <c r="K38" t="n">
        <v>0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1</v>
      </c>
      <c r="S38" t="n">
        <v>4</v>
      </c>
      <c r="T38" t="n">
        <v>4</v>
      </c>
      <c r="U38" t="n">
        <v>4</v>
      </c>
      <c r="V38" s="2" t="inlineStr">
        <is>
          <t>Knärot
Dropptaggsvamp
Tallticka
Tretåig hackspett</t>
        </is>
      </c>
      <c r="W38">
        <f>HYPERLINK("https://klasma.github.io/Logging_2080/artfynd/A 34506-2024 artfynd.xlsx", "A 34506-2024")</f>
        <v/>
      </c>
      <c r="X38">
        <f>HYPERLINK("https://klasma.github.io/Logging_2080/kartor/A 34506-2024 karta.png", "A 34506-2024")</f>
        <v/>
      </c>
      <c r="Y38">
        <f>HYPERLINK("https://klasma.github.io/Logging_2080/kartor_geotiff/A 34506-2024 georefererad karta.tif", "A 34506-2024")</f>
        <v/>
      </c>
      <c r="Z38">
        <f>HYPERLINK("https://klasma.github.io/Logging_2080/knärot/A 34506-2024 karta knärot.png", "A 34506-2024")</f>
        <v/>
      </c>
      <c r="AA38">
        <f>HYPERLINK("https://klasma.github.io/Logging_2080/klagomål/A 34506-2024 FSC-klagomål.docx", "A 34506-2024")</f>
        <v/>
      </c>
      <c r="AB38">
        <f>HYPERLINK("https://klasma.github.io/Logging_2080/klagomålsmail/A 34506-2024 FSC-klagomål mail.docx", "A 34506-2024")</f>
        <v/>
      </c>
      <c r="AC38">
        <f>HYPERLINK("https://klasma.github.io/Logging_2080/tillsyn/A 34506-2024 tillsynsbegäran.docx", "A 34506-2024")</f>
        <v/>
      </c>
      <c r="AD38">
        <f>HYPERLINK("https://klasma.github.io/Logging_2080/tillsynsmail/A 34506-2024 tillsynsbegäran mail.docx", "A 34506-2024")</f>
        <v/>
      </c>
      <c r="AE38">
        <f>HYPERLINK("https://klasma.github.io/Logging_2080/fåglar/A 34506-2024 prioriterade fågelarter.docx", "A 34506-2024")</f>
        <v/>
      </c>
    </row>
    <row r="39" ht="15" customHeight="1">
      <c r="A39" t="inlineStr">
        <is>
          <t>A 643-2026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46029</v>
      </c>
      <c r="E39" s="1" t="n">
        <v>46314</v>
      </c>
      <c r="F39" t="inlineStr">
        <is>
          <t>DALARNAS LÄN</t>
        </is>
      </c>
      <c r="G39" t="inlineStr">
        <is>
          <t>FALUN</t>
        </is>
      </c>
      <c r="I39" t="n">
        <v>41.8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7</v>
      </c>
      <c r="U39" t="n">
        <v>1</v>
      </c>
      <c r="V39" s="2" t="inlineStr">
        <is>
          <t>Dropptaggsvamp
Tjäder
Större vattensalamander
Skogsödla</t>
        </is>
      </c>
      <c r="W39">
        <f>HYPERLINK("https://klasma.github.io/Logging_2080/artfynd/A 643-2026 artfynd.xlsx", "A 643-2026")</f>
        <v/>
      </c>
      <c r="X39">
        <f>HYPERLINK("https://klasma.github.io/Logging_2080/kartor/A 643-2026 karta.png", "A 643-2026")</f>
        <v/>
      </c>
      <c r="Y39">
        <f>HYPERLINK("https://klasma.github.io/Logging_2080/kartor_geotiff/A 643-2026 georefererad karta.tif", "A 643-2026")</f>
        <v/>
      </c>
      <c r="AA39">
        <f>HYPERLINK("https://klasma.github.io/Logging_2080/klagomål/A 643-2026 FSC-klagomål.docx", "A 643-2026")</f>
        <v/>
      </c>
      <c r="AB39">
        <f>HYPERLINK("https://klasma.github.io/Logging_2080/klagomålsmail/A 643-2026 FSC-klagomål mail.docx", "A 643-2026")</f>
        <v/>
      </c>
      <c r="AC39">
        <f>HYPERLINK("https://klasma.github.io/Logging_2080/tillsyn/A 643-2026 tillsynsbegäran.docx", "A 643-2026")</f>
        <v/>
      </c>
      <c r="AD39">
        <f>HYPERLINK("https://klasma.github.io/Logging_2080/tillsynsmail/A 643-2026 tillsynsbegäran mail.docx", "A 643-2026")</f>
        <v/>
      </c>
      <c r="AE39">
        <f>HYPERLINK("https://klasma.github.io/Logging_2080/fåglar/A 643-2026 prioriterade fågelarter.docx", "A 643-2026")</f>
        <v/>
      </c>
    </row>
    <row r="40" ht="15" customHeight="1">
      <c r="A40" t="inlineStr">
        <is>
          <t>A 55132-2024</t>
        </is>
      </c>
      <c r="B40" t="inlineStr">
        <is>
          <t>avverkningsanmälan</t>
        </is>
      </c>
      <c r="C40" t="inlineStr">
        <is>
          <t>Avverkning för att bevara och utveckla /försöksver</t>
        </is>
      </c>
      <c r="D40" s="1" t="n">
        <v>45621</v>
      </c>
      <c r="E40" s="1" t="n">
        <v>46314</v>
      </c>
      <c r="F40" t="inlineStr">
        <is>
          <t>DALARNAS LÄN</t>
        </is>
      </c>
      <c r="G40" t="inlineStr">
        <is>
          <t>FALUN</t>
        </is>
      </c>
      <c r="H40" t="inlineStr">
        <is>
          <t>Bergvik skog väst AB</t>
        </is>
      </c>
      <c r="I40" t="n">
        <v>16.9</v>
      </c>
      <c r="J40" t="n">
        <v>0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6</v>
      </c>
      <c r="U40" t="n">
        <v>1</v>
      </c>
      <c r="V40" s="2" t="inlineStr">
        <is>
          <t>Gullpudra
Gultoppig fingersvamp
Papegojvaxing
Tibast</t>
        </is>
      </c>
      <c r="W40">
        <f>HYPERLINK("https://klasma.github.io/Logging_2080/artfynd/A 55132-2024 artfynd.xlsx", "A 55132-2024")</f>
        <v/>
      </c>
      <c r="X40">
        <f>HYPERLINK("https://klasma.github.io/Logging_2080/kartor/A 55132-2024 karta.png", "A 55132-2024")</f>
        <v/>
      </c>
      <c r="Y40">
        <f>HYPERLINK("https://klasma.github.io/Logging_2080/kartor_geotiff/A 55132-2024 georefererad karta.tif", "A 55132-2024")</f>
        <v/>
      </c>
      <c r="AA40">
        <f>HYPERLINK("https://klasma.github.io/Logging_2080/klagomål/A 55132-2024 FSC-klagomål.docx", "A 55132-2024")</f>
        <v/>
      </c>
      <c r="AB40">
        <f>HYPERLINK("https://klasma.github.io/Logging_2080/klagomålsmail/A 55132-2024 FSC-klagomål mail.docx", "A 55132-2024")</f>
        <v/>
      </c>
      <c r="AC40">
        <f>HYPERLINK("https://klasma.github.io/Logging_2080/tillsyn/A 55132-2024 tillsynsbegäran.docx", "A 55132-2024")</f>
        <v/>
      </c>
      <c r="AD40">
        <f>HYPERLINK("https://klasma.github.io/Logging_2080/tillsynsmail/A 55132-2024 tillsynsbegäran mail.docx", "A 55132-2024")</f>
        <v/>
      </c>
    </row>
    <row r="41" ht="15" customHeight="1">
      <c r="A41" t="inlineStr">
        <is>
          <t>A 14313-2026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46099</v>
      </c>
      <c r="E41" s="1" t="n">
        <v>46314</v>
      </c>
      <c r="F41" t="inlineStr">
        <is>
          <t>DALARNAS LÄN</t>
        </is>
      </c>
      <c r="G41" t="inlineStr">
        <is>
          <t>FALUN</t>
        </is>
      </c>
      <c r="H41" t="inlineStr">
        <is>
          <t>Bergvik skog väst AB</t>
        </is>
      </c>
      <c r="I41" t="n">
        <v>39.7</v>
      </c>
      <c r="J41" t="n">
        <v>2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4</v>
      </c>
      <c r="T41" t="n">
        <v>9</v>
      </c>
      <c r="U41" t="n">
        <v>0</v>
      </c>
      <c r="V41" s="2" t="inlineStr">
        <is>
          <t>Kolflarnlav
Motaggsvamp
Fläcknycklar
Revlummer</t>
        </is>
      </c>
      <c r="W41">
        <f>HYPERLINK("https://klasma.github.io/Logging_2080/artfynd/A 14313-2026 artfynd.xlsx", "A 14313-2026")</f>
        <v/>
      </c>
      <c r="X41">
        <f>HYPERLINK("https://klasma.github.io/Logging_2080/kartor/A 14313-2026 karta.png", "A 14313-2026")</f>
        <v/>
      </c>
      <c r="Y41">
        <f>HYPERLINK("https://klasma.github.io/Logging_2080/kartor_geotiff/A 14313-2026 georefererad karta.tif", "A 14313-2026")</f>
        <v/>
      </c>
      <c r="AA41">
        <f>HYPERLINK("https://klasma.github.io/Logging_2080/klagomål/A 14313-2026 FSC-klagomål.docx", "A 14313-2026")</f>
        <v/>
      </c>
      <c r="AB41">
        <f>HYPERLINK("https://klasma.github.io/Logging_2080/klagomålsmail/A 14313-2026 FSC-klagomål mail.docx", "A 14313-2026")</f>
        <v/>
      </c>
      <c r="AC41">
        <f>HYPERLINK("https://klasma.github.io/Logging_2080/tillsyn/A 14313-2026 tillsynsbegäran.docx", "A 14313-2026")</f>
        <v/>
      </c>
      <c r="AD41">
        <f>HYPERLINK("https://klasma.github.io/Logging_2080/tillsynsmail/A 14313-2026 tillsynsbegäran mail.docx", "A 14313-2026")</f>
        <v/>
      </c>
    </row>
    <row r="42" ht="15" customHeight="1">
      <c r="A42" t="inlineStr">
        <is>
          <t>A 371-2026</t>
        </is>
      </c>
      <c r="B42" t="inlineStr">
        <is>
          <t>avverkningsanmälan</t>
        </is>
      </c>
      <c r="C42" t="inlineStr">
        <is>
          <t>Avverkning för annat ändamål</t>
        </is>
      </c>
      <c r="D42" s="1" t="n">
        <v>46027</v>
      </c>
      <c r="E42" s="1" t="n">
        <v>46314</v>
      </c>
      <c r="F42" t="inlineStr">
        <is>
          <t>DALARNAS LÄN</t>
        </is>
      </c>
      <c r="G42" t="inlineStr">
        <is>
          <t>FALUN</t>
        </is>
      </c>
      <c r="I42" t="n">
        <v>0.5</v>
      </c>
      <c r="J42" t="n">
        <v>1</v>
      </c>
      <c r="K42" t="n">
        <v>2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4</v>
      </c>
      <c r="T42" t="n">
        <v>10</v>
      </c>
      <c r="U42" t="n">
        <v>10</v>
      </c>
      <c r="V42" s="2" t="inlineStr">
        <is>
          <t>Garnlav
Tretåig hackspett
Bronshjon
Mindre märgborre</t>
        </is>
      </c>
      <c r="W42">
        <f>HYPERLINK("https://klasma.github.io/Logging_2080/artfynd/A 371-2026 artfynd.xlsx", "A 371-2026")</f>
        <v/>
      </c>
      <c r="X42">
        <f>HYPERLINK("https://klasma.github.io/Logging_2080/kartor/A 371-2026 karta.png", "A 371-2026")</f>
        <v/>
      </c>
      <c r="Y42">
        <f>HYPERLINK("https://klasma.github.io/Logging_2080/kartor_geotiff/A 371-2026 georefererad karta.tif", "A 371-2026")</f>
        <v/>
      </c>
      <c r="AA42">
        <f>HYPERLINK("https://klasma.github.io/Logging_2080/klagomål/A 371-2026 FSC-klagomål.docx", "A 371-2026")</f>
        <v/>
      </c>
      <c r="AB42">
        <f>HYPERLINK("https://klasma.github.io/Logging_2080/klagomålsmail/A 371-2026 FSC-klagomål mail.docx", "A 371-2026")</f>
        <v/>
      </c>
      <c r="AC42">
        <f>HYPERLINK("https://klasma.github.io/Logging_2080/tillsyn/A 371-2026 tillsynsbegäran.docx", "A 371-2026")</f>
        <v/>
      </c>
      <c r="AD42">
        <f>HYPERLINK("https://klasma.github.io/Logging_2080/tillsynsmail/A 371-2026 tillsynsbegäran mail.docx", "A 371-2026")</f>
        <v/>
      </c>
      <c r="AE42">
        <f>HYPERLINK("https://klasma.github.io/Logging_2080/fåglar/A 371-2026 prioriterade fågelarter.docx", "A 371-2026")</f>
        <v/>
      </c>
    </row>
    <row r="43" ht="15" customHeight="1">
      <c r="A43" t="inlineStr">
        <is>
          <t>A 54309-2022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44882</v>
      </c>
      <c r="E43" s="1" t="n">
        <v>46314</v>
      </c>
      <c r="F43" t="inlineStr">
        <is>
          <t>DALARNAS LÄN</t>
        </is>
      </c>
      <c r="G43" t="inlineStr">
        <is>
          <t>FALUN</t>
        </is>
      </c>
      <c r="I43" t="n">
        <v>1.5</v>
      </c>
      <c r="J43" t="n">
        <v>4</v>
      </c>
      <c r="K43" t="n">
        <v>0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3</v>
      </c>
      <c r="R43" t="n">
        <v>2</v>
      </c>
      <c r="S43" t="n">
        <v>4</v>
      </c>
      <c r="T43" t="n">
        <v>4</v>
      </c>
      <c r="U43" t="n">
        <v>3</v>
      </c>
      <c r="V43" s="2" t="inlineStr">
        <is>
          <t>Brun gräsfjäril
Tornseglare
Ladusvala
Svartvit flugsnappare</t>
        </is>
      </c>
      <c r="W43">
        <f>HYPERLINK("https://klasma.github.io/Logging_2080/artfynd/A 54309-2022 artfynd.xlsx", "A 54309-2022")</f>
        <v/>
      </c>
      <c r="X43">
        <f>HYPERLINK("https://klasma.github.io/Logging_2080/kartor/A 54309-2022 karta.png", "A 54309-2022")</f>
        <v/>
      </c>
      <c r="Y43">
        <f>HYPERLINK("https://klasma.github.io/Logging_2080/kartor_geotiff/A 54309-2022 georefererad karta.tif", "A 54309-2022")</f>
        <v/>
      </c>
      <c r="AA43">
        <f>HYPERLINK("https://klasma.github.io/Logging_2080/klagomål/A 54309-2022 FSC-klagomål.docx", "A 54309-2022")</f>
        <v/>
      </c>
      <c r="AB43">
        <f>HYPERLINK("https://klasma.github.io/Logging_2080/klagomålsmail/A 54309-2022 FSC-klagomål mail.docx", "A 54309-2022")</f>
        <v/>
      </c>
      <c r="AC43">
        <f>HYPERLINK("https://klasma.github.io/Logging_2080/tillsyn/A 54309-2022 tillsynsbegäran.docx", "A 54309-2022")</f>
        <v/>
      </c>
      <c r="AD43">
        <f>HYPERLINK("https://klasma.github.io/Logging_2080/tillsynsmail/A 54309-2022 tillsynsbegäran mail.docx", "A 54309-2022")</f>
        <v/>
      </c>
      <c r="AE43">
        <f>HYPERLINK("https://klasma.github.io/Logging_2080/fåglar/A 54309-2022 prioriterade fågelarter.docx", "A 54309-2022")</f>
        <v/>
      </c>
    </row>
    <row r="44" ht="15" customHeight="1">
      <c r="A44" t="inlineStr">
        <is>
          <t>A 28173-2026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46195</v>
      </c>
      <c r="E44" s="1" t="n">
        <v>46314</v>
      </c>
      <c r="F44" t="inlineStr">
        <is>
          <t>DALARNAS LÄN</t>
        </is>
      </c>
      <c r="G44" t="inlineStr">
        <is>
          <t>FALUN</t>
        </is>
      </c>
      <c r="H44" t="inlineStr">
        <is>
          <t>Bergvik skog väst AB</t>
        </is>
      </c>
      <c r="I44" t="n">
        <v>3.8</v>
      </c>
      <c r="J44" t="n">
        <v>1</v>
      </c>
      <c r="K44" t="n">
        <v>0</v>
      </c>
      <c r="L44" t="n">
        <v>3</v>
      </c>
      <c r="M44" t="n">
        <v>1</v>
      </c>
      <c r="N44" t="n">
        <v>0</v>
      </c>
      <c r="O44" t="n">
        <v>0</v>
      </c>
      <c r="P44" t="n">
        <v>0</v>
      </c>
      <c r="Q44" t="n">
        <v>4</v>
      </c>
      <c r="R44" t="n">
        <v>1</v>
      </c>
      <c r="S44" t="n">
        <v>4</v>
      </c>
      <c r="T44" t="n">
        <v>11</v>
      </c>
      <c r="U44" t="n">
        <v>11</v>
      </c>
      <c r="V44" s="2" t="inlineStr">
        <is>
          <t>Garnlav
Rosenticka
Tallticka
Tretåig hackspett</t>
        </is>
      </c>
      <c r="W44">
        <f>HYPERLINK("https://klasma.github.io/Logging_2080/artfynd/A 28173-2026 artfynd.xlsx", "A 28173-2026")</f>
        <v/>
      </c>
      <c r="X44">
        <f>HYPERLINK("https://klasma.github.io/Logging_2080/kartor/A 28173-2026 karta.png", "A 28173-2026")</f>
        <v/>
      </c>
      <c r="Y44">
        <f>HYPERLINK("https://klasma.github.io/Logging_2080/kartor_geotiff/A 28173-2026 georefererad karta.tif", "A 28173-2026")</f>
        <v/>
      </c>
      <c r="AA44">
        <f>HYPERLINK("https://klasma.github.io/Logging_2080/klagomål/A 28173-2026 FSC-klagomål.docx", "A 28173-2026")</f>
        <v/>
      </c>
      <c r="AB44">
        <f>HYPERLINK("https://klasma.github.io/Logging_2080/klagomålsmail/A 28173-2026 FSC-klagomål mail.docx", "A 28173-2026")</f>
        <v/>
      </c>
      <c r="AC44">
        <f>HYPERLINK("https://klasma.github.io/Logging_2080/tillsyn/A 28173-2026 tillsynsbegäran.docx", "A 28173-2026")</f>
        <v/>
      </c>
      <c r="AD44">
        <f>HYPERLINK("https://klasma.github.io/Logging_2080/tillsynsmail/A 28173-2026 tillsynsbegäran mail.docx", "A 28173-2026")</f>
        <v/>
      </c>
      <c r="AE44">
        <f>HYPERLINK("https://klasma.github.io/Logging_2080/fåglar/A 28173-2026 prioriterade fågelarter.docx", "A 28173-2026")</f>
        <v/>
      </c>
    </row>
    <row r="45" ht="15" customHeight="1">
      <c r="A45" t="inlineStr">
        <is>
          <t>A 1439-2023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44937</v>
      </c>
      <c r="E45" s="1" t="n">
        <v>46314</v>
      </c>
      <c r="F45" t="inlineStr">
        <is>
          <t>DALARNAS LÄN</t>
        </is>
      </c>
      <c r="G45" t="inlineStr">
        <is>
          <t>FALUN</t>
        </is>
      </c>
      <c r="I45" t="n">
        <v>8.1</v>
      </c>
      <c r="J45" t="n">
        <v>4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4</v>
      </c>
      <c r="T45" t="n">
        <v>4</v>
      </c>
      <c r="U45" t="n">
        <v>4</v>
      </c>
      <c r="V45" s="2" t="inlineStr">
        <is>
          <t>Enkelbeckasin
Gråspett
Spillkråka
Törnskata</t>
        </is>
      </c>
      <c r="W45">
        <f>HYPERLINK("https://klasma.github.io/Logging_2080/artfynd/A 1439-2023 artfynd.xlsx", "A 1439-2023")</f>
        <v/>
      </c>
      <c r="X45">
        <f>HYPERLINK("https://klasma.github.io/Logging_2080/kartor/A 1439-2023 karta.png", "A 1439-2023")</f>
        <v/>
      </c>
      <c r="Y45">
        <f>HYPERLINK("https://klasma.github.io/Logging_2080/kartor_geotiff/A 1439-2023 georefererad karta.tif", "A 1439-2023")</f>
        <v/>
      </c>
      <c r="AA45">
        <f>HYPERLINK("https://klasma.github.io/Logging_2080/klagomål/A 1439-2023 FSC-klagomål.docx", "A 1439-2023")</f>
        <v/>
      </c>
      <c r="AB45">
        <f>HYPERLINK("https://klasma.github.io/Logging_2080/klagomålsmail/A 1439-2023 FSC-klagomål mail.docx", "A 1439-2023")</f>
        <v/>
      </c>
      <c r="AC45">
        <f>HYPERLINK("https://klasma.github.io/Logging_2080/tillsyn/A 1439-2023 tillsynsbegäran.docx", "A 1439-2023")</f>
        <v/>
      </c>
      <c r="AD45">
        <f>HYPERLINK("https://klasma.github.io/Logging_2080/tillsynsmail/A 1439-2023 tillsynsbegäran mail.docx", "A 1439-2023")</f>
        <v/>
      </c>
      <c r="AE45">
        <f>HYPERLINK("https://klasma.github.io/Logging_2080/fåglar/A 1439-2023 prioriterade fågelarter.docx", "A 1439-2023")</f>
        <v/>
      </c>
    </row>
    <row r="46" ht="15" customHeight="1">
      <c r="A46" t="inlineStr">
        <is>
          <t>A 4532-2024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45327</v>
      </c>
      <c r="E46" s="1" t="n">
        <v>46314</v>
      </c>
      <c r="F46" t="inlineStr">
        <is>
          <t>DALARNAS LÄN</t>
        </is>
      </c>
      <c r="G46" t="inlineStr">
        <is>
          <t>FALUN</t>
        </is>
      </c>
      <c r="I46" t="n">
        <v>4.6</v>
      </c>
      <c r="J46" t="n">
        <v>1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4</v>
      </c>
      <c r="T46" t="n">
        <v>4</v>
      </c>
      <c r="U46" t="n">
        <v>0</v>
      </c>
      <c r="V46" s="2" t="inlineStr">
        <is>
          <t>Vedtrappmossa
Stuplav
Vedticka
Tjäder</t>
        </is>
      </c>
      <c r="W46">
        <f>HYPERLINK("https://klasma.github.io/Logging_2080/artfynd/A 4532-2024 artfynd.xlsx", "A 4532-2024")</f>
        <v/>
      </c>
      <c r="X46">
        <f>HYPERLINK("https://klasma.github.io/Logging_2080/kartor/A 4532-2024 karta.png", "A 4532-2024")</f>
        <v/>
      </c>
      <c r="Y46">
        <f>HYPERLINK("https://klasma.github.io/Logging_2080/kartor_geotiff/A 4532-2024 georefererad karta.tif", "A 4532-2024")</f>
        <v/>
      </c>
      <c r="AA46">
        <f>HYPERLINK("https://klasma.github.io/Logging_2080/klagomål/A 4532-2024 FSC-klagomål.docx", "A 4532-2024")</f>
        <v/>
      </c>
      <c r="AB46">
        <f>HYPERLINK("https://klasma.github.io/Logging_2080/klagomålsmail/A 4532-2024 FSC-klagomål mail.docx", "A 4532-2024")</f>
        <v/>
      </c>
      <c r="AC46">
        <f>HYPERLINK("https://klasma.github.io/Logging_2080/tillsyn/A 4532-2024 tillsynsbegäran.docx", "A 4532-2024")</f>
        <v/>
      </c>
      <c r="AD46">
        <f>HYPERLINK("https://klasma.github.io/Logging_2080/tillsynsmail/A 4532-2024 tillsynsbegäran mail.docx", "A 4532-2024")</f>
        <v/>
      </c>
      <c r="AE46">
        <f>HYPERLINK("https://klasma.github.io/Logging_2080/fåglar/A 4532-2024 prioriterade fågelarter.docx", "A 4532-2024")</f>
        <v/>
      </c>
    </row>
    <row r="47" ht="15" customHeight="1">
      <c r="A47" t="inlineStr">
        <is>
          <t>A 40905-2026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46297</v>
      </c>
      <c r="E47" s="1" t="n">
        <v>46314</v>
      </c>
      <c r="F47" t="inlineStr">
        <is>
          <t>DALARNAS LÄN</t>
        </is>
      </c>
      <c r="G47" t="inlineStr">
        <is>
          <t>FALUN</t>
        </is>
      </c>
      <c r="I47" t="n">
        <v>3.2</v>
      </c>
      <c r="J47" t="n">
        <v>3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4</v>
      </c>
      <c r="T47" t="n">
        <v>9</v>
      </c>
      <c r="U47" t="n">
        <v>9</v>
      </c>
      <c r="V47" s="2" t="inlineStr">
        <is>
          <t>Knärot
Bronshjon
Blåsippa
Spillkråka</t>
        </is>
      </c>
      <c r="W47">
        <f>HYPERLINK("https://klasma.github.io/Logging_2080/artfynd/A 40905-2026 artfynd.xlsx", "A 40905-2026")</f>
        <v/>
      </c>
      <c r="X47">
        <f>HYPERLINK("https://klasma.github.io/Logging_2080/kartor/A 40905-2026 karta.png", "A 40905-2026")</f>
        <v/>
      </c>
      <c r="Y47">
        <f>HYPERLINK("https://klasma.github.io/Logging_2080/kartor_geotiff/A 40905-2026 georefererad karta.tif", "A 40905-2026")</f>
        <v/>
      </c>
      <c r="Z47">
        <f>HYPERLINK("https://klasma.github.io/Logging_2080/knärot/A 40905-2026 karta knärot.png", "A 40905-2026")</f>
        <v/>
      </c>
      <c r="AA47">
        <f>HYPERLINK("https://klasma.github.io/Logging_2080/klagomål/A 40905-2026 FSC-klagomål.docx", "A 40905-2026")</f>
        <v/>
      </c>
      <c r="AB47">
        <f>HYPERLINK("https://klasma.github.io/Logging_2080/klagomålsmail/A 40905-2026 FSC-klagomål mail.docx", "A 40905-2026")</f>
        <v/>
      </c>
      <c r="AC47">
        <f>HYPERLINK("https://klasma.github.io/Logging_2080/tillsyn/A 40905-2026 tillsynsbegäran.docx", "A 40905-2026")</f>
        <v/>
      </c>
      <c r="AD47">
        <f>HYPERLINK("https://klasma.github.io/Logging_2080/tillsynsmail/A 40905-2026 tillsynsbegäran mail.docx", "A 40905-2026")</f>
        <v/>
      </c>
      <c r="AE47">
        <f>HYPERLINK("https://klasma.github.io/Logging_2080/fåglar/A 40905-2026 prioriterade fågelarter.docx", "A 40905-2026")</f>
        <v/>
      </c>
    </row>
    <row r="48" ht="15" customHeight="1">
      <c r="A48" t="inlineStr">
        <is>
          <t>A 28119-2025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45818</v>
      </c>
      <c r="E48" s="1" t="n">
        <v>46314</v>
      </c>
      <c r="F48" t="inlineStr">
        <is>
          <t>DALARNAS LÄN</t>
        </is>
      </c>
      <c r="G48" t="inlineStr">
        <is>
          <t>FALUN</t>
        </is>
      </c>
      <c r="I48" t="n">
        <v>7.4</v>
      </c>
      <c r="J48" t="n">
        <v>3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4</v>
      </c>
      <c r="T48" t="n">
        <v>4</v>
      </c>
      <c r="U48" t="n">
        <v>1</v>
      </c>
      <c r="V48" s="2" t="inlineStr">
        <is>
          <t>Tallticka
Bred kärrtrollslända
Pudrad kärrtrollslända
Vattenfladdermus</t>
        </is>
      </c>
      <c r="W48">
        <f>HYPERLINK("https://klasma.github.io/Logging_2080/artfynd/A 28119-2025 artfynd.xlsx", "A 28119-2025")</f>
        <v/>
      </c>
      <c r="X48">
        <f>HYPERLINK("https://klasma.github.io/Logging_2080/kartor/A 28119-2025 karta.png", "A 28119-2025")</f>
        <v/>
      </c>
      <c r="Y48">
        <f>HYPERLINK("https://klasma.github.io/Logging_2080/kartor_geotiff/A 28119-2025 georefererad karta.tif", "A 28119-2025")</f>
        <v/>
      </c>
      <c r="AA48">
        <f>HYPERLINK("https://klasma.github.io/Logging_2080/klagomål/A 28119-2025 FSC-klagomål.docx", "A 28119-2025")</f>
        <v/>
      </c>
      <c r="AB48">
        <f>HYPERLINK("https://klasma.github.io/Logging_2080/klagomålsmail/A 28119-2025 FSC-klagomål mail.docx", "A 28119-2025")</f>
        <v/>
      </c>
      <c r="AC48">
        <f>HYPERLINK("https://klasma.github.io/Logging_2080/tillsyn/A 28119-2025 tillsynsbegäran.docx", "A 28119-2025")</f>
        <v/>
      </c>
      <c r="AD48">
        <f>HYPERLINK("https://klasma.github.io/Logging_2080/tillsynsmail/A 28119-2025 tillsynsbegäran mail.docx", "A 28119-2025")</f>
        <v/>
      </c>
    </row>
    <row r="49" ht="15" customHeight="1">
      <c r="A49" t="inlineStr">
        <is>
          <t>A 33525-2025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45841</v>
      </c>
      <c r="E49" s="1" t="n">
        <v>46314</v>
      </c>
      <c r="F49" t="inlineStr">
        <is>
          <t>DALARNAS LÄN</t>
        </is>
      </c>
      <c r="G49" t="inlineStr">
        <is>
          <t>FALUN</t>
        </is>
      </c>
      <c r="H49" t="inlineStr">
        <is>
          <t>Bergvik skog väst AB</t>
        </is>
      </c>
      <c r="I49" t="n">
        <v>0.6</v>
      </c>
      <c r="J49" t="n">
        <v>0</v>
      </c>
      <c r="K49" t="n">
        <v>0</v>
      </c>
      <c r="L49" t="n">
        <v>3</v>
      </c>
      <c r="M49" t="n">
        <v>1</v>
      </c>
      <c r="N49" t="n">
        <v>0</v>
      </c>
      <c r="O49" t="n">
        <v>0</v>
      </c>
      <c r="P49" t="n">
        <v>0</v>
      </c>
      <c r="Q49" t="n">
        <v>4</v>
      </c>
      <c r="R49" t="n">
        <v>1</v>
      </c>
      <c r="S49" t="n">
        <v>4</v>
      </c>
      <c r="T49" t="n">
        <v>5</v>
      </c>
      <c r="U49" t="n">
        <v>0</v>
      </c>
      <c r="V49" s="2" t="inlineStr">
        <is>
          <t>Garnlav
Dropptaggsvamp
Ullticka
Vedskivlav</t>
        </is>
      </c>
      <c r="W49">
        <f>HYPERLINK("https://klasma.github.io/Logging_2080/artfynd/A 33525-2025 artfynd.xlsx", "A 33525-2025")</f>
        <v/>
      </c>
      <c r="X49">
        <f>HYPERLINK("https://klasma.github.io/Logging_2080/kartor/A 33525-2025 karta.png", "A 33525-2025")</f>
        <v/>
      </c>
      <c r="Y49">
        <f>HYPERLINK("https://klasma.github.io/Logging_2080/kartor_geotiff/A 33525-2025 georefererad karta.tif", "A 33525-2025")</f>
        <v/>
      </c>
      <c r="AA49">
        <f>HYPERLINK("https://klasma.github.io/Logging_2080/klagomål/A 33525-2025 FSC-klagomål.docx", "A 33525-2025")</f>
        <v/>
      </c>
      <c r="AB49">
        <f>HYPERLINK("https://klasma.github.io/Logging_2080/klagomålsmail/A 33525-2025 FSC-klagomål mail.docx", "A 33525-2025")</f>
        <v/>
      </c>
      <c r="AC49">
        <f>HYPERLINK("https://klasma.github.io/Logging_2080/tillsyn/A 33525-2025 tillsynsbegäran.docx", "A 33525-2025")</f>
        <v/>
      </c>
      <c r="AD49">
        <f>HYPERLINK("https://klasma.github.io/Logging_2080/tillsynsmail/A 33525-2025 tillsynsbegäran mail.docx", "A 33525-2025")</f>
        <v/>
      </c>
    </row>
    <row r="50" ht="15" customHeight="1">
      <c r="A50" t="inlineStr">
        <is>
          <t>A 36197-2025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45867</v>
      </c>
      <c r="E50" s="1" t="n">
        <v>46314</v>
      </c>
      <c r="F50" t="inlineStr">
        <is>
          <t>DALARNAS LÄN</t>
        </is>
      </c>
      <c r="G50" t="inlineStr">
        <is>
          <t>FALUN</t>
        </is>
      </c>
      <c r="H50" t="inlineStr">
        <is>
          <t>Bergvik skog väst AB</t>
        </is>
      </c>
      <c r="I50" t="n">
        <v>27.9</v>
      </c>
      <c r="J50" t="n">
        <v>1</v>
      </c>
      <c r="K50" t="n">
        <v>1</v>
      </c>
      <c r="L50" t="n">
        <v>2</v>
      </c>
      <c r="M50" t="n">
        <v>1</v>
      </c>
      <c r="N50" t="n">
        <v>0</v>
      </c>
      <c r="O50" t="n">
        <v>0</v>
      </c>
      <c r="P50" t="n">
        <v>0</v>
      </c>
      <c r="Q50" t="n">
        <v>3</v>
      </c>
      <c r="R50" t="n">
        <v>1</v>
      </c>
      <c r="S50" t="n">
        <v>4</v>
      </c>
      <c r="T50" t="n">
        <v>19</v>
      </c>
      <c r="U50" t="n">
        <v>19</v>
      </c>
      <c r="V50" s="2" t="inlineStr">
        <is>
          <t>Knärot
Rynkskinn
Skarp dropptaggsvamp
Svavelriska</t>
        </is>
      </c>
      <c r="W50">
        <f>HYPERLINK("https://klasma.github.io/Logging_2080/artfynd/A 36197-2025 artfynd.xlsx", "A 36197-2025")</f>
        <v/>
      </c>
      <c r="X50">
        <f>HYPERLINK("https://klasma.github.io/Logging_2080/kartor/A 36197-2025 karta.png", "A 36197-2025")</f>
        <v/>
      </c>
      <c r="Y50">
        <f>HYPERLINK("https://klasma.github.io/Logging_2080/kartor_geotiff/A 36197-2025 georefererad karta.tif", "A 36197-2025")</f>
        <v/>
      </c>
      <c r="Z50">
        <f>HYPERLINK("https://klasma.github.io/Logging_2080/knärot/A 36197-2025 karta knärot.png", "A 36197-2025")</f>
        <v/>
      </c>
      <c r="AA50">
        <f>HYPERLINK("https://klasma.github.io/Logging_2080/klagomål/A 36197-2025 FSC-klagomål.docx", "A 36197-2025")</f>
        <v/>
      </c>
      <c r="AB50">
        <f>HYPERLINK("https://klasma.github.io/Logging_2080/klagomålsmail/A 36197-2025 FSC-klagomål mail.docx", "A 36197-2025")</f>
        <v/>
      </c>
      <c r="AC50">
        <f>HYPERLINK("https://klasma.github.io/Logging_2080/tillsyn/A 36197-2025 tillsynsbegäran.docx", "A 36197-2025")</f>
        <v/>
      </c>
      <c r="AD50">
        <f>HYPERLINK("https://klasma.github.io/Logging_2080/tillsynsmail/A 36197-2025 tillsynsbegäran mail.docx", "A 36197-2025")</f>
        <v/>
      </c>
    </row>
    <row r="51" ht="15" customHeight="1">
      <c r="A51" t="inlineStr">
        <is>
          <t>S 582-2024</t>
        </is>
      </c>
      <c r="B51" t="inlineStr">
        <is>
          <t>samrådsanmälan</t>
        </is>
      </c>
      <c r="C51" t="inlineStr">
        <is>
          <t>Skogsgödsling</t>
        </is>
      </c>
      <c r="D51" s="1" t="n">
        <v>45351</v>
      </c>
      <c r="E51" s="1" t="n">
        <v>46314</v>
      </c>
      <c r="F51" t="inlineStr">
        <is>
          <t>DALARNAS LÄN</t>
        </is>
      </c>
      <c r="G51" t="inlineStr">
        <is>
          <t>FALUN</t>
        </is>
      </c>
      <c r="H51" t="inlineStr">
        <is>
          <t>Bergvik skog väst AB</t>
        </is>
      </c>
      <c r="I51" t="n">
        <v>571</v>
      </c>
      <c r="J51" t="n">
        <v>1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4</v>
      </c>
      <c r="T51" t="n">
        <v>5</v>
      </c>
      <c r="U51" t="n">
        <v>4</v>
      </c>
      <c r="V51" s="2" t="inlineStr">
        <is>
          <t>Dropptaggsvamp
Motaggsvamp
Skogshare
Järpe</t>
        </is>
      </c>
      <c r="W51">
        <f>HYPERLINK("https://klasma.github.io/Logging_2080/artfynd/S 582-2024 artfynd.xlsx", "S 582-2024")</f>
        <v/>
      </c>
      <c r="X51">
        <f>HYPERLINK("https://klasma.github.io/Logging_2080/kartor/S 582-2024 karta.png", "S 582-2024")</f>
        <v/>
      </c>
      <c r="Y51">
        <f>HYPERLINK("https://klasma.github.io/Logging_2080/kartor_geotiff/S 582-2024 georefererad karta.tif", "S 582-2024")</f>
        <v/>
      </c>
      <c r="AA51">
        <f>HYPERLINK("https://klasma.github.io/Logging_2080/klagomål/S 582-2024 FSC-klagomål.docx", "S 582-2024")</f>
        <v/>
      </c>
      <c r="AB51">
        <f>HYPERLINK("https://klasma.github.io/Logging_2080/klagomålsmail/S 582-2024 FSC-klagomål mail.docx", "S 582-2024")</f>
        <v/>
      </c>
      <c r="AC51">
        <f>HYPERLINK("https://klasma.github.io/Logging_2080/tillsyn/S 582-2024 tillsynsbegäran.docx", "S 582-2024")</f>
        <v/>
      </c>
      <c r="AD51">
        <f>HYPERLINK("https://klasma.github.io/Logging_2080/tillsynsmail/S 582-2024 tillsynsbegäran mail.docx", "S 582-2024")</f>
        <v/>
      </c>
      <c r="AE51">
        <f>HYPERLINK("https://klasma.github.io/Logging_2080/fåglar/S 582-2024 prioriterade fågelarter.docx", "S 582-2024")</f>
        <v/>
      </c>
    </row>
    <row r="52" ht="15" customHeight="1">
      <c r="A52" t="inlineStr">
        <is>
          <t>S 3011-2023</t>
        </is>
      </c>
      <c r="B52" t="inlineStr">
        <is>
          <t>samrådsanmälan</t>
        </is>
      </c>
      <c r="C52" t="inlineStr">
        <is>
          <t>Annan skogsbruksåtgärd</t>
        </is>
      </c>
      <c r="D52" s="1" t="n">
        <v>45176</v>
      </c>
      <c r="E52" s="1" t="n">
        <v>46314</v>
      </c>
      <c r="F52" t="inlineStr">
        <is>
          <t>DALARNAS LÄN</t>
        </is>
      </c>
      <c r="G52" t="inlineStr">
        <is>
          <t>FALUN</t>
        </is>
      </c>
      <c r="H52" t="inlineStr">
        <is>
          <t>Bergvik skog väst AB</t>
        </is>
      </c>
      <c r="I52" t="n">
        <v>4.4</v>
      </c>
      <c r="J52" t="n">
        <v>1</v>
      </c>
      <c r="K52" t="n">
        <v>2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2</v>
      </c>
      <c r="R52" t="n">
        <v>1</v>
      </c>
      <c r="S52" t="n">
        <v>4</v>
      </c>
      <c r="T52" t="n">
        <v>13</v>
      </c>
      <c r="U52" t="n">
        <v>3</v>
      </c>
      <c r="V52" s="2" t="inlineStr">
        <is>
          <t>Brun gräsfjäril
Brunklöver
Mindre märgborre
Myskbock</t>
        </is>
      </c>
      <c r="W52">
        <f>HYPERLINK("https://klasma.github.io/Logging_2080/artfynd/S 3011-2023 artfynd.xlsx", "S 3011-2023")</f>
        <v/>
      </c>
      <c r="X52">
        <f>HYPERLINK("https://klasma.github.io/Logging_2080/kartor/S 3011-2023 karta.png", "S 3011-2023")</f>
        <v/>
      </c>
      <c r="Y52">
        <f>HYPERLINK("https://klasma.github.io/Logging_2080/kartor_geotiff/S 3011-2023 georefererad karta.tif", "S 3011-2023")</f>
        <v/>
      </c>
      <c r="AA52">
        <f>HYPERLINK("https://klasma.github.io/Logging_2080/klagomål/S 3011-2023 FSC-klagomål.docx", "S 3011-2023")</f>
        <v/>
      </c>
      <c r="AB52">
        <f>HYPERLINK("https://klasma.github.io/Logging_2080/klagomålsmail/S 3011-2023 FSC-klagomål mail.docx", "S 3011-2023")</f>
        <v/>
      </c>
      <c r="AC52">
        <f>HYPERLINK("https://klasma.github.io/Logging_2080/tillsyn/S 3011-2023 tillsynsbegäran.docx", "S 3011-2023")</f>
        <v/>
      </c>
      <c r="AD52">
        <f>HYPERLINK("https://klasma.github.io/Logging_2080/tillsynsmail/S 3011-2023 tillsynsbegäran mail.docx", "S 3011-2023")</f>
        <v/>
      </c>
    </row>
    <row r="53" ht="15" customHeight="1">
      <c r="A53" t="inlineStr">
        <is>
          <t>S 3443-2025</t>
        </is>
      </c>
      <c r="B53" t="inlineStr">
        <is>
          <t>samrådsanmälan</t>
        </is>
      </c>
      <c r="C53" t="inlineStr">
        <is>
          <t>Skogsgödsling</t>
        </is>
      </c>
      <c r="D53" s="1" t="n">
        <v>45996</v>
      </c>
      <c r="E53" s="1" t="n">
        <v>46314</v>
      </c>
      <c r="F53" t="inlineStr">
        <is>
          <t>DALARNAS LÄN</t>
        </is>
      </c>
      <c r="G53" t="inlineStr">
        <is>
          <t>FALUN</t>
        </is>
      </c>
      <c r="H53" t="inlineStr">
        <is>
          <t>Bergvik skog väst AB</t>
        </is>
      </c>
      <c r="I53" t="n">
        <v>214.4</v>
      </c>
      <c r="J53" t="n">
        <v>3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0</v>
      </c>
      <c r="S53" t="n">
        <v>4</v>
      </c>
      <c r="T53" t="n">
        <v>4</v>
      </c>
      <c r="U53" t="n">
        <v>0</v>
      </c>
      <c r="V53" s="2" t="inlineStr">
        <is>
          <t>Tretåig hackspett
Öring
Tjäder
Revlummer</t>
        </is>
      </c>
      <c r="W53">
        <f>HYPERLINK("https://klasma.github.io/Logging_2080/artfynd/S 3443-2025 artfynd.xlsx", "S 3443-2025")</f>
        <v/>
      </c>
      <c r="X53">
        <f>HYPERLINK("https://klasma.github.io/Logging_2080/kartor/S 3443-2025 karta.png", "S 3443-2025")</f>
        <v/>
      </c>
      <c r="Y53">
        <f>HYPERLINK("https://klasma.github.io/Logging_2080/kartor_geotiff/S 3443-2025 georefererad karta.tif", "S 3443-2025")</f>
        <v/>
      </c>
      <c r="Z53">
        <f>HYPERLINK("https://klasma.github.io/Logging_2080/knärot/S 3443-2025 karta knärot.png", "S 3443-2025")</f>
        <v/>
      </c>
      <c r="AA53">
        <f>HYPERLINK("https://klasma.github.io/Logging_2080/klagomål/S 3443-2025 FSC-klagomål.docx", "S 3443-2025")</f>
        <v/>
      </c>
      <c r="AB53">
        <f>HYPERLINK("https://klasma.github.io/Logging_2080/klagomålsmail/S 3443-2025 FSC-klagomål mail.docx", "S 3443-2025")</f>
        <v/>
      </c>
      <c r="AC53">
        <f>HYPERLINK("https://klasma.github.io/Logging_2080/tillsyn/S 3443-2025 tillsynsbegäran.docx", "S 3443-2025")</f>
        <v/>
      </c>
      <c r="AD53">
        <f>HYPERLINK("https://klasma.github.io/Logging_2080/tillsynsmail/S 3443-2025 tillsynsbegäran mail.docx", "S 3443-2025")</f>
        <v/>
      </c>
      <c r="AE53">
        <f>HYPERLINK("https://klasma.github.io/Logging_2080/fåglar/S 3443-2025 prioriterade fågelarter.docx", "S 3443-2025")</f>
        <v/>
      </c>
    </row>
    <row r="54" ht="15" customHeight="1">
      <c r="A54" t="inlineStr">
        <is>
          <t>A 36966-2022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44806</v>
      </c>
      <c r="E54" s="1" t="n">
        <v>46314</v>
      </c>
      <c r="F54" t="inlineStr">
        <is>
          <t>DALARNAS LÄN</t>
        </is>
      </c>
      <c r="G54" t="inlineStr">
        <is>
          <t>FALUN</t>
        </is>
      </c>
      <c r="I54" t="n">
        <v>4.2</v>
      </c>
      <c r="J54" t="n">
        <v>1</v>
      </c>
      <c r="K54" t="n">
        <v>0</v>
      </c>
      <c r="L54" t="n">
        <v>2</v>
      </c>
      <c r="M54" t="n">
        <v>1</v>
      </c>
      <c r="N54" t="n">
        <v>0</v>
      </c>
      <c r="O54" t="n">
        <v>0</v>
      </c>
      <c r="P54" t="n">
        <v>0</v>
      </c>
      <c r="Q54" t="n">
        <v>3</v>
      </c>
      <c r="R54" t="n">
        <v>1</v>
      </c>
      <c r="S54" t="n">
        <v>3</v>
      </c>
      <c r="T54" t="n">
        <v>3</v>
      </c>
      <c r="U54" t="n">
        <v>3</v>
      </c>
      <c r="V54" s="2" t="inlineStr">
        <is>
          <t>Knärot
Dropptaggsvamp
Rynkskinn</t>
        </is>
      </c>
      <c r="W54">
        <f>HYPERLINK("https://klasma.github.io/Logging_2080/artfynd/A 36966-2022 artfynd.xlsx", "A 36966-2022")</f>
        <v/>
      </c>
      <c r="X54">
        <f>HYPERLINK("https://klasma.github.io/Logging_2080/kartor/A 36966-2022 karta.png", "A 36966-2022")</f>
        <v/>
      </c>
      <c r="Y54">
        <f>HYPERLINK("https://klasma.github.io/Logging_2080/kartor_geotiff/A 36966-2022 georefererad karta.tif", "A 36966-2022")</f>
        <v/>
      </c>
      <c r="Z54">
        <f>HYPERLINK("https://klasma.github.io/Logging_2080/knärot/A 36966-2022 karta knärot.png", "A 36966-2022")</f>
        <v/>
      </c>
      <c r="AA54">
        <f>HYPERLINK("https://klasma.github.io/Logging_2080/klagomål/A 36966-2022 FSC-klagomål.docx", "A 36966-2022")</f>
        <v/>
      </c>
      <c r="AB54">
        <f>HYPERLINK("https://klasma.github.io/Logging_2080/klagomålsmail/A 36966-2022 FSC-klagomål mail.docx", "A 36966-2022")</f>
        <v/>
      </c>
      <c r="AC54">
        <f>HYPERLINK("https://klasma.github.io/Logging_2080/tillsyn/A 36966-2022 tillsynsbegäran.docx", "A 36966-2022")</f>
        <v/>
      </c>
      <c r="AD54">
        <f>HYPERLINK("https://klasma.github.io/Logging_2080/tillsynsmail/A 36966-2022 tillsynsbegäran mail.docx", "A 36966-2022")</f>
        <v/>
      </c>
    </row>
    <row r="55" ht="15" customHeight="1">
      <c r="A55" t="inlineStr">
        <is>
          <t>A 11777-2025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45727</v>
      </c>
      <c r="E55" s="1" t="n">
        <v>46314</v>
      </c>
      <c r="F55" t="inlineStr">
        <is>
          <t>DALARNAS LÄN</t>
        </is>
      </c>
      <c r="G55" t="inlineStr">
        <is>
          <t>FALUN</t>
        </is>
      </c>
      <c r="I55" t="n">
        <v>1.6</v>
      </c>
      <c r="J55" t="n">
        <v>2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3</v>
      </c>
      <c r="T55" t="n">
        <v>17</v>
      </c>
      <c r="U55" t="n">
        <v>17</v>
      </c>
      <c r="V55" s="2" t="inlineStr">
        <is>
          <t>Knärot
Bronshjon
Revlummer</t>
        </is>
      </c>
      <c r="W55">
        <f>HYPERLINK("https://klasma.github.io/Logging_2080/artfynd/A 11777-2025 artfynd.xlsx", "A 11777-2025")</f>
        <v/>
      </c>
      <c r="X55">
        <f>HYPERLINK("https://klasma.github.io/Logging_2080/kartor/A 11777-2025 karta.png", "A 11777-2025")</f>
        <v/>
      </c>
      <c r="Y55">
        <f>HYPERLINK("https://klasma.github.io/Logging_2080/kartor_geotiff/A 11777-2025 georefererad karta.tif", "A 11777-2025")</f>
        <v/>
      </c>
      <c r="Z55">
        <f>HYPERLINK("https://klasma.github.io/Logging_2080/knärot/A 11777-2025 karta knärot.png", "A 11777-2025")</f>
        <v/>
      </c>
      <c r="AA55">
        <f>HYPERLINK("https://klasma.github.io/Logging_2080/klagomål/A 11777-2025 FSC-klagomål.docx", "A 11777-2025")</f>
        <v/>
      </c>
      <c r="AB55">
        <f>HYPERLINK("https://klasma.github.io/Logging_2080/klagomålsmail/A 11777-2025 FSC-klagomål mail.docx", "A 11777-2025")</f>
        <v/>
      </c>
      <c r="AC55">
        <f>HYPERLINK("https://klasma.github.io/Logging_2080/tillsyn/A 11777-2025 tillsynsbegäran.docx", "A 11777-2025")</f>
        <v/>
      </c>
      <c r="AD55">
        <f>HYPERLINK("https://klasma.github.io/Logging_2080/tillsynsmail/A 11777-2025 tillsynsbegäran mail.docx", "A 11777-2025")</f>
        <v/>
      </c>
    </row>
    <row r="56" ht="15" customHeight="1">
      <c r="A56" t="inlineStr">
        <is>
          <t>A 21583-2026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46149</v>
      </c>
      <c r="E56" s="1" t="n">
        <v>46314</v>
      </c>
      <c r="F56" t="inlineStr">
        <is>
          <t>DALARNAS LÄN</t>
        </is>
      </c>
      <c r="G56" t="inlineStr">
        <is>
          <t>FALUN</t>
        </is>
      </c>
      <c r="H56" t="inlineStr">
        <is>
          <t>Bergvik skog väst AB</t>
        </is>
      </c>
      <c r="I56" t="n">
        <v>3.3</v>
      </c>
      <c r="J56" t="n">
        <v>0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3</v>
      </c>
      <c r="T56" t="n">
        <v>3</v>
      </c>
      <c r="U56" t="n">
        <v>0</v>
      </c>
      <c r="V56" s="2" t="inlineStr">
        <is>
          <t>Doftskinn
Ullticka
Vedticka</t>
        </is>
      </c>
      <c r="W56">
        <f>HYPERLINK("https://klasma.github.io/Logging_2080/artfynd/A 21583-2026 artfynd.xlsx", "A 21583-2026")</f>
        <v/>
      </c>
      <c r="X56">
        <f>HYPERLINK("https://klasma.github.io/Logging_2080/kartor/A 21583-2026 karta.png", "A 21583-2026")</f>
        <v/>
      </c>
      <c r="Y56">
        <f>HYPERLINK("https://klasma.github.io/Logging_2080/kartor_geotiff/A 21583-2026 georefererad karta.tif", "A 21583-2026")</f>
        <v/>
      </c>
      <c r="AA56">
        <f>HYPERLINK("https://klasma.github.io/Logging_2080/klagomål/A 21583-2026 FSC-klagomål.docx", "A 21583-2026")</f>
        <v/>
      </c>
      <c r="AB56">
        <f>HYPERLINK("https://klasma.github.io/Logging_2080/klagomålsmail/A 21583-2026 FSC-klagomål mail.docx", "A 21583-2026")</f>
        <v/>
      </c>
      <c r="AC56">
        <f>HYPERLINK("https://klasma.github.io/Logging_2080/tillsyn/A 21583-2026 tillsynsbegäran.docx", "A 21583-2026")</f>
        <v/>
      </c>
      <c r="AD56">
        <f>HYPERLINK("https://klasma.github.io/Logging_2080/tillsynsmail/A 21583-2026 tillsynsbegäran mail.docx", "A 21583-2026")</f>
        <v/>
      </c>
    </row>
    <row r="57" ht="15" customHeight="1">
      <c r="A57" t="inlineStr">
        <is>
          <t>A 50417-2025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45944</v>
      </c>
      <c r="E57" s="1" t="n">
        <v>46314</v>
      </c>
      <c r="F57" t="inlineStr">
        <is>
          <t>DALARNAS LÄN</t>
        </is>
      </c>
      <c r="G57" t="inlineStr">
        <is>
          <t>FALUN</t>
        </is>
      </c>
      <c r="H57" t="inlineStr">
        <is>
          <t>Bergvik skog väst AB</t>
        </is>
      </c>
      <c r="I57" t="n">
        <v>2.5</v>
      </c>
      <c r="J57" t="n">
        <v>0</v>
      </c>
      <c r="K57" t="n">
        <v>1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3</v>
      </c>
      <c r="T57" t="n">
        <v>3</v>
      </c>
      <c r="U57" t="n">
        <v>0</v>
      </c>
      <c r="V57" s="2" t="inlineStr">
        <is>
          <t>Kattfotslav
Ullticka
Bollvitmossa</t>
        </is>
      </c>
      <c r="W57">
        <f>HYPERLINK("https://klasma.github.io/Logging_2080/artfynd/A 50417-2025 artfynd.xlsx", "A 50417-2025")</f>
        <v/>
      </c>
      <c r="X57">
        <f>HYPERLINK("https://klasma.github.io/Logging_2080/kartor/A 50417-2025 karta.png", "A 50417-2025")</f>
        <v/>
      </c>
      <c r="Y57">
        <f>HYPERLINK("https://klasma.github.io/Logging_2080/kartor_geotiff/A 50417-2025 georefererad karta.tif", "A 50417-2025")</f>
        <v/>
      </c>
      <c r="AA57">
        <f>HYPERLINK("https://klasma.github.io/Logging_2080/klagomål/A 50417-2025 FSC-klagomål.docx", "A 50417-2025")</f>
        <v/>
      </c>
      <c r="AB57">
        <f>HYPERLINK("https://klasma.github.io/Logging_2080/klagomålsmail/A 50417-2025 FSC-klagomål mail.docx", "A 50417-2025")</f>
        <v/>
      </c>
      <c r="AC57">
        <f>HYPERLINK("https://klasma.github.io/Logging_2080/tillsyn/A 50417-2025 tillsynsbegäran.docx", "A 50417-2025")</f>
        <v/>
      </c>
      <c r="AD57">
        <f>HYPERLINK("https://klasma.github.io/Logging_2080/tillsynsmail/A 50417-2025 tillsynsbegäran mail.docx", "A 50417-2025")</f>
        <v/>
      </c>
    </row>
    <row r="58" ht="15" customHeight="1">
      <c r="A58" t="inlineStr">
        <is>
          <t>A 22794-2026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46157</v>
      </c>
      <c r="E58" s="1" t="n">
        <v>46314</v>
      </c>
      <c r="F58" t="inlineStr">
        <is>
          <t>DALARNAS LÄN</t>
        </is>
      </c>
      <c r="G58" t="inlineStr">
        <is>
          <t>FALUN</t>
        </is>
      </c>
      <c r="H58" t="inlineStr">
        <is>
          <t>Bergvik skog väst AB</t>
        </is>
      </c>
      <c r="I58" t="n">
        <v>1.4</v>
      </c>
      <c r="J58" t="n">
        <v>0</v>
      </c>
      <c r="K58" t="n">
        <v>0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3</v>
      </c>
      <c r="R58" t="n">
        <v>1</v>
      </c>
      <c r="S58" t="n">
        <v>3</v>
      </c>
      <c r="T58" t="n">
        <v>6</v>
      </c>
      <c r="U58" t="n">
        <v>0</v>
      </c>
      <c r="V58" s="2" t="inlineStr">
        <is>
          <t>Garnlav
Kolflarnlav
Violettgrå tagellav</t>
        </is>
      </c>
      <c r="W58">
        <f>HYPERLINK("https://klasma.github.io/Logging_2080/artfynd/A 22794-2026 artfynd.xlsx", "A 22794-2026")</f>
        <v/>
      </c>
      <c r="X58">
        <f>HYPERLINK("https://klasma.github.io/Logging_2080/kartor/A 22794-2026 karta.png", "A 22794-2026")</f>
        <v/>
      </c>
      <c r="Y58">
        <f>HYPERLINK("https://klasma.github.io/Logging_2080/kartor_geotiff/A 22794-2026 georefererad karta.tif", "A 22794-2026")</f>
        <v/>
      </c>
      <c r="AA58">
        <f>HYPERLINK("https://klasma.github.io/Logging_2080/klagomål/A 22794-2026 FSC-klagomål.docx", "A 22794-2026")</f>
        <v/>
      </c>
      <c r="AB58">
        <f>HYPERLINK("https://klasma.github.io/Logging_2080/klagomålsmail/A 22794-2026 FSC-klagomål mail.docx", "A 22794-2026")</f>
        <v/>
      </c>
      <c r="AC58">
        <f>HYPERLINK("https://klasma.github.io/Logging_2080/tillsyn/A 22794-2026 tillsynsbegäran.docx", "A 22794-2026")</f>
        <v/>
      </c>
      <c r="AD58">
        <f>HYPERLINK("https://klasma.github.io/Logging_2080/tillsynsmail/A 22794-2026 tillsynsbegäran mail.docx", "A 22794-2026")</f>
        <v/>
      </c>
    </row>
    <row r="59" ht="15" customHeight="1">
      <c r="A59" t="inlineStr">
        <is>
          <t>A 55724-2025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45972</v>
      </c>
      <c r="E59" s="1" t="n">
        <v>46314</v>
      </c>
      <c r="F59" t="inlineStr">
        <is>
          <t>DALARNAS LÄN</t>
        </is>
      </c>
      <c r="G59" t="inlineStr">
        <is>
          <t>FALUN</t>
        </is>
      </c>
      <c r="I59" t="n">
        <v>3.4</v>
      </c>
      <c r="J59" t="n">
        <v>2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</v>
      </c>
      <c r="T59" t="n">
        <v>4</v>
      </c>
      <c r="U59" t="n">
        <v>3</v>
      </c>
      <c r="V59" s="2" t="inlineStr">
        <is>
          <t>Mindre märgborre
Blåsippa
Spillkråka</t>
        </is>
      </c>
      <c r="W59">
        <f>HYPERLINK("https://klasma.github.io/Logging_2080/artfynd/A 55724-2025 artfynd.xlsx", "A 55724-2025")</f>
        <v/>
      </c>
      <c r="X59">
        <f>HYPERLINK("https://klasma.github.io/Logging_2080/kartor/A 55724-2025 karta.png", "A 55724-2025")</f>
        <v/>
      </c>
      <c r="Y59">
        <f>HYPERLINK("https://klasma.github.io/Logging_2080/kartor_geotiff/A 55724-2025 georefererad karta.tif", "A 55724-2025")</f>
        <v/>
      </c>
      <c r="AA59">
        <f>HYPERLINK("https://klasma.github.io/Logging_2080/klagomål/A 55724-2025 FSC-klagomål.docx", "A 55724-2025")</f>
        <v/>
      </c>
      <c r="AB59">
        <f>HYPERLINK("https://klasma.github.io/Logging_2080/klagomålsmail/A 55724-2025 FSC-klagomål mail.docx", "A 55724-2025")</f>
        <v/>
      </c>
      <c r="AC59">
        <f>HYPERLINK("https://klasma.github.io/Logging_2080/tillsyn/A 55724-2025 tillsynsbegäran.docx", "A 55724-2025")</f>
        <v/>
      </c>
      <c r="AD59">
        <f>HYPERLINK("https://klasma.github.io/Logging_2080/tillsynsmail/A 55724-2025 tillsynsbegäran mail.docx", "A 55724-2025")</f>
        <v/>
      </c>
      <c r="AE59">
        <f>HYPERLINK("https://klasma.github.io/Logging_2080/fåglar/A 55724-2025 prioriterade fågelarter.docx", "A 55724-2025")</f>
        <v/>
      </c>
    </row>
    <row r="60" ht="15" customHeight="1">
      <c r="A60" t="inlineStr">
        <is>
          <t>A 2055-2025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45671</v>
      </c>
      <c r="E60" s="1" t="n">
        <v>46314</v>
      </c>
      <c r="F60" t="inlineStr">
        <is>
          <t>DALARNAS LÄN</t>
        </is>
      </c>
      <c r="G60" t="inlineStr">
        <is>
          <t>FALUN</t>
        </is>
      </c>
      <c r="I60" t="n">
        <v>1.5</v>
      </c>
      <c r="J60" t="n">
        <v>2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3</v>
      </c>
      <c r="T60" t="n">
        <v>16</v>
      </c>
      <c r="U60" t="n">
        <v>16</v>
      </c>
      <c r="V60" s="2" t="inlineStr">
        <is>
          <t>Knärot
Bronshjon
Revlummer</t>
        </is>
      </c>
      <c r="W60">
        <f>HYPERLINK("https://klasma.github.io/Logging_2080/artfynd/A 2055-2025 artfynd.xlsx", "A 2055-2025")</f>
        <v/>
      </c>
      <c r="X60">
        <f>HYPERLINK("https://klasma.github.io/Logging_2080/kartor/A 2055-2025 karta.png", "A 2055-2025")</f>
        <v/>
      </c>
      <c r="Y60">
        <f>HYPERLINK("https://klasma.github.io/Logging_2080/kartor_geotiff/A 2055-2025 georefererad karta.tif", "A 2055-2025")</f>
        <v/>
      </c>
      <c r="Z60">
        <f>HYPERLINK("https://klasma.github.io/Logging_2080/knärot/A 2055-2025 karta knärot.png", "A 2055-2025")</f>
        <v/>
      </c>
      <c r="AA60">
        <f>HYPERLINK("https://klasma.github.io/Logging_2080/klagomål/A 2055-2025 FSC-klagomål.docx", "A 2055-2025")</f>
        <v/>
      </c>
      <c r="AB60">
        <f>HYPERLINK("https://klasma.github.io/Logging_2080/klagomålsmail/A 2055-2025 FSC-klagomål mail.docx", "A 2055-2025")</f>
        <v/>
      </c>
      <c r="AC60">
        <f>HYPERLINK("https://klasma.github.io/Logging_2080/tillsyn/A 2055-2025 tillsynsbegäran.docx", "A 2055-2025")</f>
        <v/>
      </c>
      <c r="AD60">
        <f>HYPERLINK("https://klasma.github.io/Logging_2080/tillsynsmail/A 2055-2025 tillsynsbegäran mail.docx", "A 2055-2025")</f>
        <v/>
      </c>
    </row>
    <row r="61" ht="15" customHeight="1">
      <c r="A61" t="inlineStr">
        <is>
          <t>A 60940-2025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45999</v>
      </c>
      <c r="E61" s="1" t="n">
        <v>46314</v>
      </c>
      <c r="F61" t="inlineStr">
        <is>
          <t>DALARNAS LÄN</t>
        </is>
      </c>
      <c r="G61" t="inlineStr">
        <is>
          <t>FALUN</t>
        </is>
      </c>
      <c r="H61" t="inlineStr">
        <is>
          <t>Bergvik skog väst AB</t>
        </is>
      </c>
      <c r="I61" t="n">
        <v>13.7</v>
      </c>
      <c r="J61" t="n">
        <v>1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0</v>
      </c>
      <c r="S61" t="n">
        <v>3</v>
      </c>
      <c r="T61" t="n">
        <v>4</v>
      </c>
      <c r="U61" t="n">
        <v>0</v>
      </c>
      <c r="V61" s="2" t="inlineStr">
        <is>
          <t>Kortskaftad ärgspik
Tallticka
Tjäder</t>
        </is>
      </c>
      <c r="W61">
        <f>HYPERLINK("https://klasma.github.io/Logging_2080/artfynd/A 60940-2025 artfynd.xlsx", "A 60940-2025")</f>
        <v/>
      </c>
      <c r="X61">
        <f>HYPERLINK("https://klasma.github.io/Logging_2080/kartor/A 60940-2025 karta.png", "A 60940-2025")</f>
        <v/>
      </c>
      <c r="Y61">
        <f>HYPERLINK("https://klasma.github.io/Logging_2080/kartor_geotiff/A 60940-2025 georefererad karta.tif", "A 60940-2025")</f>
        <v/>
      </c>
      <c r="AA61">
        <f>HYPERLINK("https://klasma.github.io/Logging_2080/klagomål/A 60940-2025 FSC-klagomål.docx", "A 60940-2025")</f>
        <v/>
      </c>
      <c r="AB61">
        <f>HYPERLINK("https://klasma.github.io/Logging_2080/klagomålsmail/A 60940-2025 FSC-klagomål mail.docx", "A 60940-2025")</f>
        <v/>
      </c>
      <c r="AC61">
        <f>HYPERLINK("https://klasma.github.io/Logging_2080/tillsyn/A 60940-2025 tillsynsbegäran.docx", "A 60940-2025")</f>
        <v/>
      </c>
      <c r="AD61">
        <f>HYPERLINK("https://klasma.github.io/Logging_2080/tillsynsmail/A 60940-2025 tillsynsbegäran mail.docx", "A 60940-2025")</f>
        <v/>
      </c>
      <c r="AE61">
        <f>HYPERLINK("https://klasma.github.io/Logging_2080/fåglar/A 60940-2025 prioriterade fågelarter.docx", "A 60940-2025")</f>
        <v/>
      </c>
    </row>
    <row r="62" ht="15" customHeight="1">
      <c r="A62" t="inlineStr">
        <is>
          <t>A 3208-2026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46041</v>
      </c>
      <c r="E62" s="1" t="n">
        <v>46314</v>
      </c>
      <c r="F62" t="inlineStr">
        <is>
          <t>DALARNAS LÄN</t>
        </is>
      </c>
      <c r="G62" t="inlineStr">
        <is>
          <t>FALUN</t>
        </is>
      </c>
      <c r="I62" t="n">
        <v>5.3</v>
      </c>
      <c r="J62" t="n">
        <v>0</v>
      </c>
      <c r="K62" t="n">
        <v>0</v>
      </c>
      <c r="L62" t="n">
        <v>2</v>
      </c>
      <c r="M62" t="n">
        <v>1</v>
      </c>
      <c r="N62" t="n">
        <v>0</v>
      </c>
      <c r="O62" t="n">
        <v>0</v>
      </c>
      <c r="P62" t="n">
        <v>0</v>
      </c>
      <c r="Q62" t="n">
        <v>3</v>
      </c>
      <c r="R62" t="n">
        <v>1</v>
      </c>
      <c r="S62" t="n">
        <v>3</v>
      </c>
      <c r="T62" t="n">
        <v>5</v>
      </c>
      <c r="U62" t="n">
        <v>5</v>
      </c>
      <c r="V62" s="2" t="inlineStr">
        <is>
          <t>Garnlav
Kolflarnlav
Mörk kolflarnlav</t>
        </is>
      </c>
      <c r="W62">
        <f>HYPERLINK("https://klasma.github.io/Logging_2080/artfynd/A 3208-2026 artfynd.xlsx", "A 3208-2026")</f>
        <v/>
      </c>
      <c r="X62">
        <f>HYPERLINK("https://klasma.github.io/Logging_2080/kartor/A 3208-2026 karta.png", "A 3208-2026")</f>
        <v/>
      </c>
      <c r="Y62">
        <f>HYPERLINK("https://klasma.github.io/Logging_2080/kartor_geotiff/A 3208-2026 georefererad karta.tif", "A 3208-2026")</f>
        <v/>
      </c>
      <c r="AA62">
        <f>HYPERLINK("https://klasma.github.io/Logging_2080/klagomål/A 3208-2026 FSC-klagomål.docx", "A 3208-2026")</f>
        <v/>
      </c>
      <c r="AB62">
        <f>HYPERLINK("https://klasma.github.io/Logging_2080/klagomålsmail/A 3208-2026 FSC-klagomål mail.docx", "A 3208-2026")</f>
        <v/>
      </c>
      <c r="AC62">
        <f>HYPERLINK("https://klasma.github.io/Logging_2080/tillsyn/A 3208-2026 tillsynsbegäran.docx", "A 3208-2026")</f>
        <v/>
      </c>
      <c r="AD62">
        <f>HYPERLINK("https://klasma.github.io/Logging_2080/tillsynsmail/A 3208-2026 tillsynsbegäran mail.docx", "A 3208-2026")</f>
        <v/>
      </c>
    </row>
    <row r="63" ht="15" customHeight="1">
      <c r="A63" t="inlineStr">
        <is>
          <t>A 27747-2026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46191</v>
      </c>
      <c r="E63" s="1" t="n">
        <v>46314</v>
      </c>
      <c r="F63" t="inlineStr">
        <is>
          <t>DALARNAS LÄN</t>
        </is>
      </c>
      <c r="G63" t="inlineStr">
        <is>
          <t>FALUN</t>
        </is>
      </c>
      <c r="I63" t="n">
        <v>2.5</v>
      </c>
      <c r="J63" t="n">
        <v>0</v>
      </c>
      <c r="K63" t="n">
        <v>0</v>
      </c>
      <c r="L63" t="n">
        <v>2</v>
      </c>
      <c r="M63" t="n">
        <v>1</v>
      </c>
      <c r="N63" t="n">
        <v>0</v>
      </c>
      <c r="O63" t="n">
        <v>0</v>
      </c>
      <c r="P63" t="n">
        <v>0</v>
      </c>
      <c r="Q63" t="n">
        <v>3</v>
      </c>
      <c r="R63" t="n">
        <v>1</v>
      </c>
      <c r="S63" t="n">
        <v>3</v>
      </c>
      <c r="T63" t="n">
        <v>3</v>
      </c>
      <c r="U63" t="n">
        <v>0</v>
      </c>
      <c r="V63" s="2" t="inlineStr">
        <is>
          <t>Garnlav
Kolflarnlav
Kortskaftad ärgspik</t>
        </is>
      </c>
      <c r="W63">
        <f>HYPERLINK("https://klasma.github.io/Logging_2080/artfynd/A 27747-2026 artfynd.xlsx", "A 27747-2026")</f>
        <v/>
      </c>
      <c r="X63">
        <f>HYPERLINK("https://klasma.github.io/Logging_2080/kartor/A 27747-2026 karta.png", "A 27747-2026")</f>
        <v/>
      </c>
      <c r="Y63">
        <f>HYPERLINK("https://klasma.github.io/Logging_2080/kartor_geotiff/A 27747-2026 georefererad karta.tif", "A 27747-2026")</f>
        <v/>
      </c>
      <c r="AA63">
        <f>HYPERLINK("https://klasma.github.io/Logging_2080/klagomål/A 27747-2026 FSC-klagomål.docx", "A 27747-2026")</f>
        <v/>
      </c>
      <c r="AB63">
        <f>HYPERLINK("https://klasma.github.io/Logging_2080/klagomålsmail/A 27747-2026 FSC-klagomål mail.docx", "A 27747-2026")</f>
        <v/>
      </c>
      <c r="AC63">
        <f>HYPERLINK("https://klasma.github.io/Logging_2080/tillsyn/A 27747-2026 tillsynsbegäran.docx", "A 27747-2026")</f>
        <v/>
      </c>
      <c r="AD63">
        <f>HYPERLINK("https://klasma.github.io/Logging_2080/tillsynsmail/A 27747-2026 tillsynsbegäran mail.docx", "A 27747-2026")</f>
        <v/>
      </c>
    </row>
    <row r="64" ht="15" customHeight="1">
      <c r="A64" t="inlineStr">
        <is>
          <t>A 17628-2026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46121</v>
      </c>
      <c r="E64" s="1" t="n">
        <v>46314</v>
      </c>
      <c r="F64" t="inlineStr">
        <is>
          <t>DALARNAS LÄN</t>
        </is>
      </c>
      <c r="G64" t="inlineStr">
        <is>
          <t>FALUN</t>
        </is>
      </c>
      <c r="I64" t="n">
        <v>4.6</v>
      </c>
      <c r="J64" t="n">
        <v>0</v>
      </c>
      <c r="K64" t="n">
        <v>1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3</v>
      </c>
      <c r="T64" t="n">
        <v>3</v>
      </c>
      <c r="U64" t="n">
        <v>0</v>
      </c>
      <c r="V64" s="2" t="inlineStr">
        <is>
          <t>Kolflarnlav
Vedskivlav
Mindre märgborre</t>
        </is>
      </c>
      <c r="W64">
        <f>HYPERLINK("https://klasma.github.io/Logging_2080/artfynd/A 17628-2026 artfynd.xlsx", "A 17628-2026")</f>
        <v/>
      </c>
      <c r="X64">
        <f>HYPERLINK("https://klasma.github.io/Logging_2080/kartor/A 17628-2026 karta.png", "A 17628-2026")</f>
        <v/>
      </c>
      <c r="Y64">
        <f>HYPERLINK("https://klasma.github.io/Logging_2080/kartor_geotiff/A 17628-2026 georefererad karta.tif", "A 17628-2026")</f>
        <v/>
      </c>
      <c r="AA64">
        <f>HYPERLINK("https://klasma.github.io/Logging_2080/klagomål/A 17628-2026 FSC-klagomål.docx", "A 17628-2026")</f>
        <v/>
      </c>
      <c r="AB64">
        <f>HYPERLINK("https://klasma.github.io/Logging_2080/klagomålsmail/A 17628-2026 FSC-klagomål mail.docx", "A 17628-2026")</f>
        <v/>
      </c>
      <c r="AC64">
        <f>HYPERLINK("https://klasma.github.io/Logging_2080/tillsyn/A 17628-2026 tillsynsbegäran.docx", "A 17628-2026")</f>
        <v/>
      </c>
      <c r="AD64">
        <f>HYPERLINK("https://klasma.github.io/Logging_2080/tillsynsmail/A 17628-2026 tillsynsbegäran mail.docx", "A 17628-2026")</f>
        <v/>
      </c>
    </row>
    <row r="65" ht="15" customHeight="1">
      <c r="A65" t="inlineStr">
        <is>
          <t>A 14883-2024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45398</v>
      </c>
      <c r="E65" s="1" t="n">
        <v>46314</v>
      </c>
      <c r="F65" t="inlineStr">
        <is>
          <t>DALARNAS LÄN</t>
        </is>
      </c>
      <c r="G65" t="inlineStr">
        <is>
          <t>FALUN</t>
        </is>
      </c>
      <c r="I65" t="n">
        <v>7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2</v>
      </c>
      <c r="R65" t="n">
        <v>1</v>
      </c>
      <c r="S65" t="n">
        <v>3</v>
      </c>
      <c r="T65" t="n">
        <v>3</v>
      </c>
      <c r="U65" t="n">
        <v>0</v>
      </c>
      <c r="V65" s="2" t="inlineStr">
        <is>
          <t>Garnlav
Tallriska
Vedticka</t>
        </is>
      </c>
      <c r="W65">
        <f>HYPERLINK("https://klasma.github.io/Logging_2080/artfynd/A 14883-2024 artfynd.xlsx", "A 14883-2024")</f>
        <v/>
      </c>
      <c r="X65">
        <f>HYPERLINK("https://klasma.github.io/Logging_2080/kartor/A 14883-2024 karta.png", "A 14883-2024")</f>
        <v/>
      </c>
      <c r="Y65">
        <f>HYPERLINK("https://klasma.github.io/Logging_2080/kartor_geotiff/A 14883-2024 georefererad karta.tif", "A 14883-2024")</f>
        <v/>
      </c>
      <c r="AA65">
        <f>HYPERLINK("https://klasma.github.io/Logging_2080/klagomål/A 14883-2024 FSC-klagomål.docx", "A 14883-2024")</f>
        <v/>
      </c>
      <c r="AB65">
        <f>HYPERLINK("https://klasma.github.io/Logging_2080/klagomålsmail/A 14883-2024 FSC-klagomål mail.docx", "A 14883-2024")</f>
        <v/>
      </c>
      <c r="AC65">
        <f>HYPERLINK("https://klasma.github.io/Logging_2080/tillsyn/A 14883-2024 tillsynsbegäran.docx", "A 14883-2024")</f>
        <v/>
      </c>
      <c r="AD65">
        <f>HYPERLINK("https://klasma.github.io/Logging_2080/tillsynsmail/A 14883-2024 tillsynsbegäran mail.docx", "A 14883-2024")</f>
        <v/>
      </c>
    </row>
    <row r="66" ht="15" customHeight="1">
      <c r="A66" t="inlineStr">
        <is>
          <t>A 6317-2023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44965</v>
      </c>
      <c r="E66" s="1" t="n">
        <v>46314</v>
      </c>
      <c r="F66" t="inlineStr">
        <is>
          <t>DALARNAS LÄN</t>
        </is>
      </c>
      <c r="G66" t="inlineStr">
        <is>
          <t>FALUN</t>
        </is>
      </c>
      <c r="I66" t="n">
        <v>1.4</v>
      </c>
      <c r="J66" t="n">
        <v>1</v>
      </c>
      <c r="K66" t="n">
        <v>1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0</v>
      </c>
      <c r="S66" t="n">
        <v>3</v>
      </c>
      <c r="T66" t="n">
        <v>3</v>
      </c>
      <c r="U66" t="n">
        <v>2</v>
      </c>
      <c r="V66" s="2" t="inlineStr">
        <is>
          <t>Gullpudra
Sparvuggla
Svavelriska</t>
        </is>
      </c>
      <c r="W66">
        <f>HYPERLINK("https://klasma.github.io/Logging_2080/artfynd/A 6317-2023 artfynd.xlsx", "A 6317-2023")</f>
        <v/>
      </c>
      <c r="X66">
        <f>HYPERLINK("https://klasma.github.io/Logging_2080/kartor/A 6317-2023 karta.png", "A 6317-2023")</f>
        <v/>
      </c>
      <c r="Y66">
        <f>HYPERLINK("https://klasma.github.io/Logging_2080/kartor_geotiff/A 6317-2023 georefererad karta.tif", "A 6317-2023")</f>
        <v/>
      </c>
      <c r="AA66">
        <f>HYPERLINK("https://klasma.github.io/Logging_2080/klagomål/A 6317-2023 FSC-klagomål.docx", "A 6317-2023")</f>
        <v/>
      </c>
      <c r="AB66">
        <f>HYPERLINK("https://klasma.github.io/Logging_2080/klagomålsmail/A 6317-2023 FSC-klagomål mail.docx", "A 6317-2023")</f>
        <v/>
      </c>
      <c r="AC66">
        <f>HYPERLINK("https://klasma.github.io/Logging_2080/tillsyn/A 6317-2023 tillsynsbegäran.docx", "A 6317-2023")</f>
        <v/>
      </c>
      <c r="AD66">
        <f>HYPERLINK("https://klasma.github.io/Logging_2080/tillsynsmail/A 6317-2023 tillsynsbegäran mail.docx", "A 6317-2023")</f>
        <v/>
      </c>
      <c r="AE66">
        <f>HYPERLINK("https://klasma.github.io/Logging_2080/fåglar/A 6317-2023 prioriterade fågelarter.docx", "A 6317-2023")</f>
        <v/>
      </c>
    </row>
    <row r="67" ht="15" customHeight="1">
      <c r="A67" t="inlineStr">
        <is>
          <t>A 5666-2025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45693</v>
      </c>
      <c r="E67" s="1" t="n">
        <v>46314</v>
      </c>
      <c r="F67" t="inlineStr">
        <is>
          <t>DALARNAS LÄN</t>
        </is>
      </c>
      <c r="G67" t="inlineStr">
        <is>
          <t>FALUN</t>
        </is>
      </c>
      <c r="I67" t="n">
        <v>1.5</v>
      </c>
      <c r="J67" t="n">
        <v>2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3</v>
      </c>
      <c r="T67" t="n">
        <v>10</v>
      </c>
      <c r="U67" t="n">
        <v>10</v>
      </c>
      <c r="V67" s="2" t="inlineStr">
        <is>
          <t>Knärot
Mindre märgborre
Spillkråka</t>
        </is>
      </c>
      <c r="W67">
        <f>HYPERLINK("https://klasma.github.io/Logging_2080/artfynd/A 5666-2025 artfynd.xlsx", "A 5666-2025")</f>
        <v/>
      </c>
      <c r="X67">
        <f>HYPERLINK("https://klasma.github.io/Logging_2080/kartor/A 5666-2025 karta.png", "A 5666-2025")</f>
        <v/>
      </c>
      <c r="Y67">
        <f>HYPERLINK("https://klasma.github.io/Logging_2080/kartor_geotiff/A 5666-2025 georefererad karta.tif", "A 5666-2025")</f>
        <v/>
      </c>
      <c r="Z67">
        <f>HYPERLINK("https://klasma.github.io/Logging_2080/knärot/A 5666-2025 karta knärot.png", "A 5666-2025")</f>
        <v/>
      </c>
      <c r="AA67">
        <f>HYPERLINK("https://klasma.github.io/Logging_2080/klagomål/A 5666-2025 FSC-klagomål.docx", "A 5666-2025")</f>
        <v/>
      </c>
      <c r="AB67">
        <f>HYPERLINK("https://klasma.github.io/Logging_2080/klagomålsmail/A 5666-2025 FSC-klagomål mail.docx", "A 5666-2025")</f>
        <v/>
      </c>
      <c r="AC67">
        <f>HYPERLINK("https://klasma.github.io/Logging_2080/tillsyn/A 5666-2025 tillsynsbegäran.docx", "A 5666-2025")</f>
        <v/>
      </c>
      <c r="AD67">
        <f>HYPERLINK("https://klasma.github.io/Logging_2080/tillsynsmail/A 5666-2025 tillsynsbegäran mail.docx", "A 5666-2025")</f>
        <v/>
      </c>
      <c r="AE67">
        <f>HYPERLINK("https://klasma.github.io/Logging_2080/fåglar/A 5666-2025 prioriterade fågelarter.docx", "A 5666-2025")</f>
        <v/>
      </c>
    </row>
    <row r="68" ht="15" customHeight="1">
      <c r="A68" t="inlineStr">
        <is>
          <t>A 39108-2026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46287</v>
      </c>
      <c r="E68" s="1" t="n">
        <v>46314</v>
      </c>
      <c r="F68" t="inlineStr">
        <is>
          <t>DALARNAS LÄN</t>
        </is>
      </c>
      <c r="G68" t="inlineStr">
        <is>
          <t>FALUN</t>
        </is>
      </c>
      <c r="H68" t="inlineStr">
        <is>
          <t>Bergvik skog väst AB</t>
        </is>
      </c>
      <c r="I68" t="n">
        <v>21.6</v>
      </c>
      <c r="J68" t="n">
        <v>0</v>
      </c>
      <c r="K68" t="n">
        <v>0</v>
      </c>
      <c r="L68" t="n">
        <v>2</v>
      </c>
      <c r="M68" t="n">
        <v>1</v>
      </c>
      <c r="N68" t="n">
        <v>0</v>
      </c>
      <c r="O68" t="n">
        <v>0</v>
      </c>
      <c r="P68" t="n">
        <v>0</v>
      </c>
      <c r="Q68" t="n">
        <v>3</v>
      </c>
      <c r="R68" t="n">
        <v>1</v>
      </c>
      <c r="S68" t="n">
        <v>3</v>
      </c>
      <c r="T68" t="n">
        <v>3</v>
      </c>
      <c r="U68" t="n">
        <v>0</v>
      </c>
      <c r="V68" s="2" t="inlineStr">
        <is>
          <t>Garnlav
Gammelgransskål
Liten svartspik</t>
        </is>
      </c>
      <c r="W68">
        <f>HYPERLINK("https://klasma.github.io/Logging_2080/artfynd/A 39108-2026 artfynd.xlsx", "A 39108-2026")</f>
        <v/>
      </c>
      <c r="X68">
        <f>HYPERLINK("https://klasma.github.io/Logging_2080/kartor/A 39108-2026 karta.png", "A 39108-2026")</f>
        <v/>
      </c>
      <c r="Y68">
        <f>HYPERLINK("https://klasma.github.io/Logging_2080/kartor_geotiff/A 39108-2026 georefererad karta.tif", "A 39108-2026")</f>
        <v/>
      </c>
      <c r="AA68">
        <f>HYPERLINK("https://klasma.github.io/Logging_2080/klagomål/A 39108-2026 FSC-klagomål.docx", "A 39108-2026")</f>
        <v/>
      </c>
      <c r="AB68">
        <f>HYPERLINK("https://klasma.github.io/Logging_2080/klagomålsmail/A 39108-2026 FSC-klagomål mail.docx", "A 39108-2026")</f>
        <v/>
      </c>
      <c r="AC68">
        <f>HYPERLINK("https://klasma.github.io/Logging_2080/tillsyn/A 39108-2026 tillsynsbegäran.docx", "A 39108-2026")</f>
        <v/>
      </c>
      <c r="AD68">
        <f>HYPERLINK("https://klasma.github.io/Logging_2080/tillsynsmail/A 39108-2026 tillsynsbegäran mail.docx", "A 39108-2026")</f>
        <v/>
      </c>
    </row>
    <row r="69" ht="15" customHeight="1">
      <c r="A69" t="inlineStr">
        <is>
          <t>A 1462-2023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44937</v>
      </c>
      <c r="E69" s="1" t="n">
        <v>46314</v>
      </c>
      <c r="F69" t="inlineStr">
        <is>
          <t>DALARNAS LÄN</t>
        </is>
      </c>
      <c r="G69" t="inlineStr">
        <is>
          <t>FALUN</t>
        </is>
      </c>
      <c r="I69" t="n">
        <v>8.199999999999999</v>
      </c>
      <c r="J69" t="n">
        <v>2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2</v>
      </c>
      <c r="R69" t="n">
        <v>1</v>
      </c>
      <c r="S69" t="n">
        <v>3</v>
      </c>
      <c r="T69" t="n">
        <v>5</v>
      </c>
      <c r="U69" t="n">
        <v>5</v>
      </c>
      <c r="V69" s="2" t="inlineStr">
        <is>
          <t>Garnlav
Tretåig hackspett
Spillkråka</t>
        </is>
      </c>
      <c r="W69">
        <f>HYPERLINK("https://klasma.github.io/Logging_2080/artfynd/A 1462-2023 artfynd.xlsx", "A 1462-2023")</f>
        <v/>
      </c>
      <c r="X69">
        <f>HYPERLINK("https://klasma.github.io/Logging_2080/kartor/A 1462-2023 karta.png", "A 1462-2023")</f>
        <v/>
      </c>
      <c r="Y69">
        <f>HYPERLINK("https://klasma.github.io/Logging_2080/kartor_geotiff/A 1462-2023 georefererad karta.tif", "A 1462-2023")</f>
        <v/>
      </c>
      <c r="AA69">
        <f>HYPERLINK("https://klasma.github.io/Logging_2080/klagomål/A 1462-2023 FSC-klagomål.docx", "A 1462-2023")</f>
        <v/>
      </c>
      <c r="AB69">
        <f>HYPERLINK("https://klasma.github.io/Logging_2080/klagomålsmail/A 1462-2023 FSC-klagomål mail.docx", "A 1462-2023")</f>
        <v/>
      </c>
      <c r="AC69">
        <f>HYPERLINK("https://klasma.github.io/Logging_2080/tillsyn/A 1462-2023 tillsynsbegäran.docx", "A 1462-2023")</f>
        <v/>
      </c>
      <c r="AD69">
        <f>HYPERLINK("https://klasma.github.io/Logging_2080/tillsynsmail/A 1462-2023 tillsynsbegäran mail.docx", "A 1462-2023")</f>
        <v/>
      </c>
      <c r="AE69">
        <f>HYPERLINK("https://klasma.github.io/Logging_2080/fåglar/A 1462-2023 prioriterade fågelarter.docx", "A 1462-2023")</f>
        <v/>
      </c>
    </row>
    <row r="70" ht="15" customHeight="1">
      <c r="A70" t="inlineStr">
        <is>
          <t>S 2127-2025</t>
        </is>
      </c>
      <c r="B70" t="inlineStr">
        <is>
          <t>samrådsanmälan</t>
        </is>
      </c>
      <c r="C70" t="inlineStr">
        <is>
          <t>Askåterföring</t>
        </is>
      </c>
      <c r="D70" s="1" t="n">
        <v>45846</v>
      </c>
      <c r="E70" s="1" t="n">
        <v>46314</v>
      </c>
      <c r="F70" t="inlineStr">
        <is>
          <t>DALARNAS LÄN</t>
        </is>
      </c>
      <c r="G70" t="inlineStr">
        <is>
          <t>FALUN</t>
        </is>
      </c>
      <c r="I70" t="n">
        <v>7.9</v>
      </c>
      <c r="J70" t="n">
        <v>0</v>
      </c>
      <c r="K70" t="n">
        <v>1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2</v>
      </c>
      <c r="R70" t="n">
        <v>2</v>
      </c>
      <c r="S70" t="n">
        <v>3</v>
      </c>
      <c r="T70" t="n">
        <v>3</v>
      </c>
      <c r="U70" t="n">
        <v>3</v>
      </c>
      <c r="V70" s="2" t="inlineStr">
        <is>
          <t>Garnlav
Norsk näverlav
Purpurmylia</t>
        </is>
      </c>
      <c r="W70">
        <f>HYPERLINK("https://klasma.github.io/Logging_2080/artfynd/S 2127-2025 artfynd.xlsx", "S 2127-2025")</f>
        <v/>
      </c>
      <c r="X70">
        <f>HYPERLINK("https://klasma.github.io/Logging_2080/kartor/S 2127-2025 karta.png", "S 2127-2025")</f>
        <v/>
      </c>
      <c r="Y70">
        <f>HYPERLINK("https://klasma.github.io/Logging_2080/kartor_geotiff/S 2127-2025 georefererad karta.tif", "S 2127-2025")</f>
        <v/>
      </c>
      <c r="AA70">
        <f>HYPERLINK("https://klasma.github.io/Logging_2080/klagomål/S 2127-2025 FSC-klagomål.docx", "S 2127-2025")</f>
        <v/>
      </c>
      <c r="AB70">
        <f>HYPERLINK("https://klasma.github.io/Logging_2080/klagomålsmail/S 2127-2025 FSC-klagomål mail.docx", "S 2127-2025")</f>
        <v/>
      </c>
      <c r="AC70">
        <f>HYPERLINK("https://klasma.github.io/Logging_2080/tillsyn/S 2127-2025 tillsynsbegäran.docx", "S 2127-2025")</f>
        <v/>
      </c>
      <c r="AD70">
        <f>HYPERLINK("https://klasma.github.io/Logging_2080/tillsynsmail/S 2127-2025 tillsynsbegäran mail.docx", "S 2127-2025")</f>
        <v/>
      </c>
    </row>
    <row r="71" ht="15" customHeight="1">
      <c r="A71" t="inlineStr">
        <is>
          <t>A 53409-2022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44879</v>
      </c>
      <c r="E71" s="1" t="n">
        <v>46314</v>
      </c>
      <c r="F71" t="inlineStr">
        <is>
          <t>DALARNAS LÄN</t>
        </is>
      </c>
      <c r="G71" t="inlineStr">
        <is>
          <t>FALUN</t>
        </is>
      </c>
      <c r="I71" t="n">
        <v>0.4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2</v>
      </c>
      <c r="T71" t="n">
        <v>5</v>
      </c>
      <c r="U71" t="n">
        <v>5</v>
      </c>
      <c r="V71" s="2" t="inlineStr">
        <is>
          <t>Knärot
Revlummer</t>
        </is>
      </c>
      <c r="W71">
        <f>HYPERLINK("https://klasma.github.io/Logging_2080/artfynd/A 53409-2022 artfynd.xlsx", "A 53409-2022")</f>
        <v/>
      </c>
      <c r="X71">
        <f>HYPERLINK("https://klasma.github.io/Logging_2080/kartor/A 53409-2022 karta.png", "A 53409-2022")</f>
        <v/>
      </c>
      <c r="Y71">
        <f>HYPERLINK("https://klasma.github.io/Logging_2080/kartor_geotiff/A 53409-2022 georefererad karta.tif", "A 53409-2022")</f>
        <v/>
      </c>
      <c r="Z71">
        <f>HYPERLINK("https://klasma.github.io/Logging_2080/knärot/A 53409-2022 karta knärot.png", "A 53409-2022")</f>
        <v/>
      </c>
      <c r="AA71">
        <f>HYPERLINK("https://klasma.github.io/Logging_2080/klagomål/A 53409-2022 FSC-klagomål.docx", "A 53409-2022")</f>
        <v/>
      </c>
      <c r="AB71">
        <f>HYPERLINK("https://klasma.github.io/Logging_2080/klagomålsmail/A 53409-2022 FSC-klagomål mail.docx", "A 53409-2022")</f>
        <v/>
      </c>
      <c r="AC71">
        <f>HYPERLINK("https://klasma.github.io/Logging_2080/tillsyn/A 53409-2022 tillsynsbegäran.docx", "A 53409-2022")</f>
        <v/>
      </c>
      <c r="AD71">
        <f>HYPERLINK("https://klasma.github.io/Logging_2080/tillsynsmail/A 53409-2022 tillsynsbegäran mail.docx", "A 53409-2022")</f>
        <v/>
      </c>
    </row>
    <row r="72" ht="15" customHeight="1">
      <c r="A72" t="inlineStr">
        <is>
          <t>A 20142-2022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44698</v>
      </c>
      <c r="E72" s="1" t="n">
        <v>46314</v>
      </c>
      <c r="F72" t="inlineStr">
        <is>
          <t>DALARNAS LÄN</t>
        </is>
      </c>
      <c r="G72" t="inlineStr">
        <is>
          <t>FALUN</t>
        </is>
      </c>
      <c r="H72" t="inlineStr">
        <is>
          <t>Bergvik skog väst AB</t>
        </is>
      </c>
      <c r="I72" t="n">
        <v>1.9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2</v>
      </c>
      <c r="T72" t="n">
        <v>3</v>
      </c>
      <c r="U72" t="n">
        <v>3</v>
      </c>
      <c r="V72" s="2" t="inlineStr">
        <is>
          <t>Garnlav
Fläcknycklar</t>
        </is>
      </c>
      <c r="W72">
        <f>HYPERLINK("https://klasma.github.io/Logging_2080/artfynd/A 20142-2022 artfynd.xlsx", "A 20142-2022")</f>
        <v/>
      </c>
      <c r="X72">
        <f>HYPERLINK("https://klasma.github.io/Logging_2080/kartor/A 20142-2022 karta.png", "A 20142-2022")</f>
        <v/>
      </c>
      <c r="Y72">
        <f>HYPERLINK("https://klasma.github.io/Logging_2080/kartor_geotiff/A 20142-2022 georefererad karta.tif", "A 20142-2022")</f>
        <v/>
      </c>
      <c r="AA72">
        <f>HYPERLINK("https://klasma.github.io/Logging_2080/klagomål/A 20142-2022 FSC-klagomål.docx", "A 20142-2022")</f>
        <v/>
      </c>
      <c r="AB72">
        <f>HYPERLINK("https://klasma.github.io/Logging_2080/klagomålsmail/A 20142-2022 FSC-klagomål mail.docx", "A 20142-2022")</f>
        <v/>
      </c>
      <c r="AC72">
        <f>HYPERLINK("https://klasma.github.io/Logging_2080/tillsyn/A 20142-2022 tillsynsbegäran.docx", "A 20142-2022")</f>
        <v/>
      </c>
      <c r="AD72">
        <f>HYPERLINK("https://klasma.github.io/Logging_2080/tillsynsmail/A 20142-2022 tillsynsbegäran mail.docx", "A 20142-2022")</f>
        <v/>
      </c>
    </row>
    <row r="73" ht="15" customHeight="1">
      <c r="A73" t="inlineStr">
        <is>
          <t>A 42302-2023</t>
        </is>
      </c>
      <c r="B73" t="inlineStr">
        <is>
          <t>avverkningsanmälan</t>
        </is>
      </c>
      <c r="C73" t="inlineStr">
        <is>
          <t>Avverkning för annat ändamål</t>
        </is>
      </c>
      <c r="D73" s="1" t="n">
        <v>45175</v>
      </c>
      <c r="E73" s="1" t="n">
        <v>46314</v>
      </c>
      <c r="F73" t="inlineStr">
        <is>
          <t>DALARNAS LÄN</t>
        </is>
      </c>
      <c r="G73" t="inlineStr">
        <is>
          <t>FALUN</t>
        </is>
      </c>
      <c r="I73" t="n">
        <v>8.5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2</v>
      </c>
      <c r="R73" t="n">
        <v>1</v>
      </c>
      <c r="S73" t="n">
        <v>2</v>
      </c>
      <c r="T73" t="n">
        <v>2</v>
      </c>
      <c r="U73" t="n">
        <v>2</v>
      </c>
      <c r="V73" s="2" t="inlineStr">
        <is>
          <t>Silverblåvinge
Brunklöver</t>
        </is>
      </c>
      <c r="W73">
        <f>HYPERLINK("https://klasma.github.io/Logging_2080/artfynd/A 42302-2023 artfynd.xlsx", "A 42302-2023")</f>
        <v/>
      </c>
      <c r="X73">
        <f>HYPERLINK("https://klasma.github.io/Logging_2080/kartor/A 42302-2023 karta.png", "A 42302-2023")</f>
        <v/>
      </c>
      <c r="Y73">
        <f>HYPERLINK("https://klasma.github.io/Logging_2080/kartor_geotiff/A 42302-2023 georefererad karta.tif", "A 42302-2023")</f>
        <v/>
      </c>
      <c r="AA73">
        <f>HYPERLINK("https://klasma.github.io/Logging_2080/klagomål/A 42302-2023 FSC-klagomål.docx", "A 42302-2023")</f>
        <v/>
      </c>
      <c r="AB73">
        <f>HYPERLINK("https://klasma.github.io/Logging_2080/klagomålsmail/A 42302-2023 FSC-klagomål mail.docx", "A 42302-2023")</f>
        <v/>
      </c>
      <c r="AC73">
        <f>HYPERLINK("https://klasma.github.io/Logging_2080/tillsyn/A 42302-2023 tillsynsbegäran.docx", "A 42302-2023")</f>
        <v/>
      </c>
      <c r="AD73">
        <f>HYPERLINK("https://klasma.github.io/Logging_2080/tillsynsmail/A 42302-2023 tillsynsbegäran mail.docx", "A 42302-2023")</f>
        <v/>
      </c>
    </row>
    <row r="74" ht="15" customHeight="1">
      <c r="A74" t="inlineStr">
        <is>
          <t>A 18714-2023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45043</v>
      </c>
      <c r="E74" s="1" t="n">
        <v>46314</v>
      </c>
      <c r="F74" t="inlineStr">
        <is>
          <t>DALARNAS LÄN</t>
        </is>
      </c>
      <c r="G74" t="inlineStr">
        <is>
          <t>FALUN</t>
        </is>
      </c>
      <c r="I74" t="n">
        <v>1.8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2</v>
      </c>
      <c r="T74" t="n">
        <v>2</v>
      </c>
      <c r="U74" t="n">
        <v>2</v>
      </c>
      <c r="V74" s="2" t="inlineStr">
        <is>
          <t>Gammelgransskål
Bronshjon</t>
        </is>
      </c>
      <c r="W74">
        <f>HYPERLINK("https://klasma.github.io/Logging_2080/artfynd/A 18714-2023 artfynd.xlsx", "A 18714-2023")</f>
        <v/>
      </c>
      <c r="X74">
        <f>HYPERLINK("https://klasma.github.io/Logging_2080/kartor/A 18714-2023 karta.png", "A 18714-2023")</f>
        <v/>
      </c>
      <c r="Y74">
        <f>HYPERLINK("https://klasma.github.io/Logging_2080/kartor_geotiff/A 18714-2023 georefererad karta.tif", "A 18714-2023")</f>
        <v/>
      </c>
      <c r="AA74">
        <f>HYPERLINK("https://klasma.github.io/Logging_2080/klagomål/A 18714-2023 FSC-klagomål.docx", "A 18714-2023")</f>
        <v/>
      </c>
      <c r="AB74">
        <f>HYPERLINK("https://klasma.github.io/Logging_2080/klagomålsmail/A 18714-2023 FSC-klagomål mail.docx", "A 18714-2023")</f>
        <v/>
      </c>
      <c r="AC74">
        <f>HYPERLINK("https://klasma.github.io/Logging_2080/tillsyn/A 18714-2023 tillsynsbegäran.docx", "A 18714-2023")</f>
        <v/>
      </c>
      <c r="AD74">
        <f>HYPERLINK("https://klasma.github.io/Logging_2080/tillsynsmail/A 18714-2023 tillsynsbegäran mail.docx", "A 18714-2023")</f>
        <v/>
      </c>
    </row>
    <row r="75" ht="15" customHeight="1">
      <c r="A75" t="inlineStr">
        <is>
          <t>A 19015-2024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45427</v>
      </c>
      <c r="E75" s="1" t="n">
        <v>46314</v>
      </c>
      <c r="F75" t="inlineStr">
        <is>
          <t>DALARNAS LÄN</t>
        </is>
      </c>
      <c r="G75" t="inlineStr">
        <is>
          <t>FALUN</t>
        </is>
      </c>
      <c r="H75" t="inlineStr">
        <is>
          <t>Bergvik skog väst AB</t>
        </is>
      </c>
      <c r="I75" t="n">
        <v>13.8</v>
      </c>
      <c r="J75" t="n">
        <v>2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2</v>
      </c>
      <c r="T75" t="n">
        <v>2</v>
      </c>
      <c r="U75" t="n">
        <v>2</v>
      </c>
      <c r="V75" s="2" t="inlineStr">
        <is>
          <t>Talltita
Kungsfågel</t>
        </is>
      </c>
      <c r="W75">
        <f>HYPERLINK("https://klasma.github.io/Logging_2080/artfynd/A 19015-2024 artfynd.xlsx", "A 19015-2024")</f>
        <v/>
      </c>
      <c r="X75">
        <f>HYPERLINK("https://klasma.github.io/Logging_2080/kartor/A 19015-2024 karta.png", "A 19015-2024")</f>
        <v/>
      </c>
      <c r="Y75">
        <f>HYPERLINK("https://klasma.github.io/Logging_2080/kartor_geotiff/A 19015-2024 georefererad karta.tif", "A 19015-2024")</f>
        <v/>
      </c>
      <c r="AA75">
        <f>HYPERLINK("https://klasma.github.io/Logging_2080/klagomål/A 19015-2024 FSC-klagomål.docx", "A 19015-2024")</f>
        <v/>
      </c>
      <c r="AB75">
        <f>HYPERLINK("https://klasma.github.io/Logging_2080/klagomålsmail/A 19015-2024 FSC-klagomål mail.docx", "A 19015-2024")</f>
        <v/>
      </c>
      <c r="AC75">
        <f>HYPERLINK("https://klasma.github.io/Logging_2080/tillsyn/A 19015-2024 tillsynsbegäran.docx", "A 19015-2024")</f>
        <v/>
      </c>
      <c r="AD75">
        <f>HYPERLINK("https://klasma.github.io/Logging_2080/tillsynsmail/A 19015-2024 tillsynsbegäran mail.docx", "A 19015-2024")</f>
        <v/>
      </c>
      <c r="AE75">
        <f>HYPERLINK("https://klasma.github.io/Logging_2080/fåglar/A 19015-2024 prioriterade fågelarter.docx", "A 19015-2024")</f>
        <v/>
      </c>
    </row>
    <row r="76" ht="15" customHeight="1">
      <c r="A76" t="inlineStr">
        <is>
          <t>A 20658-2026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46141</v>
      </c>
      <c r="E76" s="1" t="n">
        <v>46314</v>
      </c>
      <c r="F76" t="inlineStr">
        <is>
          <t>DALARNAS LÄN</t>
        </is>
      </c>
      <c r="G76" t="inlineStr">
        <is>
          <t>FALUN</t>
        </is>
      </c>
      <c r="H76" t="inlineStr">
        <is>
          <t>Bergvik skog väst AB</t>
        </is>
      </c>
      <c r="I76" t="n">
        <v>2.2</v>
      </c>
      <c r="J76" t="n">
        <v>1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0</v>
      </c>
      <c r="S76" t="n">
        <v>2</v>
      </c>
      <c r="T76" t="n">
        <v>2</v>
      </c>
      <c r="U76" t="n">
        <v>0</v>
      </c>
      <c r="V76" s="2" t="inlineStr">
        <is>
          <t>Tretåig hackspett
Ullticka</t>
        </is>
      </c>
      <c r="W76">
        <f>HYPERLINK("https://klasma.github.io/Logging_2080/artfynd/A 20658-2026 artfynd.xlsx", "A 20658-2026")</f>
        <v/>
      </c>
      <c r="X76">
        <f>HYPERLINK("https://klasma.github.io/Logging_2080/kartor/A 20658-2026 karta.png", "A 20658-2026")</f>
        <v/>
      </c>
      <c r="Y76">
        <f>HYPERLINK("https://klasma.github.io/Logging_2080/kartor_geotiff/A 20658-2026 georefererad karta.tif", "A 20658-2026")</f>
        <v/>
      </c>
      <c r="AA76">
        <f>HYPERLINK("https://klasma.github.io/Logging_2080/klagomål/A 20658-2026 FSC-klagomål.docx", "A 20658-2026")</f>
        <v/>
      </c>
      <c r="AB76">
        <f>HYPERLINK("https://klasma.github.io/Logging_2080/klagomålsmail/A 20658-2026 FSC-klagomål mail.docx", "A 20658-2026")</f>
        <v/>
      </c>
      <c r="AC76">
        <f>HYPERLINK("https://klasma.github.io/Logging_2080/tillsyn/A 20658-2026 tillsynsbegäran.docx", "A 20658-2026")</f>
        <v/>
      </c>
      <c r="AD76">
        <f>HYPERLINK("https://klasma.github.io/Logging_2080/tillsynsmail/A 20658-2026 tillsynsbegäran mail.docx", "A 20658-2026")</f>
        <v/>
      </c>
      <c r="AE76">
        <f>HYPERLINK("https://klasma.github.io/Logging_2080/fåglar/A 20658-2026 prioriterade fågelarter.docx", "A 20658-2026")</f>
        <v/>
      </c>
    </row>
    <row r="77" ht="15" customHeight="1">
      <c r="A77" t="inlineStr">
        <is>
          <t>A 2968-2026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46037</v>
      </c>
      <c r="E77" s="1" t="n">
        <v>46314</v>
      </c>
      <c r="F77" t="inlineStr">
        <is>
          <t>DALARNAS LÄN</t>
        </is>
      </c>
      <c r="G77" t="inlineStr">
        <is>
          <t>FALUN</t>
        </is>
      </c>
      <c r="I77" t="n">
        <v>12.6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2</v>
      </c>
      <c r="T77" t="n">
        <v>5</v>
      </c>
      <c r="U77" t="n">
        <v>1</v>
      </c>
      <c r="V77" s="2" t="inlineStr">
        <is>
          <t>Garnlav
Tjäder</t>
        </is>
      </c>
      <c r="W77">
        <f>HYPERLINK("https://klasma.github.io/Logging_2080/artfynd/A 2968-2026 artfynd.xlsx", "A 2968-2026")</f>
        <v/>
      </c>
      <c r="X77">
        <f>HYPERLINK("https://klasma.github.io/Logging_2080/kartor/A 2968-2026 karta.png", "A 2968-2026")</f>
        <v/>
      </c>
      <c r="Y77">
        <f>HYPERLINK("https://klasma.github.io/Logging_2080/kartor_geotiff/A 2968-2026 georefererad karta.tif", "A 2968-2026")</f>
        <v/>
      </c>
      <c r="AA77">
        <f>HYPERLINK("https://klasma.github.io/Logging_2080/klagomål/A 2968-2026 FSC-klagomål.docx", "A 2968-2026")</f>
        <v/>
      </c>
      <c r="AB77">
        <f>HYPERLINK("https://klasma.github.io/Logging_2080/klagomålsmail/A 2968-2026 FSC-klagomål mail.docx", "A 2968-2026")</f>
        <v/>
      </c>
      <c r="AC77">
        <f>HYPERLINK("https://klasma.github.io/Logging_2080/tillsyn/A 2968-2026 tillsynsbegäran.docx", "A 2968-2026")</f>
        <v/>
      </c>
      <c r="AD77">
        <f>HYPERLINK("https://klasma.github.io/Logging_2080/tillsynsmail/A 2968-2026 tillsynsbegäran mail.docx", "A 2968-2026")</f>
        <v/>
      </c>
      <c r="AE77">
        <f>HYPERLINK("https://klasma.github.io/Logging_2080/fåglar/A 2968-2026 prioriterade fågelarter.docx", "A 2968-2026")</f>
        <v/>
      </c>
    </row>
    <row r="78" ht="15" customHeight="1">
      <c r="A78" t="inlineStr">
        <is>
          <t>A 41050-2025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45898</v>
      </c>
      <c r="E78" s="1" t="n">
        <v>46314</v>
      </c>
      <c r="F78" t="inlineStr">
        <is>
          <t>DALARNAS LÄN</t>
        </is>
      </c>
      <c r="G78" t="inlineStr">
        <is>
          <t>FALUN</t>
        </is>
      </c>
      <c r="I78" t="n">
        <v>4.7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2</v>
      </c>
      <c r="R78" t="n">
        <v>1</v>
      </c>
      <c r="S78" t="n">
        <v>2</v>
      </c>
      <c r="T78" t="n">
        <v>2</v>
      </c>
      <c r="U78" t="n">
        <v>0</v>
      </c>
      <c r="V78" s="2" t="inlineStr">
        <is>
          <t>Knärot
Motaggsvamp</t>
        </is>
      </c>
      <c r="W78">
        <f>HYPERLINK("https://klasma.github.io/Logging_2080/artfynd/A 41050-2025 artfynd.xlsx", "A 41050-2025")</f>
        <v/>
      </c>
      <c r="X78">
        <f>HYPERLINK("https://klasma.github.io/Logging_2080/kartor/A 41050-2025 karta.png", "A 41050-2025")</f>
        <v/>
      </c>
      <c r="Y78">
        <f>HYPERLINK("https://klasma.github.io/Logging_2080/kartor_geotiff/A 41050-2025 georefererad karta.tif", "A 41050-2025")</f>
        <v/>
      </c>
      <c r="Z78">
        <f>HYPERLINK("https://klasma.github.io/Logging_2080/knärot/A 41050-2025 karta knärot.png", "A 41050-2025")</f>
        <v/>
      </c>
      <c r="AA78">
        <f>HYPERLINK("https://klasma.github.io/Logging_2080/klagomål/A 41050-2025 FSC-klagomål.docx", "A 41050-2025")</f>
        <v/>
      </c>
      <c r="AB78">
        <f>HYPERLINK("https://klasma.github.io/Logging_2080/klagomålsmail/A 41050-2025 FSC-klagomål mail.docx", "A 41050-2025")</f>
        <v/>
      </c>
      <c r="AC78">
        <f>HYPERLINK("https://klasma.github.io/Logging_2080/tillsyn/A 41050-2025 tillsynsbegäran.docx", "A 41050-2025")</f>
        <v/>
      </c>
      <c r="AD78">
        <f>HYPERLINK("https://klasma.github.io/Logging_2080/tillsynsmail/A 41050-2025 tillsynsbegäran mail.docx", "A 41050-2025")</f>
        <v/>
      </c>
    </row>
    <row r="79" ht="15" customHeight="1">
      <c r="A79" t="inlineStr">
        <is>
          <t>A 44727-2025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45917</v>
      </c>
      <c r="E79" s="1" t="n">
        <v>46314</v>
      </c>
      <c r="F79" t="inlineStr">
        <is>
          <t>DALARNAS LÄN</t>
        </is>
      </c>
      <c r="G79" t="inlineStr">
        <is>
          <t>FALUN</t>
        </is>
      </c>
      <c r="I79" t="n">
        <v>1.7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2</v>
      </c>
      <c r="R79" t="n">
        <v>1</v>
      </c>
      <c r="S79" t="n">
        <v>2</v>
      </c>
      <c r="T79" t="n">
        <v>2</v>
      </c>
      <c r="U79" t="n">
        <v>0</v>
      </c>
      <c r="V79" s="2" t="inlineStr">
        <is>
          <t>Knärot
Dropptaggsvamp</t>
        </is>
      </c>
      <c r="W79">
        <f>HYPERLINK("https://klasma.github.io/Logging_2080/artfynd/A 44727-2025 artfynd.xlsx", "A 44727-2025")</f>
        <v/>
      </c>
      <c r="X79">
        <f>HYPERLINK("https://klasma.github.io/Logging_2080/kartor/A 44727-2025 karta.png", "A 44727-2025")</f>
        <v/>
      </c>
      <c r="Y79">
        <f>HYPERLINK("https://klasma.github.io/Logging_2080/kartor_geotiff/A 44727-2025 georefererad karta.tif", "A 44727-2025")</f>
        <v/>
      </c>
      <c r="Z79">
        <f>HYPERLINK("https://klasma.github.io/Logging_2080/knärot/A 44727-2025 karta knärot.png", "A 44727-2025")</f>
        <v/>
      </c>
      <c r="AA79">
        <f>HYPERLINK("https://klasma.github.io/Logging_2080/klagomål/A 44727-2025 FSC-klagomål.docx", "A 44727-2025")</f>
        <v/>
      </c>
      <c r="AB79">
        <f>HYPERLINK("https://klasma.github.io/Logging_2080/klagomålsmail/A 44727-2025 FSC-klagomål mail.docx", "A 44727-2025")</f>
        <v/>
      </c>
      <c r="AC79">
        <f>HYPERLINK("https://klasma.github.io/Logging_2080/tillsyn/A 44727-2025 tillsynsbegäran.docx", "A 44727-2025")</f>
        <v/>
      </c>
      <c r="AD79">
        <f>HYPERLINK("https://klasma.github.io/Logging_2080/tillsynsmail/A 44727-2025 tillsynsbegäran mail.docx", "A 44727-2025")</f>
        <v/>
      </c>
    </row>
    <row r="80" ht="15" customHeight="1">
      <c r="A80" t="inlineStr">
        <is>
          <t>A 26586-2023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45092</v>
      </c>
      <c r="E80" s="1" t="n">
        <v>46314</v>
      </c>
      <c r="F80" t="inlineStr">
        <is>
          <t>DALARNAS LÄN</t>
        </is>
      </c>
      <c r="G80" t="inlineStr">
        <is>
          <t>FALUN</t>
        </is>
      </c>
      <c r="I80" t="n">
        <v>6.1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2</v>
      </c>
      <c r="U80" t="n">
        <v>0</v>
      </c>
      <c r="V80" s="2" t="inlineStr">
        <is>
          <t>Spillkråka
Tjäder</t>
        </is>
      </c>
      <c r="W80">
        <f>HYPERLINK("https://klasma.github.io/Logging_2080/artfynd/A 26586-2023 artfynd.xlsx", "A 26586-2023")</f>
        <v/>
      </c>
      <c r="X80">
        <f>HYPERLINK("https://klasma.github.io/Logging_2080/kartor/A 26586-2023 karta.png", "A 26586-2023")</f>
        <v/>
      </c>
      <c r="Y80">
        <f>HYPERLINK("https://klasma.github.io/Logging_2080/kartor_geotiff/A 26586-2023 georefererad karta.tif", "A 26586-2023")</f>
        <v/>
      </c>
      <c r="AA80">
        <f>HYPERLINK("https://klasma.github.io/Logging_2080/klagomål/A 26586-2023 FSC-klagomål.docx", "A 26586-2023")</f>
        <v/>
      </c>
      <c r="AB80">
        <f>HYPERLINK("https://klasma.github.io/Logging_2080/klagomålsmail/A 26586-2023 FSC-klagomål mail.docx", "A 26586-2023")</f>
        <v/>
      </c>
      <c r="AC80">
        <f>HYPERLINK("https://klasma.github.io/Logging_2080/tillsyn/A 26586-2023 tillsynsbegäran.docx", "A 26586-2023")</f>
        <v/>
      </c>
      <c r="AD80">
        <f>HYPERLINK("https://klasma.github.io/Logging_2080/tillsynsmail/A 26586-2023 tillsynsbegäran mail.docx", "A 26586-2023")</f>
        <v/>
      </c>
      <c r="AE80">
        <f>HYPERLINK("https://klasma.github.io/Logging_2080/fåglar/A 26586-2023 prioriterade fågelarter.docx", "A 26586-2023")</f>
        <v/>
      </c>
    </row>
    <row r="81" ht="15" customHeight="1">
      <c r="A81" t="inlineStr">
        <is>
          <t>A 43266-2023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45183</v>
      </c>
      <c r="E81" s="1" t="n">
        <v>46314</v>
      </c>
      <c r="F81" t="inlineStr">
        <is>
          <t>DALARNAS LÄN</t>
        </is>
      </c>
      <c r="G81" t="inlineStr">
        <is>
          <t>FALUN</t>
        </is>
      </c>
      <c r="H81" t="inlineStr">
        <is>
          <t>Bergvik skog väst AB</t>
        </is>
      </c>
      <c r="I81" t="n">
        <v>0.7</v>
      </c>
      <c r="J81" t="n">
        <v>2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2</v>
      </c>
      <c r="T81" t="n">
        <v>2</v>
      </c>
      <c r="U81" t="n">
        <v>2</v>
      </c>
      <c r="V81" s="2" t="inlineStr">
        <is>
          <t>Brun gräsfjäril
Törnskata</t>
        </is>
      </c>
      <c r="W81">
        <f>HYPERLINK("https://klasma.github.io/Logging_2080/artfynd/A 43266-2023 artfynd.xlsx", "A 43266-2023")</f>
        <v/>
      </c>
      <c r="X81">
        <f>HYPERLINK("https://klasma.github.io/Logging_2080/kartor/A 43266-2023 karta.png", "A 43266-2023")</f>
        <v/>
      </c>
      <c r="Y81">
        <f>HYPERLINK("https://klasma.github.io/Logging_2080/kartor_geotiff/A 43266-2023 georefererad karta.tif", "A 43266-2023")</f>
        <v/>
      </c>
      <c r="AA81">
        <f>HYPERLINK("https://klasma.github.io/Logging_2080/klagomål/A 43266-2023 FSC-klagomål.docx", "A 43266-2023")</f>
        <v/>
      </c>
      <c r="AB81">
        <f>HYPERLINK("https://klasma.github.io/Logging_2080/klagomålsmail/A 43266-2023 FSC-klagomål mail.docx", "A 43266-2023")</f>
        <v/>
      </c>
      <c r="AC81">
        <f>HYPERLINK("https://klasma.github.io/Logging_2080/tillsyn/A 43266-2023 tillsynsbegäran.docx", "A 43266-2023")</f>
        <v/>
      </c>
      <c r="AD81">
        <f>HYPERLINK("https://klasma.github.io/Logging_2080/tillsynsmail/A 43266-2023 tillsynsbegäran mail.docx", "A 43266-2023")</f>
        <v/>
      </c>
      <c r="AE81">
        <f>HYPERLINK("https://klasma.github.io/Logging_2080/fåglar/A 43266-2023 prioriterade fågelarter.docx", "A 43266-2023")</f>
        <v/>
      </c>
    </row>
    <row r="82" ht="15" customHeight="1">
      <c r="A82" t="inlineStr">
        <is>
          <t>A 3280-2026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46041</v>
      </c>
      <c r="E82" s="1" t="n">
        <v>46314</v>
      </c>
      <c r="F82" t="inlineStr">
        <is>
          <t>DALARNAS LÄN</t>
        </is>
      </c>
      <c r="G82" t="inlineStr">
        <is>
          <t>FALUN</t>
        </is>
      </c>
      <c r="I82" t="n">
        <v>30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2</v>
      </c>
      <c r="U82" t="n">
        <v>1</v>
      </c>
      <c r="V82" s="2" t="inlineStr">
        <is>
          <t>Spillkråka
Gröngöling</t>
        </is>
      </c>
      <c r="W82">
        <f>HYPERLINK("https://klasma.github.io/Logging_2080/artfynd/A 3280-2026 artfynd.xlsx", "A 3280-2026")</f>
        <v/>
      </c>
      <c r="X82">
        <f>HYPERLINK("https://klasma.github.io/Logging_2080/kartor/A 3280-2026 karta.png", "A 3280-2026")</f>
        <v/>
      </c>
      <c r="Y82">
        <f>HYPERLINK("https://klasma.github.io/Logging_2080/kartor_geotiff/A 3280-2026 georefererad karta.tif", "A 3280-2026")</f>
        <v/>
      </c>
      <c r="AA82">
        <f>HYPERLINK("https://klasma.github.io/Logging_2080/klagomål/A 3280-2026 FSC-klagomål.docx", "A 3280-2026")</f>
        <v/>
      </c>
      <c r="AB82">
        <f>HYPERLINK("https://klasma.github.io/Logging_2080/klagomålsmail/A 3280-2026 FSC-klagomål mail.docx", "A 3280-2026")</f>
        <v/>
      </c>
      <c r="AC82">
        <f>HYPERLINK("https://klasma.github.io/Logging_2080/tillsyn/A 3280-2026 tillsynsbegäran.docx", "A 3280-2026")</f>
        <v/>
      </c>
      <c r="AD82">
        <f>HYPERLINK("https://klasma.github.io/Logging_2080/tillsynsmail/A 3280-2026 tillsynsbegäran mail.docx", "A 3280-2026")</f>
        <v/>
      </c>
      <c r="AE82">
        <f>HYPERLINK("https://klasma.github.io/Logging_2080/fåglar/A 3280-2026 prioriterade fågelarter.docx", "A 3280-2026")</f>
        <v/>
      </c>
    </row>
    <row r="83" ht="15" customHeight="1">
      <c r="A83" t="inlineStr">
        <is>
          <t>A 3586-2026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46042</v>
      </c>
      <c r="E83" s="1" t="n">
        <v>46314</v>
      </c>
      <c r="F83" t="inlineStr">
        <is>
          <t>DALARNAS LÄN</t>
        </is>
      </c>
      <c r="G83" t="inlineStr">
        <is>
          <t>FALUN</t>
        </is>
      </c>
      <c r="I83" t="n">
        <v>7.6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2</v>
      </c>
      <c r="U83" t="n">
        <v>0</v>
      </c>
      <c r="V83" s="2" t="inlineStr">
        <is>
          <t>Bronshjon
Revlummer</t>
        </is>
      </c>
      <c r="W83">
        <f>HYPERLINK("https://klasma.github.io/Logging_2080/artfynd/A 3586-2026 artfynd.xlsx", "A 3586-2026")</f>
        <v/>
      </c>
      <c r="X83">
        <f>HYPERLINK("https://klasma.github.io/Logging_2080/kartor/A 3586-2026 karta.png", "A 3586-2026")</f>
        <v/>
      </c>
      <c r="Y83">
        <f>HYPERLINK("https://klasma.github.io/Logging_2080/kartor_geotiff/A 3586-2026 georefererad karta.tif", "A 3586-2026")</f>
        <v/>
      </c>
      <c r="AA83">
        <f>HYPERLINK("https://klasma.github.io/Logging_2080/klagomål/A 3586-2026 FSC-klagomål.docx", "A 3586-2026")</f>
        <v/>
      </c>
      <c r="AB83">
        <f>HYPERLINK("https://klasma.github.io/Logging_2080/klagomålsmail/A 3586-2026 FSC-klagomål mail.docx", "A 3586-2026")</f>
        <v/>
      </c>
      <c r="AC83">
        <f>HYPERLINK("https://klasma.github.io/Logging_2080/tillsyn/A 3586-2026 tillsynsbegäran.docx", "A 3586-2026")</f>
        <v/>
      </c>
      <c r="AD83">
        <f>HYPERLINK("https://klasma.github.io/Logging_2080/tillsynsmail/A 3586-2026 tillsynsbegäran mail.docx", "A 3586-2026")</f>
        <v/>
      </c>
    </row>
    <row r="84" ht="15" customHeight="1">
      <c r="A84" t="inlineStr">
        <is>
          <t>A 4244-2026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46045</v>
      </c>
      <c r="E84" s="1" t="n">
        <v>46314</v>
      </c>
      <c r="F84" t="inlineStr">
        <is>
          <t>DALARNAS LÄN</t>
        </is>
      </c>
      <c r="G84" t="inlineStr">
        <is>
          <t>FALUN</t>
        </is>
      </c>
      <c r="I84" t="n">
        <v>3.2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n">
        <v>0</v>
      </c>
      <c r="S84" t="n">
        <v>2</v>
      </c>
      <c r="T84" t="n">
        <v>2</v>
      </c>
      <c r="U84" t="n">
        <v>0</v>
      </c>
      <c r="V84" s="2" t="inlineStr">
        <is>
          <t>Rynkskinn
Ullticka</t>
        </is>
      </c>
      <c r="W84">
        <f>HYPERLINK("https://klasma.github.io/Logging_2080/artfynd/A 4244-2026 artfynd.xlsx", "A 4244-2026")</f>
        <v/>
      </c>
      <c r="X84">
        <f>HYPERLINK("https://klasma.github.io/Logging_2080/kartor/A 4244-2026 karta.png", "A 4244-2026")</f>
        <v/>
      </c>
      <c r="Y84">
        <f>HYPERLINK("https://klasma.github.io/Logging_2080/kartor_geotiff/A 4244-2026 georefererad karta.tif", "A 4244-2026")</f>
        <v/>
      </c>
      <c r="AA84">
        <f>HYPERLINK("https://klasma.github.io/Logging_2080/klagomål/A 4244-2026 FSC-klagomål.docx", "A 4244-2026")</f>
        <v/>
      </c>
      <c r="AB84">
        <f>HYPERLINK("https://klasma.github.io/Logging_2080/klagomålsmail/A 4244-2026 FSC-klagomål mail.docx", "A 4244-2026")</f>
        <v/>
      </c>
      <c r="AC84">
        <f>HYPERLINK("https://klasma.github.io/Logging_2080/tillsyn/A 4244-2026 tillsynsbegäran.docx", "A 4244-2026")</f>
        <v/>
      </c>
      <c r="AD84">
        <f>HYPERLINK("https://klasma.github.io/Logging_2080/tillsynsmail/A 4244-2026 tillsynsbegäran mail.docx", "A 4244-2026")</f>
        <v/>
      </c>
    </row>
    <row r="85" ht="15" customHeight="1">
      <c r="A85" t="inlineStr">
        <is>
          <t>A 3284-2026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46041</v>
      </c>
      <c r="E85" s="1" t="n">
        <v>46314</v>
      </c>
      <c r="F85" t="inlineStr">
        <is>
          <t>DALARNAS LÄN</t>
        </is>
      </c>
      <c r="G85" t="inlineStr">
        <is>
          <t>FALUN</t>
        </is>
      </c>
      <c r="I85" t="n">
        <v>3.5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2</v>
      </c>
      <c r="U85" t="n">
        <v>2</v>
      </c>
      <c r="V85" s="2" t="inlineStr">
        <is>
          <t>Blåbär
Spillkråka</t>
        </is>
      </c>
      <c r="W85">
        <f>HYPERLINK("https://klasma.github.io/Logging_2080/artfynd/A 3284-2026 artfynd.xlsx", "A 3284-2026")</f>
        <v/>
      </c>
      <c r="X85">
        <f>HYPERLINK("https://klasma.github.io/Logging_2080/kartor/A 3284-2026 karta.png", "A 3284-2026")</f>
        <v/>
      </c>
      <c r="Y85">
        <f>HYPERLINK("https://klasma.github.io/Logging_2080/kartor_geotiff/A 3284-2026 georefererad karta.tif", "A 3284-2026")</f>
        <v/>
      </c>
      <c r="AA85">
        <f>HYPERLINK("https://klasma.github.io/Logging_2080/klagomål/A 3284-2026 FSC-klagomål.docx", "A 3284-2026")</f>
        <v/>
      </c>
      <c r="AB85">
        <f>HYPERLINK("https://klasma.github.io/Logging_2080/klagomålsmail/A 3284-2026 FSC-klagomål mail.docx", "A 3284-2026")</f>
        <v/>
      </c>
      <c r="AC85">
        <f>HYPERLINK("https://klasma.github.io/Logging_2080/tillsyn/A 3284-2026 tillsynsbegäran.docx", "A 3284-2026")</f>
        <v/>
      </c>
      <c r="AD85">
        <f>HYPERLINK("https://klasma.github.io/Logging_2080/tillsynsmail/A 3284-2026 tillsynsbegäran mail.docx", "A 3284-2026")</f>
        <v/>
      </c>
      <c r="AE85">
        <f>HYPERLINK("https://klasma.github.io/Logging_2080/fåglar/A 3284-2026 prioriterade fågelarter.docx", "A 3284-2026")</f>
        <v/>
      </c>
    </row>
    <row r="86" ht="15" customHeight="1">
      <c r="A86" t="inlineStr">
        <is>
          <t>A 6400-2026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46055</v>
      </c>
      <c r="E86" s="1" t="n">
        <v>46314</v>
      </c>
      <c r="F86" t="inlineStr">
        <is>
          <t>DALARNAS LÄN</t>
        </is>
      </c>
      <c r="G86" t="inlineStr">
        <is>
          <t>FALUN</t>
        </is>
      </c>
      <c r="I86" t="n">
        <v>3.3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</v>
      </c>
      <c r="T86" t="n">
        <v>3</v>
      </c>
      <c r="U86" t="n">
        <v>3</v>
      </c>
      <c r="V86" s="2" t="inlineStr">
        <is>
          <t>Spillkråka
Revlummer</t>
        </is>
      </c>
      <c r="W86">
        <f>HYPERLINK("https://klasma.github.io/Logging_2080/artfynd/A 6400-2026 artfynd.xlsx", "A 6400-2026")</f>
        <v/>
      </c>
      <c r="X86">
        <f>HYPERLINK("https://klasma.github.io/Logging_2080/kartor/A 6400-2026 karta.png", "A 6400-2026")</f>
        <v/>
      </c>
      <c r="Y86">
        <f>HYPERLINK("https://klasma.github.io/Logging_2080/kartor_geotiff/A 6400-2026 georefererad karta.tif", "A 6400-2026")</f>
        <v/>
      </c>
      <c r="AA86">
        <f>HYPERLINK("https://klasma.github.io/Logging_2080/klagomål/A 6400-2026 FSC-klagomål.docx", "A 6400-2026")</f>
        <v/>
      </c>
      <c r="AB86">
        <f>HYPERLINK("https://klasma.github.io/Logging_2080/klagomålsmail/A 6400-2026 FSC-klagomål mail.docx", "A 6400-2026")</f>
        <v/>
      </c>
      <c r="AC86">
        <f>HYPERLINK("https://klasma.github.io/Logging_2080/tillsyn/A 6400-2026 tillsynsbegäran.docx", "A 6400-2026")</f>
        <v/>
      </c>
      <c r="AD86">
        <f>HYPERLINK("https://klasma.github.io/Logging_2080/tillsynsmail/A 6400-2026 tillsynsbegäran mail.docx", "A 6400-2026")</f>
        <v/>
      </c>
      <c r="AE86">
        <f>HYPERLINK("https://klasma.github.io/Logging_2080/fåglar/A 6400-2026 prioriterade fågelarter.docx", "A 6400-2026")</f>
        <v/>
      </c>
    </row>
    <row r="87" ht="15" customHeight="1">
      <c r="A87" t="inlineStr">
        <is>
          <t>A 11348-2026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46082</v>
      </c>
      <c r="E87" s="1" t="n">
        <v>46314</v>
      </c>
      <c r="F87" t="inlineStr">
        <is>
          <t>DALARNAS LÄN</t>
        </is>
      </c>
      <c r="G87" t="inlineStr">
        <is>
          <t>FALUN</t>
        </is>
      </c>
      <c r="I87" t="n">
        <v>36.7</v>
      </c>
      <c r="J87" t="n">
        <v>2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</v>
      </c>
      <c r="T87" t="n">
        <v>2</v>
      </c>
      <c r="U87" t="n">
        <v>0</v>
      </c>
      <c r="V87" s="2" t="inlineStr">
        <is>
          <t>Plattlummer
Spillkråka</t>
        </is>
      </c>
      <c r="W87">
        <f>HYPERLINK("https://klasma.github.io/Logging_2080/artfynd/A 11348-2026 artfynd.xlsx", "A 11348-2026")</f>
        <v/>
      </c>
      <c r="X87">
        <f>HYPERLINK("https://klasma.github.io/Logging_2080/kartor/A 11348-2026 karta.png", "A 11348-2026")</f>
        <v/>
      </c>
      <c r="Y87">
        <f>HYPERLINK("https://klasma.github.io/Logging_2080/kartor_geotiff/A 11348-2026 georefererad karta.tif", "A 11348-2026")</f>
        <v/>
      </c>
      <c r="Z87">
        <f>HYPERLINK("https://klasma.github.io/Logging_2080/knärot/A 11348-2026 karta knärot.png", "A 11348-2026")</f>
        <v/>
      </c>
      <c r="AA87">
        <f>HYPERLINK("https://klasma.github.io/Logging_2080/klagomål/A 11348-2026 FSC-klagomål.docx", "A 11348-2026")</f>
        <v/>
      </c>
      <c r="AB87">
        <f>HYPERLINK("https://klasma.github.io/Logging_2080/klagomålsmail/A 11348-2026 FSC-klagomål mail.docx", "A 11348-2026")</f>
        <v/>
      </c>
      <c r="AC87">
        <f>HYPERLINK("https://klasma.github.io/Logging_2080/tillsyn/A 11348-2026 tillsynsbegäran.docx", "A 11348-2026")</f>
        <v/>
      </c>
      <c r="AD87">
        <f>HYPERLINK("https://klasma.github.io/Logging_2080/tillsynsmail/A 11348-2026 tillsynsbegäran mail.docx", "A 11348-2026")</f>
        <v/>
      </c>
      <c r="AE87">
        <f>HYPERLINK("https://klasma.github.io/Logging_2080/fåglar/A 11348-2026 prioriterade fågelarter.docx", "A 11348-2026")</f>
        <v/>
      </c>
    </row>
    <row r="88" ht="15" customHeight="1">
      <c r="A88" t="inlineStr">
        <is>
          <t>A 12420-2026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46090</v>
      </c>
      <c r="E88" s="1" t="n">
        <v>46314</v>
      </c>
      <c r="F88" t="inlineStr">
        <is>
          <t>DALARNAS LÄN</t>
        </is>
      </c>
      <c r="G88" t="inlineStr">
        <is>
          <t>FALUN</t>
        </is>
      </c>
      <c r="H88" t="inlineStr">
        <is>
          <t>Bergvik skog väst AB</t>
        </is>
      </c>
      <c r="I88" t="n">
        <v>21.8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2</v>
      </c>
      <c r="U88" t="n">
        <v>0</v>
      </c>
      <c r="V88" s="2" t="inlineStr">
        <is>
          <t>Tjäder
Kungsfågel</t>
        </is>
      </c>
      <c r="W88">
        <f>HYPERLINK("https://klasma.github.io/Logging_2080/artfynd/A 12420-2026 artfynd.xlsx", "A 12420-2026")</f>
        <v/>
      </c>
      <c r="X88">
        <f>HYPERLINK("https://klasma.github.io/Logging_2080/kartor/A 12420-2026 karta.png", "A 12420-2026")</f>
        <v/>
      </c>
      <c r="Y88">
        <f>HYPERLINK("https://klasma.github.io/Logging_2080/kartor_geotiff/A 12420-2026 georefererad karta.tif", "A 12420-2026")</f>
        <v/>
      </c>
      <c r="AA88">
        <f>HYPERLINK("https://klasma.github.io/Logging_2080/klagomål/A 12420-2026 FSC-klagomål.docx", "A 12420-2026")</f>
        <v/>
      </c>
      <c r="AB88">
        <f>HYPERLINK("https://klasma.github.io/Logging_2080/klagomålsmail/A 12420-2026 FSC-klagomål mail.docx", "A 12420-2026")</f>
        <v/>
      </c>
      <c r="AC88">
        <f>HYPERLINK("https://klasma.github.io/Logging_2080/tillsyn/A 12420-2026 tillsynsbegäran.docx", "A 12420-2026")</f>
        <v/>
      </c>
      <c r="AD88">
        <f>HYPERLINK("https://klasma.github.io/Logging_2080/tillsynsmail/A 12420-2026 tillsynsbegäran mail.docx", "A 12420-2026")</f>
        <v/>
      </c>
      <c r="AE88">
        <f>HYPERLINK("https://klasma.github.io/Logging_2080/fåglar/A 12420-2026 prioriterade fågelarter.docx", "A 12420-2026")</f>
        <v/>
      </c>
    </row>
    <row r="89" ht="15" customHeight="1">
      <c r="A89" t="inlineStr">
        <is>
          <t>A 12431-2026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46090</v>
      </c>
      <c r="E89" s="1" t="n">
        <v>46314</v>
      </c>
      <c r="F89" t="inlineStr">
        <is>
          <t>DALARNAS LÄN</t>
        </is>
      </c>
      <c r="G89" t="inlineStr">
        <is>
          <t>FALUN</t>
        </is>
      </c>
      <c r="H89" t="inlineStr">
        <is>
          <t>Bergvik skog väst AB</t>
        </is>
      </c>
      <c r="I89" t="n">
        <v>3.2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2</v>
      </c>
      <c r="U89" t="n">
        <v>2</v>
      </c>
      <c r="V89" s="2" t="inlineStr">
        <is>
          <t>Kärrviol
Revlummer</t>
        </is>
      </c>
      <c r="W89">
        <f>HYPERLINK("https://klasma.github.io/Logging_2080/artfynd/A 12431-2026 artfynd.xlsx", "A 12431-2026")</f>
        <v/>
      </c>
      <c r="X89">
        <f>HYPERLINK("https://klasma.github.io/Logging_2080/kartor/A 12431-2026 karta.png", "A 12431-2026")</f>
        <v/>
      </c>
      <c r="Y89">
        <f>HYPERLINK("https://klasma.github.io/Logging_2080/kartor_geotiff/A 12431-2026 georefererad karta.tif", "A 12431-2026")</f>
        <v/>
      </c>
      <c r="AA89">
        <f>HYPERLINK("https://klasma.github.io/Logging_2080/klagomål/A 12431-2026 FSC-klagomål.docx", "A 12431-2026")</f>
        <v/>
      </c>
      <c r="AB89">
        <f>HYPERLINK("https://klasma.github.io/Logging_2080/klagomålsmail/A 12431-2026 FSC-klagomål mail.docx", "A 12431-2026")</f>
        <v/>
      </c>
      <c r="AC89">
        <f>HYPERLINK("https://klasma.github.io/Logging_2080/tillsyn/A 12431-2026 tillsynsbegäran.docx", "A 12431-2026")</f>
        <v/>
      </c>
      <c r="AD89">
        <f>HYPERLINK("https://klasma.github.io/Logging_2080/tillsynsmail/A 12431-2026 tillsynsbegäran mail.docx", "A 12431-2026")</f>
        <v/>
      </c>
    </row>
    <row r="90" ht="15" customHeight="1">
      <c r="A90" t="inlineStr">
        <is>
          <t>A 12786-2026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46091</v>
      </c>
      <c r="E90" s="1" t="n">
        <v>46314</v>
      </c>
      <c r="F90" t="inlineStr">
        <is>
          <t>DALARNAS LÄN</t>
        </is>
      </c>
      <c r="G90" t="inlineStr">
        <is>
          <t>FALUN</t>
        </is>
      </c>
      <c r="H90" t="inlineStr">
        <is>
          <t>Bergvik skog väst AB</t>
        </is>
      </c>
      <c r="I90" t="n">
        <v>45.9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2</v>
      </c>
      <c r="T90" t="n">
        <v>2</v>
      </c>
      <c r="U90" t="n">
        <v>0</v>
      </c>
      <c r="V90" s="2" t="inlineStr">
        <is>
          <t>Månlåsbräken
Tjäder</t>
        </is>
      </c>
      <c r="W90">
        <f>HYPERLINK("https://klasma.github.io/Logging_2080/artfynd/A 12786-2026 artfynd.xlsx", "A 12786-2026")</f>
        <v/>
      </c>
      <c r="X90">
        <f>HYPERLINK("https://klasma.github.io/Logging_2080/kartor/A 12786-2026 karta.png", "A 12786-2026")</f>
        <v/>
      </c>
      <c r="Y90">
        <f>HYPERLINK("https://klasma.github.io/Logging_2080/kartor_geotiff/A 12786-2026 georefererad karta.tif", "A 12786-2026")</f>
        <v/>
      </c>
      <c r="AA90">
        <f>HYPERLINK("https://klasma.github.io/Logging_2080/klagomål/A 12786-2026 FSC-klagomål.docx", "A 12786-2026")</f>
        <v/>
      </c>
      <c r="AB90">
        <f>HYPERLINK("https://klasma.github.io/Logging_2080/klagomålsmail/A 12786-2026 FSC-klagomål mail.docx", "A 12786-2026")</f>
        <v/>
      </c>
      <c r="AC90">
        <f>HYPERLINK("https://klasma.github.io/Logging_2080/tillsyn/A 12786-2026 tillsynsbegäran.docx", "A 12786-2026")</f>
        <v/>
      </c>
      <c r="AD90">
        <f>HYPERLINK("https://klasma.github.io/Logging_2080/tillsynsmail/A 12786-2026 tillsynsbegäran mail.docx", "A 12786-2026")</f>
        <v/>
      </c>
      <c r="AE90">
        <f>HYPERLINK("https://klasma.github.io/Logging_2080/fåglar/A 12786-2026 prioriterade fågelarter.docx", "A 12786-2026")</f>
        <v/>
      </c>
    </row>
    <row r="91" ht="15" customHeight="1">
      <c r="A91" t="inlineStr">
        <is>
          <t>A 13946-2026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46098</v>
      </c>
      <c r="E91" s="1" t="n">
        <v>46314</v>
      </c>
      <c r="F91" t="inlineStr">
        <is>
          <t>DALARNAS LÄN</t>
        </is>
      </c>
      <c r="G91" t="inlineStr">
        <is>
          <t>FALUN</t>
        </is>
      </c>
      <c r="H91" t="inlineStr">
        <is>
          <t>Allmännings- och besparingsskogar</t>
        </is>
      </c>
      <c r="I91" t="n">
        <v>12.5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0</v>
      </c>
      <c r="S91" t="n">
        <v>2</v>
      </c>
      <c r="T91" t="n">
        <v>2</v>
      </c>
      <c r="U91" t="n">
        <v>2</v>
      </c>
      <c r="V91" s="2" t="inlineStr">
        <is>
          <t>Dropptaggsvamp
Ullticka</t>
        </is>
      </c>
      <c r="W91">
        <f>HYPERLINK("https://klasma.github.io/Logging_2080/artfynd/A 13946-2026 artfynd.xlsx", "A 13946-2026")</f>
        <v/>
      </c>
      <c r="X91">
        <f>HYPERLINK("https://klasma.github.io/Logging_2080/kartor/A 13946-2026 karta.png", "A 13946-2026")</f>
        <v/>
      </c>
      <c r="Y91">
        <f>HYPERLINK("https://klasma.github.io/Logging_2080/kartor_geotiff/A 13946-2026 georefererad karta.tif", "A 13946-2026")</f>
        <v/>
      </c>
      <c r="AA91">
        <f>HYPERLINK("https://klasma.github.io/Logging_2080/klagomål/A 13946-2026 FSC-klagomål.docx", "A 13946-2026")</f>
        <v/>
      </c>
      <c r="AB91">
        <f>HYPERLINK("https://klasma.github.io/Logging_2080/klagomålsmail/A 13946-2026 FSC-klagomål mail.docx", "A 13946-2026")</f>
        <v/>
      </c>
      <c r="AC91">
        <f>HYPERLINK("https://klasma.github.io/Logging_2080/tillsyn/A 13946-2026 tillsynsbegäran.docx", "A 13946-2026")</f>
        <v/>
      </c>
      <c r="AD91">
        <f>HYPERLINK("https://klasma.github.io/Logging_2080/tillsynsmail/A 13946-2026 tillsynsbegäran mail.docx", "A 13946-2026")</f>
        <v/>
      </c>
    </row>
    <row r="92" ht="15" customHeight="1">
      <c r="A92" t="inlineStr">
        <is>
          <t>A 15875-2026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46107</v>
      </c>
      <c r="E92" s="1" t="n">
        <v>46314</v>
      </c>
      <c r="F92" t="inlineStr">
        <is>
          <t>DALARNAS LÄN</t>
        </is>
      </c>
      <c r="G92" t="inlineStr">
        <is>
          <t>FALUN</t>
        </is>
      </c>
      <c r="I92" t="n">
        <v>2.8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2</v>
      </c>
      <c r="U92" t="n">
        <v>0</v>
      </c>
      <c r="V92" s="2" t="inlineStr">
        <is>
          <t>Fläcknycklar
Revlummer</t>
        </is>
      </c>
      <c r="W92">
        <f>HYPERLINK("https://klasma.github.io/Logging_2080/artfynd/A 15875-2026 artfynd.xlsx", "A 15875-2026")</f>
        <v/>
      </c>
      <c r="X92">
        <f>HYPERLINK("https://klasma.github.io/Logging_2080/kartor/A 15875-2026 karta.png", "A 15875-2026")</f>
        <v/>
      </c>
      <c r="Y92">
        <f>HYPERLINK("https://klasma.github.io/Logging_2080/kartor_geotiff/A 15875-2026 georefererad karta.tif", "A 15875-2026")</f>
        <v/>
      </c>
      <c r="AA92">
        <f>HYPERLINK("https://klasma.github.io/Logging_2080/klagomål/A 15875-2026 FSC-klagomål.docx", "A 15875-2026")</f>
        <v/>
      </c>
      <c r="AB92">
        <f>HYPERLINK("https://klasma.github.io/Logging_2080/klagomålsmail/A 15875-2026 FSC-klagomål mail.docx", "A 15875-2026")</f>
        <v/>
      </c>
      <c r="AC92">
        <f>HYPERLINK("https://klasma.github.io/Logging_2080/tillsyn/A 15875-2026 tillsynsbegäran.docx", "A 15875-2026")</f>
        <v/>
      </c>
      <c r="AD92">
        <f>HYPERLINK("https://klasma.github.io/Logging_2080/tillsynsmail/A 15875-2026 tillsynsbegäran mail.docx", "A 15875-2026")</f>
        <v/>
      </c>
    </row>
    <row r="93" ht="15" customHeight="1">
      <c r="A93" t="inlineStr">
        <is>
          <t>A 8751-2024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45356</v>
      </c>
      <c r="E93" s="1" t="n">
        <v>46314</v>
      </c>
      <c r="F93" t="inlineStr">
        <is>
          <t>DALARNAS LÄN</t>
        </is>
      </c>
      <c r="G93" t="inlineStr">
        <is>
          <t>FALUN</t>
        </is>
      </c>
      <c r="I93" t="n">
        <v>6</v>
      </c>
      <c r="J93" t="n">
        <v>2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2</v>
      </c>
      <c r="T93" t="n">
        <v>2</v>
      </c>
      <c r="U93" t="n">
        <v>2</v>
      </c>
      <c r="V93" s="2" t="inlineStr">
        <is>
          <t>Knärot
Vanlig groda</t>
        </is>
      </c>
      <c r="W93">
        <f>HYPERLINK("https://klasma.github.io/Logging_2080/artfynd/A 8751-2024 artfynd.xlsx", "A 8751-2024")</f>
        <v/>
      </c>
      <c r="X93">
        <f>HYPERLINK("https://klasma.github.io/Logging_2080/kartor/A 8751-2024 karta.png", "A 8751-2024")</f>
        <v/>
      </c>
      <c r="Y93">
        <f>HYPERLINK("https://klasma.github.io/Logging_2080/kartor_geotiff/A 8751-2024 georefererad karta.tif", "A 8751-2024")</f>
        <v/>
      </c>
      <c r="Z93">
        <f>HYPERLINK("https://klasma.github.io/Logging_2080/knärot/A 8751-2024 karta knärot.png", "A 8751-2024")</f>
        <v/>
      </c>
      <c r="AA93">
        <f>HYPERLINK("https://klasma.github.io/Logging_2080/klagomål/A 8751-2024 FSC-klagomål.docx", "A 8751-2024")</f>
        <v/>
      </c>
      <c r="AB93">
        <f>HYPERLINK("https://klasma.github.io/Logging_2080/klagomålsmail/A 8751-2024 FSC-klagomål mail.docx", "A 8751-2024")</f>
        <v/>
      </c>
      <c r="AC93">
        <f>HYPERLINK("https://klasma.github.io/Logging_2080/tillsyn/A 8751-2024 tillsynsbegäran.docx", "A 8751-2024")</f>
        <v/>
      </c>
      <c r="AD93">
        <f>HYPERLINK("https://klasma.github.io/Logging_2080/tillsynsmail/A 8751-2024 tillsynsbegäran mail.docx", "A 8751-2024")</f>
        <v/>
      </c>
    </row>
    <row r="94" ht="15" customHeight="1">
      <c r="A94" t="inlineStr">
        <is>
          <t>A 18031-2026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46125</v>
      </c>
      <c r="E94" s="1" t="n">
        <v>46314</v>
      </c>
      <c r="F94" t="inlineStr">
        <is>
          <t>DALARNAS LÄN</t>
        </is>
      </c>
      <c r="G94" t="inlineStr">
        <is>
          <t>FALUN</t>
        </is>
      </c>
      <c r="H94" t="inlineStr">
        <is>
          <t>Bergvik skog väst AB</t>
        </is>
      </c>
      <c r="I94" t="n">
        <v>9.1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</v>
      </c>
      <c r="T94" t="n">
        <v>3</v>
      </c>
      <c r="U94" t="n">
        <v>3</v>
      </c>
      <c r="V94" s="2" t="inlineStr">
        <is>
          <t>Slät tallkapuschongbagge
Mindre märgborre</t>
        </is>
      </c>
      <c r="W94">
        <f>HYPERLINK("https://klasma.github.io/Logging_2080/artfynd/A 18031-2026 artfynd.xlsx", "A 18031-2026")</f>
        <v/>
      </c>
      <c r="X94">
        <f>HYPERLINK("https://klasma.github.io/Logging_2080/kartor/A 18031-2026 karta.png", "A 18031-2026")</f>
        <v/>
      </c>
      <c r="Y94">
        <f>HYPERLINK("https://klasma.github.io/Logging_2080/kartor_geotiff/A 18031-2026 georefererad karta.tif", "A 18031-2026")</f>
        <v/>
      </c>
      <c r="AA94">
        <f>HYPERLINK("https://klasma.github.io/Logging_2080/klagomål/A 18031-2026 FSC-klagomål.docx", "A 18031-2026")</f>
        <v/>
      </c>
      <c r="AB94">
        <f>HYPERLINK("https://klasma.github.io/Logging_2080/klagomålsmail/A 18031-2026 FSC-klagomål mail.docx", "A 18031-2026")</f>
        <v/>
      </c>
      <c r="AC94">
        <f>HYPERLINK("https://klasma.github.io/Logging_2080/tillsyn/A 18031-2026 tillsynsbegäran.docx", "A 18031-2026")</f>
        <v/>
      </c>
      <c r="AD94">
        <f>HYPERLINK("https://klasma.github.io/Logging_2080/tillsynsmail/A 18031-2026 tillsynsbegäran mail.docx", "A 18031-2026")</f>
        <v/>
      </c>
    </row>
    <row r="95" ht="15" customHeight="1">
      <c r="A95" t="inlineStr">
        <is>
          <t>A 19752-2026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46135</v>
      </c>
      <c r="E95" s="1" t="n">
        <v>46314</v>
      </c>
      <c r="F95" t="inlineStr">
        <is>
          <t>DALARNAS LÄN</t>
        </is>
      </c>
      <c r="G95" t="inlineStr">
        <is>
          <t>FALUN</t>
        </is>
      </c>
      <c r="I95" t="n">
        <v>2.9</v>
      </c>
      <c r="J95" t="n">
        <v>2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2</v>
      </c>
      <c r="T95" t="n">
        <v>2</v>
      </c>
      <c r="U95" t="n">
        <v>0</v>
      </c>
      <c r="V95" s="2" t="inlineStr">
        <is>
          <t>Talltita
Kungsfågel</t>
        </is>
      </c>
      <c r="W95">
        <f>HYPERLINK("https://klasma.github.io/Logging_2080/artfynd/A 19752-2026 artfynd.xlsx", "A 19752-2026")</f>
        <v/>
      </c>
      <c r="X95">
        <f>HYPERLINK("https://klasma.github.io/Logging_2080/kartor/A 19752-2026 karta.png", "A 19752-2026")</f>
        <v/>
      </c>
      <c r="Y95">
        <f>HYPERLINK("https://klasma.github.io/Logging_2080/kartor_geotiff/A 19752-2026 georefererad karta.tif", "A 19752-2026")</f>
        <v/>
      </c>
      <c r="AA95">
        <f>HYPERLINK("https://klasma.github.io/Logging_2080/klagomål/A 19752-2026 FSC-klagomål.docx", "A 19752-2026")</f>
        <v/>
      </c>
      <c r="AB95">
        <f>HYPERLINK("https://klasma.github.io/Logging_2080/klagomålsmail/A 19752-2026 FSC-klagomål mail.docx", "A 19752-2026")</f>
        <v/>
      </c>
      <c r="AC95">
        <f>HYPERLINK("https://klasma.github.io/Logging_2080/tillsyn/A 19752-2026 tillsynsbegäran.docx", "A 19752-2026")</f>
        <v/>
      </c>
      <c r="AD95">
        <f>HYPERLINK("https://klasma.github.io/Logging_2080/tillsynsmail/A 19752-2026 tillsynsbegäran mail.docx", "A 19752-2026")</f>
        <v/>
      </c>
      <c r="AE95">
        <f>HYPERLINK("https://klasma.github.io/Logging_2080/fåglar/A 19752-2026 prioriterade fågelarter.docx", "A 19752-2026")</f>
        <v/>
      </c>
    </row>
    <row r="96" ht="15" customHeight="1">
      <c r="A96" t="inlineStr">
        <is>
          <t>A 17368-2026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46119</v>
      </c>
      <c r="E96" s="1" t="n">
        <v>46314</v>
      </c>
      <c r="F96" t="inlineStr">
        <is>
          <t>DALARNAS LÄN</t>
        </is>
      </c>
      <c r="G96" t="inlineStr">
        <is>
          <t>FALUN</t>
        </is>
      </c>
      <c r="I96" t="n">
        <v>1.1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0</v>
      </c>
      <c r="S96" t="n">
        <v>2</v>
      </c>
      <c r="T96" t="n">
        <v>2</v>
      </c>
      <c r="U96" t="n">
        <v>0</v>
      </c>
      <c r="V96" s="2" t="inlineStr">
        <is>
          <t>Rosenticka
Ullticka</t>
        </is>
      </c>
      <c r="W96">
        <f>HYPERLINK("https://klasma.github.io/Logging_2080/artfynd/A 17368-2026 artfynd.xlsx", "A 17368-2026")</f>
        <v/>
      </c>
      <c r="X96">
        <f>HYPERLINK("https://klasma.github.io/Logging_2080/kartor/A 17368-2026 karta.png", "A 17368-2026")</f>
        <v/>
      </c>
      <c r="Y96">
        <f>HYPERLINK("https://klasma.github.io/Logging_2080/kartor_geotiff/A 17368-2026 georefererad karta.tif", "A 17368-2026")</f>
        <v/>
      </c>
      <c r="AA96">
        <f>HYPERLINK("https://klasma.github.io/Logging_2080/klagomål/A 17368-2026 FSC-klagomål.docx", "A 17368-2026")</f>
        <v/>
      </c>
      <c r="AB96">
        <f>HYPERLINK("https://klasma.github.io/Logging_2080/klagomålsmail/A 17368-2026 FSC-klagomål mail.docx", "A 17368-2026")</f>
        <v/>
      </c>
      <c r="AC96">
        <f>HYPERLINK("https://klasma.github.io/Logging_2080/tillsyn/A 17368-2026 tillsynsbegäran.docx", "A 17368-2026")</f>
        <v/>
      </c>
      <c r="AD96">
        <f>HYPERLINK("https://klasma.github.io/Logging_2080/tillsynsmail/A 17368-2026 tillsynsbegäran mail.docx", "A 17368-2026")</f>
        <v/>
      </c>
    </row>
    <row r="97" ht="15" customHeight="1">
      <c r="A97" t="inlineStr">
        <is>
          <t>A 45869-2023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45195</v>
      </c>
      <c r="E97" s="1" t="n">
        <v>46314</v>
      </c>
      <c r="F97" t="inlineStr">
        <is>
          <t>DALARNAS LÄN</t>
        </is>
      </c>
      <c r="G97" t="inlineStr">
        <is>
          <t>FALUN</t>
        </is>
      </c>
      <c r="I97" t="n">
        <v>2.8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</v>
      </c>
      <c r="T97" t="n">
        <v>2</v>
      </c>
      <c r="U97" t="n">
        <v>2</v>
      </c>
      <c r="V97" s="2" t="inlineStr">
        <is>
          <t>Mindre vattensalamander
Vanlig padda</t>
        </is>
      </c>
      <c r="W97">
        <f>HYPERLINK("https://klasma.github.io/Logging_2080/artfynd/A 45869-2023 artfynd.xlsx", "A 45869-2023")</f>
        <v/>
      </c>
      <c r="X97">
        <f>HYPERLINK("https://klasma.github.io/Logging_2080/kartor/A 45869-2023 karta.png", "A 45869-2023")</f>
        <v/>
      </c>
      <c r="Y97">
        <f>HYPERLINK("https://klasma.github.io/Logging_2080/kartor_geotiff/A 45869-2023 georefererad karta.tif", "A 45869-2023")</f>
        <v/>
      </c>
      <c r="AA97">
        <f>HYPERLINK("https://klasma.github.io/Logging_2080/klagomål/A 45869-2023 FSC-klagomål.docx", "A 45869-2023")</f>
        <v/>
      </c>
      <c r="AB97">
        <f>HYPERLINK("https://klasma.github.io/Logging_2080/klagomålsmail/A 45869-2023 FSC-klagomål mail.docx", "A 45869-2023")</f>
        <v/>
      </c>
      <c r="AC97">
        <f>HYPERLINK("https://klasma.github.io/Logging_2080/tillsyn/A 45869-2023 tillsynsbegäran.docx", "A 45869-2023")</f>
        <v/>
      </c>
      <c r="AD97">
        <f>HYPERLINK("https://klasma.github.io/Logging_2080/tillsynsmail/A 45869-2023 tillsynsbegäran mail.docx", "A 45869-2023")</f>
        <v/>
      </c>
    </row>
    <row r="98" ht="15" customHeight="1">
      <c r="A98" t="inlineStr">
        <is>
          <t>A 33811-2026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46251</v>
      </c>
      <c r="E98" s="1" t="n">
        <v>46314</v>
      </c>
      <c r="F98" t="inlineStr">
        <is>
          <t>DALARNAS LÄN</t>
        </is>
      </c>
      <c r="G98" t="inlineStr">
        <is>
          <t>FALUN</t>
        </is>
      </c>
      <c r="I98" t="n">
        <v>2.6</v>
      </c>
      <c r="J98" t="n">
        <v>1</v>
      </c>
      <c r="K98" t="n">
        <v>0</v>
      </c>
      <c r="L98" t="n">
        <v>0</v>
      </c>
      <c r="M98" t="n">
        <v>2</v>
      </c>
      <c r="N98" t="n">
        <v>0</v>
      </c>
      <c r="O98" t="n">
        <v>0</v>
      </c>
      <c r="P98" t="n">
        <v>0</v>
      </c>
      <c r="Q98" t="n">
        <v>2</v>
      </c>
      <c r="R98" t="n">
        <v>2</v>
      </c>
      <c r="S98" t="n">
        <v>2</v>
      </c>
      <c r="T98" t="n">
        <v>6</v>
      </c>
      <c r="U98" t="n">
        <v>6</v>
      </c>
      <c r="V98" s="2" t="inlineStr">
        <is>
          <t>Garnlav
Knärot</t>
        </is>
      </c>
      <c r="W98">
        <f>HYPERLINK("https://klasma.github.io/Logging_2080/artfynd/A 33811-2026 artfynd.xlsx", "A 33811-2026")</f>
        <v/>
      </c>
      <c r="X98">
        <f>HYPERLINK("https://klasma.github.io/Logging_2080/kartor/A 33811-2026 karta.png", "A 33811-2026")</f>
        <v/>
      </c>
      <c r="Y98">
        <f>HYPERLINK("https://klasma.github.io/Logging_2080/kartor_geotiff/A 33811-2026 georefererad karta.tif", "A 33811-2026")</f>
        <v/>
      </c>
      <c r="Z98">
        <f>HYPERLINK("https://klasma.github.io/Logging_2080/knärot/A 33811-2026 karta knärot.png", "A 33811-2026")</f>
        <v/>
      </c>
      <c r="AA98">
        <f>HYPERLINK("https://klasma.github.io/Logging_2080/klagomål/A 33811-2026 FSC-klagomål.docx", "A 33811-2026")</f>
        <v/>
      </c>
      <c r="AB98">
        <f>HYPERLINK("https://klasma.github.io/Logging_2080/klagomålsmail/A 33811-2026 FSC-klagomål mail.docx", "A 33811-2026")</f>
        <v/>
      </c>
      <c r="AC98">
        <f>HYPERLINK("https://klasma.github.io/Logging_2080/tillsyn/A 33811-2026 tillsynsbegäran.docx", "A 33811-2026")</f>
        <v/>
      </c>
      <c r="AD98">
        <f>HYPERLINK("https://klasma.github.io/Logging_2080/tillsynsmail/A 33811-2026 tillsynsbegäran mail.docx", "A 33811-2026")</f>
        <v/>
      </c>
    </row>
    <row r="99" ht="15" customHeight="1">
      <c r="A99" t="inlineStr">
        <is>
          <t>A 40906-2026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46297</v>
      </c>
      <c r="E99" s="1" t="n">
        <v>46314</v>
      </c>
      <c r="F99" t="inlineStr">
        <is>
          <t>DALARNAS LÄN</t>
        </is>
      </c>
      <c r="G99" t="inlineStr">
        <is>
          <t>FALUN</t>
        </is>
      </c>
      <c r="I99" t="n">
        <v>1.5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3</v>
      </c>
      <c r="U99" t="n">
        <v>3</v>
      </c>
      <c r="V99" s="2" t="inlineStr">
        <is>
          <t>Blåsippa
Spillkråka</t>
        </is>
      </c>
      <c r="W99">
        <f>HYPERLINK("https://klasma.github.io/Logging_2080/artfynd/A 40906-2026 artfynd.xlsx", "A 40906-2026")</f>
        <v/>
      </c>
      <c r="X99">
        <f>HYPERLINK("https://klasma.github.io/Logging_2080/kartor/A 40906-2026 karta.png", "A 40906-2026")</f>
        <v/>
      </c>
      <c r="Y99">
        <f>HYPERLINK("https://klasma.github.io/Logging_2080/kartor_geotiff/A 40906-2026 georefererad karta.tif", "A 40906-2026")</f>
        <v/>
      </c>
      <c r="AA99">
        <f>HYPERLINK("https://klasma.github.io/Logging_2080/klagomål/A 40906-2026 FSC-klagomål.docx", "A 40906-2026")</f>
        <v/>
      </c>
      <c r="AB99">
        <f>HYPERLINK("https://klasma.github.io/Logging_2080/klagomålsmail/A 40906-2026 FSC-klagomål mail.docx", "A 40906-2026")</f>
        <v/>
      </c>
      <c r="AC99">
        <f>HYPERLINK("https://klasma.github.io/Logging_2080/tillsyn/A 40906-2026 tillsynsbegäran.docx", "A 40906-2026")</f>
        <v/>
      </c>
      <c r="AD99">
        <f>HYPERLINK("https://klasma.github.io/Logging_2080/tillsynsmail/A 40906-2026 tillsynsbegäran mail.docx", "A 40906-2026")</f>
        <v/>
      </c>
      <c r="AE99">
        <f>HYPERLINK("https://klasma.github.io/Logging_2080/fåglar/A 40906-2026 prioriterade fågelarter.docx", "A 40906-2026")</f>
        <v/>
      </c>
    </row>
    <row r="100" ht="15" customHeight="1">
      <c r="A100" t="inlineStr">
        <is>
          <t>A 22969-2025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45790</v>
      </c>
      <c r="E100" s="1" t="n">
        <v>46314</v>
      </c>
      <c r="F100" t="inlineStr">
        <is>
          <t>DALARNAS LÄN</t>
        </is>
      </c>
      <c r="G100" t="inlineStr">
        <is>
          <t>FALUN</t>
        </is>
      </c>
      <c r="H100" t="inlineStr">
        <is>
          <t>Bergvik skog väst AB</t>
        </is>
      </c>
      <c r="I100" t="n">
        <v>9.1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2</v>
      </c>
      <c r="R100" t="n">
        <v>1</v>
      </c>
      <c r="S100" t="n">
        <v>2</v>
      </c>
      <c r="T100" t="n">
        <v>2</v>
      </c>
      <c r="U100" t="n">
        <v>0</v>
      </c>
      <c r="V100" s="2" t="inlineStr">
        <is>
          <t>Gul taggsvamp
Dofttaggsvamp</t>
        </is>
      </c>
      <c r="W100">
        <f>HYPERLINK("https://klasma.github.io/Logging_2080/artfynd/A 22969-2025 artfynd.xlsx", "A 22969-2025")</f>
        <v/>
      </c>
      <c r="X100">
        <f>HYPERLINK("https://klasma.github.io/Logging_2080/kartor/A 22969-2025 karta.png", "A 22969-2025")</f>
        <v/>
      </c>
      <c r="Y100">
        <f>HYPERLINK("https://klasma.github.io/Logging_2080/kartor_geotiff/A 22969-2025 georefererad karta.tif", "A 22969-2025")</f>
        <v/>
      </c>
      <c r="AA100">
        <f>HYPERLINK("https://klasma.github.io/Logging_2080/klagomål/A 22969-2025 FSC-klagomål.docx", "A 22969-2025")</f>
        <v/>
      </c>
      <c r="AB100">
        <f>HYPERLINK("https://klasma.github.io/Logging_2080/klagomålsmail/A 22969-2025 FSC-klagomål mail.docx", "A 22969-2025")</f>
        <v/>
      </c>
      <c r="AC100">
        <f>HYPERLINK("https://klasma.github.io/Logging_2080/tillsyn/A 22969-2025 tillsynsbegäran.docx", "A 22969-2025")</f>
        <v/>
      </c>
      <c r="AD100">
        <f>HYPERLINK("https://klasma.github.io/Logging_2080/tillsynsmail/A 22969-2025 tillsynsbegäran mail.docx", "A 22969-2025")</f>
        <v/>
      </c>
    </row>
    <row r="101" ht="15" customHeight="1">
      <c r="A101" t="inlineStr">
        <is>
          <t>A 29791-2025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45825</v>
      </c>
      <c r="E101" s="1" t="n">
        <v>46314</v>
      </c>
      <c r="F101" t="inlineStr">
        <is>
          <t>DALARNAS LÄN</t>
        </is>
      </c>
      <c r="G101" t="inlineStr">
        <is>
          <t>FALUN</t>
        </is>
      </c>
      <c r="H101" t="inlineStr">
        <is>
          <t>Bergvik skog väst AB</t>
        </is>
      </c>
      <c r="I101" t="n">
        <v>6.7</v>
      </c>
      <c r="J101" t="n">
        <v>1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2</v>
      </c>
      <c r="R101" t="n">
        <v>1</v>
      </c>
      <c r="S101" t="n">
        <v>2</v>
      </c>
      <c r="T101" t="n">
        <v>3</v>
      </c>
      <c r="U101" t="n">
        <v>0</v>
      </c>
      <c r="V101" s="2" t="inlineStr">
        <is>
          <t>Knärot
Ullticka</t>
        </is>
      </c>
      <c r="W101">
        <f>HYPERLINK("https://klasma.github.io/Logging_2080/artfynd/A 29791-2025 artfynd.xlsx", "A 29791-2025")</f>
        <v/>
      </c>
      <c r="X101">
        <f>HYPERLINK("https://klasma.github.io/Logging_2080/kartor/A 29791-2025 karta.png", "A 29791-2025")</f>
        <v/>
      </c>
      <c r="Y101">
        <f>HYPERLINK("https://klasma.github.io/Logging_2080/kartor_geotiff/A 29791-2025 georefererad karta.tif", "A 29791-2025")</f>
        <v/>
      </c>
      <c r="Z101">
        <f>HYPERLINK("https://klasma.github.io/Logging_2080/knärot/A 29791-2025 karta knärot.png", "A 29791-2025")</f>
        <v/>
      </c>
      <c r="AA101">
        <f>HYPERLINK("https://klasma.github.io/Logging_2080/klagomål/A 29791-2025 FSC-klagomål.docx", "A 29791-2025")</f>
        <v/>
      </c>
      <c r="AB101">
        <f>HYPERLINK("https://klasma.github.io/Logging_2080/klagomålsmail/A 29791-2025 FSC-klagomål mail.docx", "A 29791-2025")</f>
        <v/>
      </c>
      <c r="AC101">
        <f>HYPERLINK("https://klasma.github.io/Logging_2080/tillsyn/A 29791-2025 tillsynsbegäran.docx", "A 29791-2025")</f>
        <v/>
      </c>
      <c r="AD101">
        <f>HYPERLINK("https://klasma.github.io/Logging_2080/tillsynsmail/A 29791-2025 tillsynsbegäran mail.docx", "A 29791-2025")</f>
        <v/>
      </c>
    </row>
    <row r="102" ht="15" customHeight="1">
      <c r="A102" t="inlineStr">
        <is>
          <t>S 550-2025</t>
        </is>
      </c>
      <c r="B102" t="inlineStr">
        <is>
          <t>samrådsanmälan</t>
        </is>
      </c>
      <c r="C102" t="inlineStr">
        <is>
          <t>Skogsgödsling</t>
        </is>
      </c>
      <c r="D102" s="1" t="n">
        <v>45708</v>
      </c>
      <c r="E102" s="1" t="n">
        <v>46314</v>
      </c>
      <c r="F102" t="inlineStr">
        <is>
          <t>DALARNAS LÄN</t>
        </is>
      </c>
      <c r="G102" t="inlineStr">
        <is>
          <t>FALUN</t>
        </is>
      </c>
      <c r="H102" t="inlineStr">
        <is>
          <t>Bergvik skog väst AB</t>
        </is>
      </c>
      <c r="I102" t="n">
        <v>437.3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2</v>
      </c>
      <c r="R102" t="n">
        <v>1</v>
      </c>
      <c r="S102" t="n">
        <v>2</v>
      </c>
      <c r="T102" t="n">
        <v>2</v>
      </c>
      <c r="U102" t="n">
        <v>0</v>
      </c>
      <c r="V102" s="2" t="inlineStr">
        <is>
          <t>Garnlav
Ullticka</t>
        </is>
      </c>
      <c r="W102">
        <f>HYPERLINK("https://klasma.github.io/Logging_2080/artfynd/S 550-2025 artfynd.xlsx", "S 550-2025")</f>
        <v/>
      </c>
      <c r="X102">
        <f>HYPERLINK("https://klasma.github.io/Logging_2080/kartor/S 550-2025 karta.png", "S 550-2025")</f>
        <v/>
      </c>
      <c r="Y102">
        <f>HYPERLINK("https://klasma.github.io/Logging_2080/kartor_geotiff/S 550-2025 georefererad karta.tif", "S 550-2025")</f>
        <v/>
      </c>
      <c r="AA102">
        <f>HYPERLINK("https://klasma.github.io/Logging_2080/klagomål/S 550-2025 FSC-klagomål.docx", "S 550-2025")</f>
        <v/>
      </c>
      <c r="AB102">
        <f>HYPERLINK("https://klasma.github.io/Logging_2080/klagomålsmail/S 550-2025 FSC-klagomål mail.docx", "S 550-2025")</f>
        <v/>
      </c>
      <c r="AC102">
        <f>HYPERLINK("https://klasma.github.io/Logging_2080/tillsyn/S 550-2025 tillsynsbegäran.docx", "S 550-2025")</f>
        <v/>
      </c>
      <c r="AD102">
        <f>HYPERLINK("https://klasma.github.io/Logging_2080/tillsynsmail/S 550-2025 tillsynsbegäran mail.docx", "S 550-2025")</f>
        <v/>
      </c>
    </row>
    <row r="103" ht="15" customHeight="1">
      <c r="A103" t="inlineStr">
        <is>
          <t>S 1849-2025</t>
        </is>
      </c>
      <c r="B103" t="inlineStr">
        <is>
          <t>samrådsanmälan</t>
        </is>
      </c>
      <c r="C103" t="inlineStr">
        <is>
          <t>Annan skogsbruksåtgärd</t>
        </is>
      </c>
      <c r="D103" s="1" t="n">
        <v>45820</v>
      </c>
      <c r="E103" s="1" t="n">
        <v>46314</v>
      </c>
      <c r="F103" t="inlineStr">
        <is>
          <t>DALARNAS LÄN</t>
        </is>
      </c>
      <c r="G103" t="inlineStr">
        <is>
          <t>FALUN</t>
        </is>
      </c>
      <c r="I103" t="n">
        <v>1.6</v>
      </c>
      <c r="J103" t="n">
        <v>2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2</v>
      </c>
      <c r="T103" t="n">
        <v>11</v>
      </c>
      <c r="U103" t="n">
        <v>10</v>
      </c>
      <c r="V103" s="2" t="inlineStr">
        <is>
          <t>Knärot
Kungsfågel</t>
        </is>
      </c>
      <c r="W103">
        <f>HYPERLINK("https://klasma.github.io/Logging_2080/artfynd/S 1849-2025 artfynd.xlsx", "S 1849-2025")</f>
        <v/>
      </c>
      <c r="X103">
        <f>HYPERLINK("https://klasma.github.io/Logging_2080/kartor/S 1849-2025 karta.png", "S 1849-2025")</f>
        <v/>
      </c>
      <c r="Y103">
        <f>HYPERLINK("https://klasma.github.io/Logging_2080/kartor_geotiff/S 1849-2025 georefererad karta.tif", "S 1849-2025")</f>
        <v/>
      </c>
      <c r="Z103">
        <f>HYPERLINK("https://klasma.github.io/Logging_2080/knärot/S 1849-2025 karta knärot.png", "S 1849-2025")</f>
        <v/>
      </c>
      <c r="AA103">
        <f>HYPERLINK("https://klasma.github.io/Logging_2080/klagomål/S 1849-2025 FSC-klagomål.docx", "S 1849-2025")</f>
        <v/>
      </c>
      <c r="AB103">
        <f>HYPERLINK("https://klasma.github.io/Logging_2080/klagomålsmail/S 1849-2025 FSC-klagomål mail.docx", "S 1849-2025")</f>
        <v/>
      </c>
      <c r="AC103">
        <f>HYPERLINK("https://klasma.github.io/Logging_2080/tillsyn/S 1849-2025 tillsynsbegäran.docx", "S 1849-2025")</f>
        <v/>
      </c>
      <c r="AD103">
        <f>HYPERLINK("https://klasma.github.io/Logging_2080/tillsynsmail/S 1849-2025 tillsynsbegäran mail.docx", "S 1849-2025")</f>
        <v/>
      </c>
    </row>
    <row r="104" ht="15" customHeight="1">
      <c r="A104" t="inlineStr">
        <is>
          <t>A 46740-2022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44851</v>
      </c>
      <c r="E104" s="1" t="n">
        <v>46314</v>
      </c>
      <c r="F104" t="inlineStr">
        <is>
          <t>DALARNAS LÄN</t>
        </is>
      </c>
      <c r="G104" t="inlineStr">
        <is>
          <t>FALUN</t>
        </is>
      </c>
      <c r="I104" t="n">
        <v>0.4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s="2" t="inlineStr">
        <is>
          <t>Pärluggla</t>
        </is>
      </c>
      <c r="W104">
        <f>HYPERLINK("https://klasma.github.io/Logging_2080/artfynd/A 46740-2022 artfynd.xlsx", "A 46740-2022")</f>
        <v/>
      </c>
      <c r="X104">
        <f>HYPERLINK("https://klasma.github.io/Logging_2080/kartor/A 46740-2022 karta.png", "A 46740-2022")</f>
        <v/>
      </c>
      <c r="Y104">
        <f>HYPERLINK("https://klasma.github.io/Logging_2080/kartor_geotiff/A 46740-2022 georefererad karta.tif", "A 46740-2022")</f>
        <v/>
      </c>
      <c r="AA104">
        <f>HYPERLINK("https://klasma.github.io/Logging_2080/klagomål/A 46740-2022 FSC-klagomål.docx", "A 46740-2022")</f>
        <v/>
      </c>
      <c r="AB104">
        <f>HYPERLINK("https://klasma.github.io/Logging_2080/klagomålsmail/A 46740-2022 FSC-klagomål mail.docx", "A 46740-2022")</f>
        <v/>
      </c>
      <c r="AC104">
        <f>HYPERLINK("https://klasma.github.io/Logging_2080/tillsyn/A 46740-2022 tillsynsbegäran.docx", "A 46740-2022")</f>
        <v/>
      </c>
      <c r="AD104">
        <f>HYPERLINK("https://klasma.github.io/Logging_2080/tillsynsmail/A 46740-2022 tillsynsbegäran mail.docx", "A 46740-2022")</f>
        <v/>
      </c>
      <c r="AE104">
        <f>HYPERLINK("https://klasma.github.io/Logging_2080/fåglar/A 46740-2022 prioriterade fågelarter.docx", "A 46740-2022")</f>
        <v/>
      </c>
    </row>
    <row r="105" ht="15" customHeight="1">
      <c r="A105" t="inlineStr">
        <is>
          <t>A 15540-2022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44662</v>
      </c>
      <c r="E105" s="1" t="n">
        <v>46314</v>
      </c>
      <c r="F105" t="inlineStr">
        <is>
          <t>DALARNAS LÄN</t>
        </is>
      </c>
      <c r="G105" t="inlineStr">
        <is>
          <t>FALUN</t>
        </is>
      </c>
      <c r="I105" t="n">
        <v>1.5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s="2" t="inlineStr">
        <is>
          <t>Åkergroda</t>
        </is>
      </c>
      <c r="W105">
        <f>HYPERLINK("https://klasma.github.io/Logging_2080/artfynd/A 15540-2022 artfynd.xlsx", "A 15540-2022")</f>
        <v/>
      </c>
      <c r="X105">
        <f>HYPERLINK("https://klasma.github.io/Logging_2080/kartor/A 15540-2022 karta.png", "A 15540-2022")</f>
        <v/>
      </c>
      <c r="Y105">
        <f>HYPERLINK("https://klasma.github.io/Logging_2080/kartor_geotiff/A 15540-2022 georefererad karta.tif", "A 15540-2022")</f>
        <v/>
      </c>
      <c r="AA105">
        <f>HYPERLINK("https://klasma.github.io/Logging_2080/klagomål/A 15540-2022 FSC-klagomål.docx", "A 15540-2022")</f>
        <v/>
      </c>
      <c r="AB105">
        <f>HYPERLINK("https://klasma.github.io/Logging_2080/klagomålsmail/A 15540-2022 FSC-klagomål mail.docx", "A 15540-2022")</f>
        <v/>
      </c>
      <c r="AC105">
        <f>HYPERLINK("https://klasma.github.io/Logging_2080/tillsyn/A 15540-2022 tillsynsbegäran.docx", "A 15540-2022")</f>
        <v/>
      </c>
      <c r="AD105">
        <f>HYPERLINK("https://klasma.github.io/Logging_2080/tillsynsmail/A 15540-2022 tillsynsbegäran mail.docx", "A 15540-2022")</f>
        <v/>
      </c>
    </row>
    <row r="106" ht="15" customHeight="1">
      <c r="A106" t="inlineStr">
        <is>
          <t>A 12927-2023</t>
        </is>
      </c>
      <c r="B106" t="inlineStr">
        <is>
          <t>avverkningsanmälan</t>
        </is>
      </c>
      <c r="C106" t="inlineStr">
        <is>
          <t>Avverkning för annat ändamål</t>
        </is>
      </c>
      <c r="D106" s="1" t="n">
        <v>45001</v>
      </c>
      <c r="E106" s="1" t="n">
        <v>46314</v>
      </c>
      <c r="F106" t="inlineStr">
        <is>
          <t>DALARNAS LÄN</t>
        </is>
      </c>
      <c r="G106" t="inlineStr">
        <is>
          <t>FALUN</t>
        </is>
      </c>
      <c r="I106" t="n">
        <v>0.3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2</v>
      </c>
      <c r="U106" t="n">
        <v>2</v>
      </c>
      <c r="V106" s="2" t="inlineStr">
        <is>
          <t>Knärot</t>
        </is>
      </c>
      <c r="W106">
        <f>HYPERLINK("https://klasma.github.io/Logging_2080/artfynd/A 12927-2023 artfynd.xlsx", "A 12927-2023")</f>
        <v/>
      </c>
      <c r="X106">
        <f>HYPERLINK("https://klasma.github.io/Logging_2080/kartor/A 12927-2023 karta.png", "A 12927-2023")</f>
        <v/>
      </c>
      <c r="Y106">
        <f>HYPERLINK("https://klasma.github.io/Logging_2080/kartor_geotiff/A 12927-2023 georefererad karta.tif", "A 12927-2023")</f>
        <v/>
      </c>
      <c r="Z106">
        <f>HYPERLINK("https://klasma.github.io/Logging_2080/knärot/A 12927-2023 karta knärot.png", "A 12927-2023")</f>
        <v/>
      </c>
      <c r="AA106">
        <f>HYPERLINK("https://klasma.github.io/Logging_2080/klagomål/A 12927-2023 FSC-klagomål.docx", "A 12927-2023")</f>
        <v/>
      </c>
      <c r="AB106">
        <f>HYPERLINK("https://klasma.github.io/Logging_2080/klagomålsmail/A 12927-2023 FSC-klagomål mail.docx", "A 12927-2023")</f>
        <v/>
      </c>
      <c r="AC106">
        <f>HYPERLINK("https://klasma.github.io/Logging_2080/tillsyn/A 12927-2023 tillsynsbegäran.docx", "A 12927-2023")</f>
        <v/>
      </c>
      <c r="AD106">
        <f>HYPERLINK("https://klasma.github.io/Logging_2080/tillsynsmail/A 12927-2023 tillsynsbegäran mail.docx", "A 12927-2023")</f>
        <v/>
      </c>
    </row>
    <row r="107" ht="15" customHeight="1">
      <c r="A107" t="inlineStr">
        <is>
          <t>A 46963-2023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45201</v>
      </c>
      <c r="E107" s="1" t="n">
        <v>46314</v>
      </c>
      <c r="F107" t="inlineStr">
        <is>
          <t>DALARNAS LÄN</t>
        </is>
      </c>
      <c r="G107" t="inlineStr">
        <is>
          <t>FALUN</t>
        </is>
      </c>
      <c r="I107" t="n">
        <v>13.6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1</v>
      </c>
      <c r="U107" t="n">
        <v>0</v>
      </c>
      <c r="V107" s="2" t="inlineStr">
        <is>
          <t>Talltita</t>
        </is>
      </c>
      <c r="W107">
        <f>HYPERLINK("https://klasma.github.io/Logging_2080/artfynd/A 46963-2023 artfynd.xlsx", "A 46963-2023")</f>
        <v/>
      </c>
      <c r="X107">
        <f>HYPERLINK("https://klasma.github.io/Logging_2080/kartor/A 46963-2023 karta.png", "A 46963-2023")</f>
        <v/>
      </c>
      <c r="Y107">
        <f>HYPERLINK("https://klasma.github.io/Logging_2080/kartor_geotiff/A 46963-2023 georefererad karta.tif", "A 46963-2023")</f>
        <v/>
      </c>
      <c r="AA107">
        <f>HYPERLINK("https://klasma.github.io/Logging_2080/klagomål/A 46963-2023 FSC-klagomål.docx", "A 46963-2023")</f>
        <v/>
      </c>
      <c r="AB107">
        <f>HYPERLINK("https://klasma.github.io/Logging_2080/klagomålsmail/A 46963-2023 FSC-klagomål mail.docx", "A 46963-2023")</f>
        <v/>
      </c>
      <c r="AC107">
        <f>HYPERLINK("https://klasma.github.io/Logging_2080/tillsyn/A 46963-2023 tillsynsbegäran.docx", "A 46963-2023")</f>
        <v/>
      </c>
      <c r="AD107">
        <f>HYPERLINK("https://klasma.github.io/Logging_2080/tillsynsmail/A 46963-2023 tillsynsbegäran mail.docx", "A 46963-2023")</f>
        <v/>
      </c>
      <c r="AE107">
        <f>HYPERLINK("https://klasma.github.io/Logging_2080/fåglar/A 46963-2023 prioriterade fågelarter.docx", "A 46963-2023")</f>
        <v/>
      </c>
    </row>
    <row r="108" ht="15" customHeight="1">
      <c r="A108" t="inlineStr">
        <is>
          <t>A 32584-2024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45513</v>
      </c>
      <c r="E108" s="1" t="n">
        <v>46314</v>
      </c>
      <c r="F108" t="inlineStr">
        <is>
          <t>DALARNAS LÄN</t>
        </is>
      </c>
      <c r="G108" t="inlineStr">
        <is>
          <t>FALUN</t>
        </is>
      </c>
      <c r="I108" t="n">
        <v>3.7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s="2" t="inlineStr">
        <is>
          <t>Kungsfågel</t>
        </is>
      </c>
      <c r="W108">
        <f>HYPERLINK("https://klasma.github.io/Logging_2080/artfynd/A 32584-2024 artfynd.xlsx", "A 32584-2024")</f>
        <v/>
      </c>
      <c r="X108">
        <f>HYPERLINK("https://klasma.github.io/Logging_2080/kartor/A 32584-2024 karta.png", "A 32584-2024")</f>
        <v/>
      </c>
      <c r="Y108">
        <f>HYPERLINK("https://klasma.github.io/Logging_2080/kartor_geotiff/A 32584-2024 georefererad karta.tif", "A 32584-2024")</f>
        <v/>
      </c>
      <c r="AA108">
        <f>HYPERLINK("https://klasma.github.io/Logging_2080/klagomål/A 32584-2024 FSC-klagomål.docx", "A 32584-2024")</f>
        <v/>
      </c>
      <c r="AB108">
        <f>HYPERLINK("https://klasma.github.io/Logging_2080/klagomålsmail/A 32584-2024 FSC-klagomål mail.docx", "A 32584-2024")</f>
        <v/>
      </c>
      <c r="AC108">
        <f>HYPERLINK("https://klasma.github.io/Logging_2080/tillsyn/A 32584-2024 tillsynsbegäran.docx", "A 32584-2024")</f>
        <v/>
      </c>
      <c r="AD108">
        <f>HYPERLINK("https://klasma.github.io/Logging_2080/tillsynsmail/A 32584-2024 tillsynsbegäran mail.docx", "A 32584-2024")</f>
        <v/>
      </c>
    </row>
    <row r="109" ht="15" customHeight="1">
      <c r="A109" t="inlineStr">
        <is>
          <t>A 51870-2022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44872</v>
      </c>
      <c r="E109" s="1" t="n">
        <v>46314</v>
      </c>
      <c r="F109" t="inlineStr">
        <is>
          <t>DALARNAS LÄN</t>
        </is>
      </c>
      <c r="G109" t="inlineStr">
        <is>
          <t>FALUN</t>
        </is>
      </c>
      <c r="H109" t="inlineStr">
        <is>
          <t>Bergvik skog väst AB</t>
        </is>
      </c>
      <c r="I109" t="n">
        <v>1.6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1</v>
      </c>
      <c r="V109" s="2" t="inlineStr">
        <is>
          <t>Tretåig hackspett</t>
        </is>
      </c>
      <c r="W109">
        <f>HYPERLINK("https://klasma.github.io/Logging_2080/artfynd/A 51870-2022 artfynd.xlsx", "A 51870-2022")</f>
        <v/>
      </c>
      <c r="X109">
        <f>HYPERLINK("https://klasma.github.io/Logging_2080/kartor/A 51870-2022 karta.png", "A 51870-2022")</f>
        <v/>
      </c>
      <c r="Y109">
        <f>HYPERLINK("https://klasma.github.io/Logging_2080/kartor_geotiff/A 51870-2022 georefererad karta.tif", "A 51870-2022")</f>
        <v/>
      </c>
      <c r="AA109">
        <f>HYPERLINK("https://klasma.github.io/Logging_2080/klagomål/A 51870-2022 FSC-klagomål.docx", "A 51870-2022")</f>
        <v/>
      </c>
      <c r="AB109">
        <f>HYPERLINK("https://klasma.github.io/Logging_2080/klagomålsmail/A 51870-2022 FSC-klagomål mail.docx", "A 51870-2022")</f>
        <v/>
      </c>
      <c r="AC109">
        <f>HYPERLINK("https://klasma.github.io/Logging_2080/tillsyn/A 51870-2022 tillsynsbegäran.docx", "A 51870-2022")</f>
        <v/>
      </c>
      <c r="AD109">
        <f>HYPERLINK("https://klasma.github.io/Logging_2080/tillsynsmail/A 51870-2022 tillsynsbegäran mail.docx", "A 51870-2022")</f>
        <v/>
      </c>
      <c r="AE109">
        <f>HYPERLINK("https://klasma.github.io/Logging_2080/fåglar/A 51870-2022 prioriterade fågelarter.docx", "A 51870-2022")</f>
        <v/>
      </c>
    </row>
    <row r="110" ht="15" customHeight="1">
      <c r="A110" t="inlineStr">
        <is>
          <t>A 21813-2023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45068</v>
      </c>
      <c r="E110" s="1" t="n">
        <v>46314</v>
      </c>
      <c r="F110" t="inlineStr">
        <is>
          <t>DALARNAS LÄN</t>
        </is>
      </c>
      <c r="G110" t="inlineStr">
        <is>
          <t>FALUN</t>
        </is>
      </c>
      <c r="I110" t="n">
        <v>0.5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1</v>
      </c>
      <c r="U110" t="n">
        <v>0</v>
      </c>
      <c r="V110" s="2" t="inlineStr">
        <is>
          <t>Brun gräsfjäril</t>
        </is>
      </c>
      <c r="W110">
        <f>HYPERLINK("https://klasma.github.io/Logging_2080/artfynd/A 21813-2023 artfynd.xlsx", "A 21813-2023")</f>
        <v/>
      </c>
      <c r="X110">
        <f>HYPERLINK("https://klasma.github.io/Logging_2080/kartor/A 21813-2023 karta.png", "A 21813-2023")</f>
        <v/>
      </c>
      <c r="Y110">
        <f>HYPERLINK("https://klasma.github.io/Logging_2080/kartor_geotiff/A 21813-2023 georefererad karta.tif", "A 21813-2023")</f>
        <v/>
      </c>
      <c r="AA110">
        <f>HYPERLINK("https://klasma.github.io/Logging_2080/klagomål/A 21813-2023 FSC-klagomål.docx", "A 21813-2023")</f>
        <v/>
      </c>
      <c r="AB110">
        <f>HYPERLINK("https://klasma.github.io/Logging_2080/klagomålsmail/A 21813-2023 FSC-klagomål mail.docx", "A 21813-2023")</f>
        <v/>
      </c>
      <c r="AC110">
        <f>HYPERLINK("https://klasma.github.io/Logging_2080/tillsyn/A 21813-2023 tillsynsbegäran.docx", "A 21813-2023")</f>
        <v/>
      </c>
      <c r="AD110">
        <f>HYPERLINK("https://klasma.github.io/Logging_2080/tillsynsmail/A 21813-2023 tillsynsbegäran mail.docx", "A 21813-2023")</f>
        <v/>
      </c>
    </row>
    <row r="111" ht="15" customHeight="1">
      <c r="A111" t="inlineStr">
        <is>
          <t>A 5764-2026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46051</v>
      </c>
      <c r="E111" s="1" t="n">
        <v>46314</v>
      </c>
      <c r="F111" t="inlineStr">
        <is>
          <t>DALARNAS LÄN</t>
        </is>
      </c>
      <c r="G111" t="inlineStr">
        <is>
          <t>FALUN</t>
        </is>
      </c>
      <c r="I111" t="n">
        <v>2.6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s="2" t="inlineStr">
        <is>
          <t>Nattviol</t>
        </is>
      </c>
      <c r="W111">
        <f>HYPERLINK("https://klasma.github.io/Logging_2080/artfynd/A 5764-2026 artfynd.xlsx", "A 5764-2026")</f>
        <v/>
      </c>
      <c r="X111">
        <f>HYPERLINK("https://klasma.github.io/Logging_2080/kartor/A 5764-2026 karta.png", "A 5764-2026")</f>
        <v/>
      </c>
      <c r="Y111">
        <f>HYPERLINK("https://klasma.github.io/Logging_2080/kartor_geotiff/A 5764-2026 georefererad karta.tif", "A 5764-2026")</f>
        <v/>
      </c>
      <c r="AA111">
        <f>HYPERLINK("https://klasma.github.io/Logging_2080/klagomål/A 5764-2026 FSC-klagomål.docx", "A 5764-2026")</f>
        <v/>
      </c>
      <c r="AB111">
        <f>HYPERLINK("https://klasma.github.io/Logging_2080/klagomålsmail/A 5764-2026 FSC-klagomål mail.docx", "A 5764-2026")</f>
        <v/>
      </c>
      <c r="AC111">
        <f>HYPERLINK("https://klasma.github.io/Logging_2080/tillsyn/A 5764-2026 tillsynsbegäran.docx", "A 5764-2026")</f>
        <v/>
      </c>
      <c r="AD111">
        <f>HYPERLINK("https://klasma.github.io/Logging_2080/tillsynsmail/A 5764-2026 tillsynsbegäran mail.docx", "A 5764-2026")</f>
        <v/>
      </c>
    </row>
    <row r="112" ht="15" customHeight="1">
      <c r="A112" t="inlineStr">
        <is>
          <t>A 20701-2026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46141</v>
      </c>
      <c r="E112" s="1" t="n">
        <v>46314</v>
      </c>
      <c r="F112" t="inlineStr">
        <is>
          <t>DALARNAS LÄN</t>
        </is>
      </c>
      <c r="G112" t="inlineStr">
        <is>
          <t>FALUN</t>
        </is>
      </c>
      <c r="I112" t="n">
        <v>1.9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s="2" t="inlineStr">
        <is>
          <t>Grönsiska</t>
        </is>
      </c>
      <c r="W112">
        <f>HYPERLINK("https://klasma.github.io/Logging_2080/artfynd/A 20701-2026 artfynd.xlsx", "A 20701-2026")</f>
        <v/>
      </c>
      <c r="X112">
        <f>HYPERLINK("https://klasma.github.io/Logging_2080/kartor/A 20701-2026 karta.png", "A 20701-2026")</f>
        <v/>
      </c>
      <c r="Y112">
        <f>HYPERLINK("https://klasma.github.io/Logging_2080/kartor_geotiff/A 20701-2026 georefererad karta.tif", "A 20701-2026")</f>
        <v/>
      </c>
      <c r="AA112">
        <f>HYPERLINK("https://klasma.github.io/Logging_2080/klagomål/A 20701-2026 FSC-klagomål.docx", "A 20701-2026")</f>
        <v/>
      </c>
      <c r="AB112">
        <f>HYPERLINK("https://klasma.github.io/Logging_2080/klagomålsmail/A 20701-2026 FSC-klagomål mail.docx", "A 20701-2026")</f>
        <v/>
      </c>
      <c r="AC112">
        <f>HYPERLINK("https://klasma.github.io/Logging_2080/tillsyn/A 20701-2026 tillsynsbegäran.docx", "A 20701-2026")</f>
        <v/>
      </c>
      <c r="AD112">
        <f>HYPERLINK("https://klasma.github.io/Logging_2080/tillsynsmail/A 20701-2026 tillsynsbegäran mail.docx", "A 20701-2026")</f>
        <v/>
      </c>
    </row>
    <row r="113" ht="15" customHeight="1">
      <c r="A113" t="inlineStr">
        <is>
          <t>A 42364-2025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45905</v>
      </c>
      <c r="E113" s="1" t="n">
        <v>46314</v>
      </c>
      <c r="F113" t="inlineStr">
        <is>
          <t>DALARNAS LÄN</t>
        </is>
      </c>
      <c r="G113" t="inlineStr">
        <is>
          <t>FALUN</t>
        </is>
      </c>
      <c r="H113" t="inlineStr">
        <is>
          <t>Bergvik skog väst AB</t>
        </is>
      </c>
      <c r="I113" t="n">
        <v>24.1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2</v>
      </c>
      <c r="U113" t="n">
        <v>2</v>
      </c>
      <c r="V113" s="2" t="inlineStr">
        <is>
          <t>Fläcknycklar</t>
        </is>
      </c>
      <c r="W113">
        <f>HYPERLINK("https://klasma.github.io/Logging_2080/artfynd/A 42364-2025 artfynd.xlsx", "A 42364-2025")</f>
        <v/>
      </c>
      <c r="X113">
        <f>HYPERLINK("https://klasma.github.io/Logging_2080/kartor/A 42364-2025 karta.png", "A 42364-2025")</f>
        <v/>
      </c>
      <c r="Y113">
        <f>HYPERLINK("https://klasma.github.io/Logging_2080/kartor_geotiff/A 42364-2025 georefererad karta.tif", "A 42364-2025")</f>
        <v/>
      </c>
      <c r="AA113">
        <f>HYPERLINK("https://klasma.github.io/Logging_2080/klagomål/A 42364-2025 FSC-klagomål.docx", "A 42364-2025")</f>
        <v/>
      </c>
      <c r="AB113">
        <f>HYPERLINK("https://klasma.github.io/Logging_2080/klagomålsmail/A 42364-2025 FSC-klagomål mail.docx", "A 42364-2025")</f>
        <v/>
      </c>
      <c r="AC113">
        <f>HYPERLINK("https://klasma.github.io/Logging_2080/tillsyn/A 42364-2025 tillsynsbegäran.docx", "A 42364-2025")</f>
        <v/>
      </c>
      <c r="AD113">
        <f>HYPERLINK("https://klasma.github.io/Logging_2080/tillsynsmail/A 42364-2025 tillsynsbegäran mail.docx", "A 42364-2025")</f>
        <v/>
      </c>
    </row>
    <row r="114" ht="15" customHeight="1">
      <c r="A114" t="inlineStr">
        <is>
          <t>A 20186-2024</t>
        </is>
      </c>
      <c r="B114" t="inlineStr">
        <is>
          <t>avverkningsanmälan</t>
        </is>
      </c>
      <c r="C114" t="inlineStr">
        <is>
          <t>Avverkning för att bevara och utveckla /försöksver</t>
        </is>
      </c>
      <c r="D114" s="1" t="n">
        <v>45434</v>
      </c>
      <c r="E114" s="1" t="n">
        <v>46314</v>
      </c>
      <c r="F114" t="inlineStr">
        <is>
          <t>DALARNAS LÄN</t>
        </is>
      </c>
      <c r="G114" t="inlineStr">
        <is>
          <t>FALUN</t>
        </is>
      </c>
      <c r="I114" t="n">
        <v>0.9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s="2" t="inlineStr">
        <is>
          <t>Knärot</t>
        </is>
      </c>
      <c r="W114">
        <f>HYPERLINK("https://klasma.github.io/Logging_2080/artfynd/A 20186-2024 artfynd.xlsx", "A 20186-2024")</f>
        <v/>
      </c>
      <c r="X114">
        <f>HYPERLINK("https://klasma.github.io/Logging_2080/kartor/A 20186-2024 karta.png", "A 20186-2024")</f>
        <v/>
      </c>
      <c r="Y114">
        <f>HYPERLINK("https://klasma.github.io/Logging_2080/kartor_geotiff/A 20186-2024 georefererad karta.tif", "A 20186-2024")</f>
        <v/>
      </c>
      <c r="Z114">
        <f>HYPERLINK("https://klasma.github.io/Logging_2080/knärot/A 20186-2024 karta knärot.png", "A 20186-2024")</f>
        <v/>
      </c>
      <c r="AA114">
        <f>HYPERLINK("https://klasma.github.io/Logging_2080/klagomål/A 20186-2024 FSC-klagomål.docx", "A 20186-2024")</f>
        <v/>
      </c>
      <c r="AB114">
        <f>HYPERLINK("https://klasma.github.io/Logging_2080/klagomålsmail/A 20186-2024 FSC-klagomål mail.docx", "A 20186-2024")</f>
        <v/>
      </c>
      <c r="AC114">
        <f>HYPERLINK("https://klasma.github.io/Logging_2080/tillsyn/A 20186-2024 tillsynsbegäran.docx", "A 20186-2024")</f>
        <v/>
      </c>
      <c r="AD114">
        <f>HYPERLINK("https://klasma.github.io/Logging_2080/tillsynsmail/A 20186-2024 tillsynsbegäran mail.docx", "A 20186-2024")</f>
        <v/>
      </c>
    </row>
    <row r="115" ht="15" customHeight="1">
      <c r="A115" t="inlineStr">
        <is>
          <t>A 49374-2025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45938</v>
      </c>
      <c r="E115" s="1" t="n">
        <v>46314</v>
      </c>
      <c r="F115" t="inlineStr">
        <is>
          <t>DALARNAS LÄN</t>
        </is>
      </c>
      <c r="G115" t="inlineStr">
        <is>
          <t>FALUN</t>
        </is>
      </c>
      <c r="I115" t="n">
        <v>1.1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12</v>
      </c>
      <c r="U115" t="n">
        <v>0</v>
      </c>
      <c r="V115" s="2" t="inlineStr">
        <is>
          <t>Brun gräsfjäril</t>
        </is>
      </c>
      <c r="W115">
        <f>HYPERLINK("https://klasma.github.io/Logging_2080/artfynd/A 49374-2025 artfynd.xlsx", "A 49374-2025")</f>
        <v/>
      </c>
      <c r="X115">
        <f>HYPERLINK("https://klasma.github.io/Logging_2080/kartor/A 49374-2025 karta.png", "A 49374-2025")</f>
        <v/>
      </c>
      <c r="Y115">
        <f>HYPERLINK("https://klasma.github.io/Logging_2080/kartor_geotiff/A 49374-2025 georefererad karta.tif", "A 49374-2025")</f>
        <v/>
      </c>
      <c r="AA115">
        <f>HYPERLINK("https://klasma.github.io/Logging_2080/klagomål/A 49374-2025 FSC-klagomål.docx", "A 49374-2025")</f>
        <v/>
      </c>
      <c r="AB115">
        <f>HYPERLINK("https://klasma.github.io/Logging_2080/klagomålsmail/A 49374-2025 FSC-klagomål mail.docx", "A 49374-2025")</f>
        <v/>
      </c>
      <c r="AC115">
        <f>HYPERLINK("https://klasma.github.io/Logging_2080/tillsyn/A 49374-2025 tillsynsbegäran.docx", "A 49374-2025")</f>
        <v/>
      </c>
      <c r="AD115">
        <f>HYPERLINK("https://klasma.github.io/Logging_2080/tillsynsmail/A 49374-2025 tillsynsbegäran mail.docx", "A 49374-2025")</f>
        <v/>
      </c>
    </row>
    <row r="116" ht="15" customHeight="1">
      <c r="A116" t="inlineStr">
        <is>
          <t>A 22345-2026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46154</v>
      </c>
      <c r="E116" s="1" t="n">
        <v>46314</v>
      </c>
      <c r="F116" t="inlineStr">
        <is>
          <t>DALARNAS LÄN</t>
        </is>
      </c>
      <c r="G116" t="inlineStr">
        <is>
          <t>FALUN</t>
        </is>
      </c>
      <c r="I116" t="n">
        <v>1.7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s="2" t="inlineStr">
        <is>
          <t>Blåsippa</t>
        </is>
      </c>
      <c r="W116">
        <f>HYPERLINK("https://klasma.github.io/Logging_2080/artfynd/A 22345-2026 artfynd.xlsx", "A 22345-2026")</f>
        <v/>
      </c>
      <c r="X116">
        <f>HYPERLINK("https://klasma.github.io/Logging_2080/kartor/A 22345-2026 karta.png", "A 22345-2026")</f>
        <v/>
      </c>
      <c r="Y116">
        <f>HYPERLINK("https://klasma.github.io/Logging_2080/kartor_geotiff/A 22345-2026 georefererad karta.tif", "A 22345-2026")</f>
        <v/>
      </c>
      <c r="AA116">
        <f>HYPERLINK("https://klasma.github.io/Logging_2080/klagomål/A 22345-2026 FSC-klagomål.docx", "A 22345-2026")</f>
        <v/>
      </c>
      <c r="AB116">
        <f>HYPERLINK("https://klasma.github.io/Logging_2080/klagomålsmail/A 22345-2026 FSC-klagomål mail.docx", "A 22345-2026")</f>
        <v/>
      </c>
      <c r="AC116">
        <f>HYPERLINK("https://klasma.github.io/Logging_2080/tillsyn/A 22345-2026 tillsynsbegäran.docx", "A 22345-2026")</f>
        <v/>
      </c>
      <c r="AD116">
        <f>HYPERLINK("https://klasma.github.io/Logging_2080/tillsynsmail/A 22345-2026 tillsynsbegäran mail.docx", "A 22345-2026")</f>
        <v/>
      </c>
    </row>
    <row r="117" ht="15" customHeight="1">
      <c r="A117" t="inlineStr">
        <is>
          <t>A 22784-2024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45448</v>
      </c>
      <c r="E117" s="1" t="n">
        <v>46314</v>
      </c>
      <c r="F117" t="inlineStr">
        <is>
          <t>DALARNAS LÄN</t>
        </is>
      </c>
      <c r="G117" t="inlineStr">
        <is>
          <t>FALUN</t>
        </is>
      </c>
      <c r="I117" t="n">
        <v>1.8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  <c r="V117" s="2" t="inlineStr">
        <is>
          <t>Tjäder</t>
        </is>
      </c>
      <c r="W117">
        <f>HYPERLINK("https://klasma.github.io/Logging_2080/artfynd/A 22784-2024 artfynd.xlsx", "A 22784-2024")</f>
        <v/>
      </c>
      <c r="X117">
        <f>HYPERLINK("https://klasma.github.io/Logging_2080/kartor/A 22784-2024 karta.png", "A 22784-2024")</f>
        <v/>
      </c>
      <c r="Y117">
        <f>HYPERLINK("https://klasma.github.io/Logging_2080/kartor_geotiff/A 22784-2024 georefererad karta.tif", "A 22784-2024")</f>
        <v/>
      </c>
      <c r="AA117">
        <f>HYPERLINK("https://klasma.github.io/Logging_2080/klagomål/A 22784-2024 FSC-klagomål.docx", "A 22784-2024")</f>
        <v/>
      </c>
      <c r="AB117">
        <f>HYPERLINK("https://klasma.github.io/Logging_2080/klagomålsmail/A 22784-2024 FSC-klagomål mail.docx", "A 22784-2024")</f>
        <v/>
      </c>
      <c r="AC117">
        <f>HYPERLINK("https://klasma.github.io/Logging_2080/tillsyn/A 22784-2024 tillsynsbegäran.docx", "A 22784-2024")</f>
        <v/>
      </c>
      <c r="AD117">
        <f>HYPERLINK("https://klasma.github.io/Logging_2080/tillsynsmail/A 22784-2024 tillsynsbegäran mail.docx", "A 22784-2024")</f>
        <v/>
      </c>
      <c r="AE117">
        <f>HYPERLINK("https://klasma.github.io/Logging_2080/fåglar/A 22784-2024 prioriterade fågelarter.docx", "A 22784-2024")</f>
        <v/>
      </c>
    </row>
    <row r="118" ht="15" customHeight="1">
      <c r="A118" t="inlineStr">
        <is>
          <t>A 35379-2022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44798</v>
      </c>
      <c r="E118" s="1" t="n">
        <v>46314</v>
      </c>
      <c r="F118" t="inlineStr">
        <is>
          <t>DALARNAS LÄN</t>
        </is>
      </c>
      <c r="G118" t="inlineStr">
        <is>
          <t>FALUN</t>
        </is>
      </c>
      <c r="I118" t="n">
        <v>3.7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s="2" t="inlineStr">
        <is>
          <t>Garnlav</t>
        </is>
      </c>
      <c r="W118">
        <f>HYPERLINK("https://klasma.github.io/Logging_2080/artfynd/A 35379-2022 artfynd.xlsx", "A 35379-2022")</f>
        <v/>
      </c>
      <c r="X118">
        <f>HYPERLINK("https://klasma.github.io/Logging_2080/kartor/A 35379-2022 karta.png", "A 35379-2022")</f>
        <v/>
      </c>
      <c r="Y118">
        <f>HYPERLINK("https://klasma.github.io/Logging_2080/kartor_geotiff/A 35379-2022 georefererad karta.tif", "A 35379-2022")</f>
        <v/>
      </c>
      <c r="AA118">
        <f>HYPERLINK("https://klasma.github.io/Logging_2080/klagomål/A 35379-2022 FSC-klagomål.docx", "A 35379-2022")</f>
        <v/>
      </c>
      <c r="AB118">
        <f>HYPERLINK("https://klasma.github.io/Logging_2080/klagomålsmail/A 35379-2022 FSC-klagomål mail.docx", "A 35379-2022")</f>
        <v/>
      </c>
      <c r="AC118">
        <f>HYPERLINK("https://klasma.github.io/Logging_2080/tillsyn/A 35379-2022 tillsynsbegäran.docx", "A 35379-2022")</f>
        <v/>
      </c>
      <c r="AD118">
        <f>HYPERLINK("https://klasma.github.io/Logging_2080/tillsynsmail/A 35379-2022 tillsynsbegäran mail.docx", "A 35379-2022")</f>
        <v/>
      </c>
    </row>
    <row r="119" ht="15" customHeight="1">
      <c r="A119" t="inlineStr">
        <is>
          <t>A 4393-2026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46045</v>
      </c>
      <c r="E119" s="1" t="n">
        <v>46314</v>
      </c>
      <c r="F119" t="inlineStr">
        <is>
          <t>DALARNAS LÄN</t>
        </is>
      </c>
      <c r="G119" t="inlineStr">
        <is>
          <t>FALUN</t>
        </is>
      </c>
      <c r="I119" t="n">
        <v>10.2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s="2" t="inlineStr">
        <is>
          <t>Järpe</t>
        </is>
      </c>
      <c r="W119">
        <f>HYPERLINK("https://klasma.github.io/Logging_2080/artfynd/A 4393-2026 artfynd.xlsx", "A 4393-2026")</f>
        <v/>
      </c>
      <c r="X119">
        <f>HYPERLINK("https://klasma.github.io/Logging_2080/kartor/A 4393-2026 karta.png", "A 4393-2026")</f>
        <v/>
      </c>
      <c r="Y119">
        <f>HYPERLINK("https://klasma.github.io/Logging_2080/kartor_geotiff/A 4393-2026 georefererad karta.tif", "A 4393-2026")</f>
        <v/>
      </c>
      <c r="AA119">
        <f>HYPERLINK("https://klasma.github.io/Logging_2080/klagomål/A 4393-2026 FSC-klagomål.docx", "A 4393-2026")</f>
        <v/>
      </c>
      <c r="AB119">
        <f>HYPERLINK("https://klasma.github.io/Logging_2080/klagomålsmail/A 4393-2026 FSC-klagomål mail.docx", "A 4393-2026")</f>
        <v/>
      </c>
      <c r="AC119">
        <f>HYPERLINK("https://klasma.github.io/Logging_2080/tillsyn/A 4393-2026 tillsynsbegäran.docx", "A 4393-2026")</f>
        <v/>
      </c>
      <c r="AD119">
        <f>HYPERLINK("https://klasma.github.io/Logging_2080/tillsynsmail/A 4393-2026 tillsynsbegäran mail.docx", "A 4393-2026")</f>
        <v/>
      </c>
      <c r="AE119">
        <f>HYPERLINK("https://klasma.github.io/Logging_2080/fåglar/A 4393-2026 prioriterade fågelarter.docx", "A 4393-2026")</f>
        <v/>
      </c>
    </row>
    <row r="120" ht="15" customHeight="1">
      <c r="A120" t="inlineStr">
        <is>
          <t>A 1342-2026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46031</v>
      </c>
      <c r="E120" s="1" t="n">
        <v>46314</v>
      </c>
      <c r="F120" t="inlineStr">
        <is>
          <t>DALARNAS LÄN</t>
        </is>
      </c>
      <c r="G120" t="inlineStr">
        <is>
          <t>FALUN</t>
        </is>
      </c>
      <c r="I120" t="n">
        <v>14.9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s="2" t="inlineStr">
        <is>
          <t>Igelkott</t>
        </is>
      </c>
      <c r="W120">
        <f>HYPERLINK("https://klasma.github.io/Logging_2080/artfynd/A 1342-2026 artfynd.xlsx", "A 1342-2026")</f>
        <v/>
      </c>
      <c r="X120">
        <f>HYPERLINK("https://klasma.github.io/Logging_2080/kartor/A 1342-2026 karta.png", "A 1342-2026")</f>
        <v/>
      </c>
      <c r="Y120">
        <f>HYPERLINK("https://klasma.github.io/Logging_2080/kartor_geotiff/A 1342-2026 georefererad karta.tif", "A 1342-2026")</f>
        <v/>
      </c>
      <c r="AA120">
        <f>HYPERLINK("https://klasma.github.io/Logging_2080/klagomål/A 1342-2026 FSC-klagomål.docx", "A 1342-2026")</f>
        <v/>
      </c>
      <c r="AB120">
        <f>HYPERLINK("https://klasma.github.io/Logging_2080/klagomålsmail/A 1342-2026 FSC-klagomål mail.docx", "A 1342-2026")</f>
        <v/>
      </c>
      <c r="AC120">
        <f>HYPERLINK("https://klasma.github.io/Logging_2080/tillsyn/A 1342-2026 tillsynsbegäran.docx", "A 1342-2026")</f>
        <v/>
      </c>
      <c r="AD120">
        <f>HYPERLINK("https://klasma.github.io/Logging_2080/tillsynsmail/A 1342-2026 tillsynsbegäran mail.docx", "A 1342-2026")</f>
        <v/>
      </c>
    </row>
    <row r="121" ht="15" customHeight="1">
      <c r="A121" t="inlineStr">
        <is>
          <t>A 1317-2026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46031</v>
      </c>
      <c r="E121" s="1" t="n">
        <v>46314</v>
      </c>
      <c r="F121" t="inlineStr">
        <is>
          <t>DALARNAS LÄN</t>
        </is>
      </c>
      <c r="G121" t="inlineStr">
        <is>
          <t>FALUN</t>
        </is>
      </c>
      <c r="I121" t="n">
        <v>27.3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s="2" t="inlineStr">
        <is>
          <t>Gul groddlummer</t>
        </is>
      </c>
      <c r="W121">
        <f>HYPERLINK("https://klasma.github.io/Logging_2080/artfynd/A 1317-2026 artfynd.xlsx", "A 1317-2026")</f>
        <v/>
      </c>
      <c r="X121">
        <f>HYPERLINK("https://klasma.github.io/Logging_2080/kartor/A 1317-2026 karta.png", "A 1317-2026")</f>
        <v/>
      </c>
      <c r="Y121">
        <f>HYPERLINK("https://klasma.github.io/Logging_2080/kartor_geotiff/A 1317-2026 georefererad karta.tif", "A 1317-2026")</f>
        <v/>
      </c>
      <c r="AA121">
        <f>HYPERLINK("https://klasma.github.io/Logging_2080/klagomål/A 1317-2026 FSC-klagomål.docx", "A 1317-2026")</f>
        <v/>
      </c>
      <c r="AB121">
        <f>HYPERLINK("https://klasma.github.io/Logging_2080/klagomålsmail/A 1317-2026 FSC-klagomål mail.docx", "A 1317-2026")</f>
        <v/>
      </c>
      <c r="AC121">
        <f>HYPERLINK("https://klasma.github.io/Logging_2080/tillsyn/A 1317-2026 tillsynsbegäran.docx", "A 1317-2026")</f>
        <v/>
      </c>
      <c r="AD121">
        <f>HYPERLINK("https://klasma.github.io/Logging_2080/tillsynsmail/A 1317-2026 tillsynsbegäran mail.docx", "A 1317-2026")</f>
        <v/>
      </c>
    </row>
    <row r="122" ht="15" customHeight="1">
      <c r="A122" t="inlineStr">
        <is>
          <t>A 25540-2026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46177</v>
      </c>
      <c r="E122" s="1" t="n">
        <v>46314</v>
      </c>
      <c r="F122" t="inlineStr">
        <is>
          <t>DALARNAS LÄN</t>
        </is>
      </c>
      <c r="G122" t="inlineStr">
        <is>
          <t>FALUN</t>
        </is>
      </c>
      <c r="H122" t="inlineStr">
        <is>
          <t>Bergvik skog väst AB</t>
        </is>
      </c>
      <c r="I122" t="n">
        <v>2.6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0</v>
      </c>
      <c r="V122" s="2" t="inlineStr">
        <is>
          <t>Ullticka</t>
        </is>
      </c>
      <c r="W122">
        <f>HYPERLINK("https://klasma.github.io/Logging_2080/artfynd/A 25540-2026 artfynd.xlsx", "A 25540-2026")</f>
        <v/>
      </c>
      <c r="X122">
        <f>HYPERLINK("https://klasma.github.io/Logging_2080/kartor/A 25540-2026 karta.png", "A 25540-2026")</f>
        <v/>
      </c>
      <c r="Y122">
        <f>HYPERLINK("https://klasma.github.io/Logging_2080/kartor_geotiff/A 25540-2026 georefererad karta.tif", "A 25540-2026")</f>
        <v/>
      </c>
      <c r="AA122">
        <f>HYPERLINK("https://klasma.github.io/Logging_2080/klagomål/A 25540-2026 FSC-klagomål.docx", "A 25540-2026")</f>
        <v/>
      </c>
      <c r="AB122">
        <f>HYPERLINK("https://klasma.github.io/Logging_2080/klagomålsmail/A 25540-2026 FSC-klagomål mail.docx", "A 25540-2026")</f>
        <v/>
      </c>
      <c r="AC122">
        <f>HYPERLINK("https://klasma.github.io/Logging_2080/tillsyn/A 25540-2026 tillsynsbegäran.docx", "A 25540-2026")</f>
        <v/>
      </c>
      <c r="AD122">
        <f>HYPERLINK("https://klasma.github.io/Logging_2080/tillsynsmail/A 25540-2026 tillsynsbegäran mail.docx", "A 25540-2026")</f>
        <v/>
      </c>
    </row>
    <row r="123" ht="15" customHeight="1">
      <c r="A123" t="inlineStr">
        <is>
          <t>A 3454-2026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46042</v>
      </c>
      <c r="E123" s="1" t="n">
        <v>46314</v>
      </c>
      <c r="F123" t="inlineStr">
        <is>
          <t>DALARNAS LÄN</t>
        </is>
      </c>
      <c r="G123" t="inlineStr">
        <is>
          <t>FALUN</t>
        </is>
      </c>
      <c r="I123" t="n">
        <v>1.4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s="2" t="inlineStr">
        <is>
          <t>Brudsporre</t>
        </is>
      </c>
      <c r="W123">
        <f>HYPERLINK("https://klasma.github.io/Logging_2080/artfynd/A 3454-2026 artfynd.xlsx", "A 3454-2026")</f>
        <v/>
      </c>
      <c r="X123">
        <f>HYPERLINK("https://klasma.github.io/Logging_2080/kartor/A 3454-2026 karta.png", "A 3454-2026")</f>
        <v/>
      </c>
      <c r="Y123">
        <f>HYPERLINK("https://klasma.github.io/Logging_2080/kartor_geotiff/A 3454-2026 georefererad karta.tif", "A 3454-2026")</f>
        <v/>
      </c>
      <c r="AA123">
        <f>HYPERLINK("https://klasma.github.io/Logging_2080/klagomål/A 3454-2026 FSC-klagomål.docx", "A 3454-2026")</f>
        <v/>
      </c>
      <c r="AB123">
        <f>HYPERLINK("https://klasma.github.io/Logging_2080/klagomålsmail/A 3454-2026 FSC-klagomål mail.docx", "A 3454-2026")</f>
        <v/>
      </c>
      <c r="AC123">
        <f>HYPERLINK("https://klasma.github.io/Logging_2080/tillsyn/A 3454-2026 tillsynsbegäran.docx", "A 3454-2026")</f>
        <v/>
      </c>
      <c r="AD123">
        <f>HYPERLINK("https://klasma.github.io/Logging_2080/tillsynsmail/A 3454-2026 tillsynsbegäran mail.docx", "A 3454-2026")</f>
        <v/>
      </c>
    </row>
    <row r="124" ht="15" customHeight="1">
      <c r="A124" t="inlineStr">
        <is>
          <t>A 4921-2026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46045</v>
      </c>
      <c r="E124" s="1" t="n">
        <v>46314</v>
      </c>
      <c r="F124" t="inlineStr">
        <is>
          <t>DALARNAS LÄN</t>
        </is>
      </c>
      <c r="G124" t="inlineStr">
        <is>
          <t>FALUN</t>
        </is>
      </c>
      <c r="I124" t="n">
        <v>8.4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  <c r="V124" s="2" t="inlineStr">
        <is>
          <t>Garnlav</t>
        </is>
      </c>
      <c r="W124">
        <f>HYPERLINK("https://klasma.github.io/Logging_2080/artfynd/A 4921-2026 artfynd.xlsx", "A 4921-2026")</f>
        <v/>
      </c>
      <c r="X124">
        <f>HYPERLINK("https://klasma.github.io/Logging_2080/kartor/A 4921-2026 karta.png", "A 4921-2026")</f>
        <v/>
      </c>
      <c r="Y124">
        <f>HYPERLINK("https://klasma.github.io/Logging_2080/kartor_geotiff/A 4921-2026 georefererad karta.tif", "A 4921-2026")</f>
        <v/>
      </c>
      <c r="AA124">
        <f>HYPERLINK("https://klasma.github.io/Logging_2080/klagomål/A 4921-2026 FSC-klagomål.docx", "A 4921-2026")</f>
        <v/>
      </c>
      <c r="AB124">
        <f>HYPERLINK("https://klasma.github.io/Logging_2080/klagomålsmail/A 4921-2026 FSC-klagomål mail.docx", "A 4921-2026")</f>
        <v/>
      </c>
      <c r="AC124">
        <f>HYPERLINK("https://klasma.github.io/Logging_2080/tillsyn/A 4921-2026 tillsynsbegäran.docx", "A 4921-2026")</f>
        <v/>
      </c>
      <c r="AD124">
        <f>HYPERLINK("https://klasma.github.io/Logging_2080/tillsynsmail/A 4921-2026 tillsynsbegäran mail.docx", "A 4921-2026")</f>
        <v/>
      </c>
    </row>
    <row r="125" ht="15" customHeight="1">
      <c r="A125" t="inlineStr">
        <is>
          <t>A 3552-2026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46042</v>
      </c>
      <c r="E125" s="1" t="n">
        <v>46314</v>
      </c>
      <c r="F125" t="inlineStr">
        <is>
          <t>DALARNAS LÄN</t>
        </is>
      </c>
      <c r="G125" t="inlineStr">
        <is>
          <t>FALUN</t>
        </is>
      </c>
      <c r="I125" t="n">
        <v>3.8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s="2" t="inlineStr">
        <is>
          <t>Tjäder</t>
        </is>
      </c>
      <c r="W125">
        <f>HYPERLINK("https://klasma.github.io/Logging_2080/artfynd/A 3552-2026 artfynd.xlsx", "A 3552-2026")</f>
        <v/>
      </c>
      <c r="X125">
        <f>HYPERLINK("https://klasma.github.io/Logging_2080/kartor/A 3552-2026 karta.png", "A 3552-2026")</f>
        <v/>
      </c>
      <c r="Y125">
        <f>HYPERLINK("https://klasma.github.io/Logging_2080/kartor_geotiff/A 3552-2026 georefererad karta.tif", "A 3552-2026")</f>
        <v/>
      </c>
      <c r="AA125">
        <f>HYPERLINK("https://klasma.github.io/Logging_2080/klagomål/A 3552-2026 FSC-klagomål.docx", "A 3552-2026")</f>
        <v/>
      </c>
      <c r="AB125">
        <f>HYPERLINK("https://klasma.github.io/Logging_2080/klagomålsmail/A 3552-2026 FSC-klagomål mail.docx", "A 3552-2026")</f>
        <v/>
      </c>
      <c r="AC125">
        <f>HYPERLINK("https://klasma.github.io/Logging_2080/tillsyn/A 3552-2026 tillsynsbegäran.docx", "A 3552-2026")</f>
        <v/>
      </c>
      <c r="AD125">
        <f>HYPERLINK("https://klasma.github.io/Logging_2080/tillsynsmail/A 3552-2026 tillsynsbegäran mail.docx", "A 3552-2026")</f>
        <v/>
      </c>
      <c r="AE125">
        <f>HYPERLINK("https://klasma.github.io/Logging_2080/fåglar/A 3552-2026 prioriterade fågelarter.docx", "A 3552-2026")</f>
        <v/>
      </c>
    </row>
    <row r="126" ht="15" customHeight="1">
      <c r="A126" t="inlineStr">
        <is>
          <t>A 4537-2026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46046</v>
      </c>
      <c r="E126" s="1" t="n">
        <v>46314</v>
      </c>
      <c r="F126" t="inlineStr">
        <is>
          <t>DALARNAS LÄN</t>
        </is>
      </c>
      <c r="G126" t="inlineStr">
        <is>
          <t>FALUN</t>
        </is>
      </c>
      <c r="I126" t="n">
        <v>4.8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1</v>
      </c>
      <c r="T126" t="n">
        <v>2</v>
      </c>
      <c r="U126" t="n">
        <v>0</v>
      </c>
      <c r="V126" s="2" t="inlineStr">
        <is>
          <t>Knärot</t>
        </is>
      </c>
      <c r="W126">
        <f>HYPERLINK("https://klasma.github.io/Logging_2080/artfynd/A 4537-2026 artfynd.xlsx", "A 4537-2026")</f>
        <v/>
      </c>
      <c r="X126">
        <f>HYPERLINK("https://klasma.github.io/Logging_2080/kartor/A 4537-2026 karta.png", "A 4537-2026")</f>
        <v/>
      </c>
      <c r="Y126">
        <f>HYPERLINK("https://klasma.github.io/Logging_2080/kartor_geotiff/A 4537-2026 georefererad karta.tif", "A 4537-2026")</f>
        <v/>
      </c>
      <c r="Z126">
        <f>HYPERLINK("https://klasma.github.io/Logging_2080/knärot/A 4537-2026 karta knärot.png", "A 4537-2026")</f>
        <v/>
      </c>
      <c r="AA126">
        <f>HYPERLINK("https://klasma.github.io/Logging_2080/klagomål/A 4537-2026 FSC-klagomål.docx", "A 4537-2026")</f>
        <v/>
      </c>
      <c r="AB126">
        <f>HYPERLINK("https://klasma.github.io/Logging_2080/klagomålsmail/A 4537-2026 FSC-klagomål mail.docx", "A 4537-2026")</f>
        <v/>
      </c>
      <c r="AC126">
        <f>HYPERLINK("https://klasma.github.io/Logging_2080/tillsyn/A 4537-2026 tillsynsbegäran.docx", "A 4537-2026")</f>
        <v/>
      </c>
      <c r="AD126">
        <f>HYPERLINK("https://klasma.github.io/Logging_2080/tillsynsmail/A 4537-2026 tillsynsbegäran mail.docx", "A 4537-2026")</f>
        <v/>
      </c>
    </row>
    <row r="127" ht="15" customHeight="1">
      <c r="A127" t="inlineStr">
        <is>
          <t>A 26096-2026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46181</v>
      </c>
      <c r="E127" s="1" t="n">
        <v>46314</v>
      </c>
      <c r="F127" t="inlineStr">
        <is>
          <t>DALARNAS LÄN</t>
        </is>
      </c>
      <c r="G127" t="inlineStr">
        <is>
          <t>FALUN</t>
        </is>
      </c>
      <c r="I127" t="n">
        <v>0.7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s="2" t="inlineStr">
        <is>
          <t>Mattlummer</t>
        </is>
      </c>
      <c r="W127">
        <f>HYPERLINK("https://klasma.github.io/Logging_2080/artfynd/A 26096-2026 artfynd.xlsx", "A 26096-2026")</f>
        <v/>
      </c>
      <c r="X127">
        <f>HYPERLINK("https://klasma.github.io/Logging_2080/kartor/A 26096-2026 karta.png", "A 26096-2026")</f>
        <v/>
      </c>
      <c r="Y127">
        <f>HYPERLINK("https://klasma.github.io/Logging_2080/kartor_geotiff/A 26096-2026 georefererad karta.tif", "A 26096-2026")</f>
        <v/>
      </c>
      <c r="AA127">
        <f>HYPERLINK("https://klasma.github.io/Logging_2080/klagomål/A 26096-2026 FSC-klagomål.docx", "A 26096-2026")</f>
        <v/>
      </c>
      <c r="AB127">
        <f>HYPERLINK("https://klasma.github.io/Logging_2080/klagomålsmail/A 26096-2026 FSC-klagomål mail.docx", "A 26096-2026")</f>
        <v/>
      </c>
      <c r="AC127">
        <f>HYPERLINK("https://klasma.github.io/Logging_2080/tillsyn/A 26096-2026 tillsynsbegäran.docx", "A 26096-2026")</f>
        <v/>
      </c>
      <c r="AD127">
        <f>HYPERLINK("https://klasma.github.io/Logging_2080/tillsynsmail/A 26096-2026 tillsynsbegäran mail.docx", "A 26096-2026")</f>
        <v/>
      </c>
    </row>
    <row r="128" ht="15" customHeight="1">
      <c r="A128" t="inlineStr">
        <is>
          <t>A 6962-2026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46056</v>
      </c>
      <c r="E128" s="1" t="n">
        <v>46314</v>
      </c>
      <c r="F128" t="inlineStr">
        <is>
          <t>DALARNAS LÄN</t>
        </is>
      </c>
      <c r="G128" t="inlineStr">
        <is>
          <t>FALUN</t>
        </is>
      </c>
      <c r="H128" t="inlineStr">
        <is>
          <t>Allmännings- och besparingsskogar</t>
        </is>
      </c>
      <c r="I128" t="n">
        <v>20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0</v>
      </c>
      <c r="V128" s="2" t="inlineStr">
        <is>
          <t>Garnlav</t>
        </is>
      </c>
      <c r="W128">
        <f>HYPERLINK("https://klasma.github.io/Logging_2080/artfynd/A 6962-2026 artfynd.xlsx", "A 6962-2026")</f>
        <v/>
      </c>
      <c r="X128">
        <f>HYPERLINK("https://klasma.github.io/Logging_2080/kartor/A 6962-2026 karta.png", "A 6962-2026")</f>
        <v/>
      </c>
      <c r="Y128">
        <f>HYPERLINK("https://klasma.github.io/Logging_2080/kartor_geotiff/A 6962-2026 georefererad karta.tif", "A 6962-2026")</f>
        <v/>
      </c>
      <c r="AA128">
        <f>HYPERLINK("https://klasma.github.io/Logging_2080/klagomål/A 6962-2026 FSC-klagomål.docx", "A 6962-2026")</f>
        <v/>
      </c>
      <c r="AB128">
        <f>HYPERLINK("https://klasma.github.io/Logging_2080/klagomålsmail/A 6962-2026 FSC-klagomål mail.docx", "A 6962-2026")</f>
        <v/>
      </c>
      <c r="AC128">
        <f>HYPERLINK("https://klasma.github.io/Logging_2080/tillsyn/A 6962-2026 tillsynsbegäran.docx", "A 6962-2026")</f>
        <v/>
      </c>
      <c r="AD128">
        <f>HYPERLINK("https://klasma.github.io/Logging_2080/tillsynsmail/A 6962-2026 tillsynsbegäran mail.docx", "A 6962-2026")</f>
        <v/>
      </c>
    </row>
    <row r="129" ht="15" customHeight="1">
      <c r="A129" t="inlineStr">
        <is>
          <t>A 15598-2026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46106</v>
      </c>
      <c r="E129" s="1" t="n">
        <v>46314</v>
      </c>
      <c r="F129" t="inlineStr">
        <is>
          <t>DALARNAS LÄN</t>
        </is>
      </c>
      <c r="G129" t="inlineStr">
        <is>
          <t>FALUN</t>
        </is>
      </c>
      <c r="H129" t="inlineStr">
        <is>
          <t>Bergvik skog väst AB</t>
        </is>
      </c>
      <c r="I129" t="n">
        <v>18.2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0</v>
      </c>
      <c r="V129" s="2" t="inlineStr">
        <is>
          <t>Sparvuggla</t>
        </is>
      </c>
      <c r="W129">
        <f>HYPERLINK("https://klasma.github.io/Logging_2080/artfynd/A 15598-2026 artfynd.xlsx", "A 15598-2026")</f>
        <v/>
      </c>
      <c r="X129">
        <f>HYPERLINK("https://klasma.github.io/Logging_2080/kartor/A 15598-2026 karta.png", "A 15598-2026")</f>
        <v/>
      </c>
      <c r="Y129">
        <f>HYPERLINK("https://klasma.github.io/Logging_2080/kartor_geotiff/A 15598-2026 georefererad karta.tif", "A 15598-2026")</f>
        <v/>
      </c>
      <c r="AA129">
        <f>HYPERLINK("https://klasma.github.io/Logging_2080/klagomål/A 15598-2026 FSC-klagomål.docx", "A 15598-2026")</f>
        <v/>
      </c>
      <c r="AB129">
        <f>HYPERLINK("https://klasma.github.io/Logging_2080/klagomålsmail/A 15598-2026 FSC-klagomål mail.docx", "A 15598-2026")</f>
        <v/>
      </c>
      <c r="AC129">
        <f>HYPERLINK("https://klasma.github.io/Logging_2080/tillsyn/A 15598-2026 tillsynsbegäran.docx", "A 15598-2026")</f>
        <v/>
      </c>
      <c r="AD129">
        <f>HYPERLINK("https://klasma.github.io/Logging_2080/tillsynsmail/A 15598-2026 tillsynsbegäran mail.docx", "A 15598-2026")</f>
        <v/>
      </c>
      <c r="AE129">
        <f>HYPERLINK("https://klasma.github.io/Logging_2080/fåglar/A 15598-2026 prioriterade fågelarter.docx", "A 15598-2026")</f>
        <v/>
      </c>
    </row>
    <row r="130" ht="15" customHeight="1">
      <c r="A130" t="inlineStr">
        <is>
          <t>A 15601-2026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46106</v>
      </c>
      <c r="E130" s="1" t="n">
        <v>46314</v>
      </c>
      <c r="F130" t="inlineStr">
        <is>
          <t>DALARNAS LÄN</t>
        </is>
      </c>
      <c r="G130" t="inlineStr">
        <is>
          <t>FALUN</t>
        </is>
      </c>
      <c r="H130" t="inlineStr">
        <is>
          <t>Bergvik skog väst AB</t>
        </is>
      </c>
      <c r="I130" t="n">
        <v>35.5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0</v>
      </c>
      <c r="V130" s="2" t="inlineStr">
        <is>
          <t>Ullticka</t>
        </is>
      </c>
      <c r="W130">
        <f>HYPERLINK("https://klasma.github.io/Logging_2080/artfynd/A 15601-2026 artfynd.xlsx", "A 15601-2026")</f>
        <v/>
      </c>
      <c r="X130">
        <f>HYPERLINK("https://klasma.github.io/Logging_2080/kartor/A 15601-2026 karta.png", "A 15601-2026")</f>
        <v/>
      </c>
      <c r="Y130">
        <f>HYPERLINK("https://klasma.github.io/Logging_2080/kartor_geotiff/A 15601-2026 georefererad karta.tif", "A 15601-2026")</f>
        <v/>
      </c>
      <c r="AA130">
        <f>HYPERLINK("https://klasma.github.io/Logging_2080/klagomål/A 15601-2026 FSC-klagomål.docx", "A 15601-2026")</f>
        <v/>
      </c>
      <c r="AB130">
        <f>HYPERLINK("https://klasma.github.io/Logging_2080/klagomålsmail/A 15601-2026 FSC-klagomål mail.docx", "A 15601-2026")</f>
        <v/>
      </c>
      <c r="AC130">
        <f>HYPERLINK("https://klasma.github.io/Logging_2080/tillsyn/A 15601-2026 tillsynsbegäran.docx", "A 15601-2026")</f>
        <v/>
      </c>
      <c r="AD130">
        <f>HYPERLINK("https://klasma.github.io/Logging_2080/tillsynsmail/A 15601-2026 tillsynsbegäran mail.docx", "A 15601-2026")</f>
        <v/>
      </c>
    </row>
    <row r="131" ht="15" customHeight="1">
      <c r="A131" t="inlineStr">
        <is>
          <t>A 6951-2026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46057</v>
      </c>
      <c r="E131" s="1" t="n">
        <v>46314</v>
      </c>
      <c r="F131" t="inlineStr">
        <is>
          <t>DALARNAS LÄN</t>
        </is>
      </c>
      <c r="G131" t="inlineStr">
        <is>
          <t>FALUN</t>
        </is>
      </c>
      <c r="I131" t="n">
        <v>0.6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1</v>
      </c>
      <c r="T131" t="n">
        <v>1</v>
      </c>
      <c r="U131" t="n">
        <v>0</v>
      </c>
      <c r="V131" s="2" t="inlineStr">
        <is>
          <t>Garnlav</t>
        </is>
      </c>
      <c r="W131">
        <f>HYPERLINK("https://klasma.github.io/Logging_2080/artfynd/A 6951-2026 artfynd.xlsx", "A 6951-2026")</f>
        <v/>
      </c>
      <c r="X131">
        <f>HYPERLINK("https://klasma.github.io/Logging_2080/kartor/A 6951-2026 karta.png", "A 6951-2026")</f>
        <v/>
      </c>
      <c r="Y131">
        <f>HYPERLINK("https://klasma.github.io/Logging_2080/kartor_geotiff/A 6951-2026 georefererad karta.tif", "A 6951-2026")</f>
        <v/>
      </c>
      <c r="AA131">
        <f>HYPERLINK("https://klasma.github.io/Logging_2080/klagomål/A 6951-2026 FSC-klagomål.docx", "A 6951-2026")</f>
        <v/>
      </c>
      <c r="AB131">
        <f>HYPERLINK("https://klasma.github.io/Logging_2080/klagomålsmail/A 6951-2026 FSC-klagomål mail.docx", "A 6951-2026")</f>
        <v/>
      </c>
      <c r="AC131">
        <f>HYPERLINK("https://klasma.github.io/Logging_2080/tillsyn/A 6951-2026 tillsynsbegäran.docx", "A 6951-2026")</f>
        <v/>
      </c>
      <c r="AD131">
        <f>HYPERLINK("https://klasma.github.io/Logging_2080/tillsynsmail/A 6951-2026 tillsynsbegäran mail.docx", "A 6951-2026")</f>
        <v/>
      </c>
    </row>
    <row r="132" ht="15" customHeight="1">
      <c r="A132" t="inlineStr">
        <is>
          <t>A 6968-2026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46056</v>
      </c>
      <c r="E132" s="1" t="n">
        <v>46314</v>
      </c>
      <c r="F132" t="inlineStr">
        <is>
          <t>DALARNAS LÄN</t>
        </is>
      </c>
      <c r="G132" t="inlineStr">
        <is>
          <t>FALUN</t>
        </is>
      </c>
      <c r="H132" t="inlineStr">
        <is>
          <t>Allmännings- och besparingsskogar</t>
        </is>
      </c>
      <c r="I132" t="n">
        <v>14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s="2" t="inlineStr">
        <is>
          <t>Garnlav</t>
        </is>
      </c>
      <c r="W132">
        <f>HYPERLINK("https://klasma.github.io/Logging_2080/artfynd/A 6968-2026 artfynd.xlsx", "A 6968-2026")</f>
        <v/>
      </c>
      <c r="X132">
        <f>HYPERLINK("https://klasma.github.io/Logging_2080/kartor/A 6968-2026 karta.png", "A 6968-2026")</f>
        <v/>
      </c>
      <c r="Y132">
        <f>HYPERLINK("https://klasma.github.io/Logging_2080/kartor_geotiff/A 6968-2026 georefererad karta.tif", "A 6968-2026")</f>
        <v/>
      </c>
      <c r="AA132">
        <f>HYPERLINK("https://klasma.github.io/Logging_2080/klagomål/A 6968-2026 FSC-klagomål.docx", "A 6968-2026")</f>
        <v/>
      </c>
      <c r="AB132">
        <f>HYPERLINK("https://klasma.github.io/Logging_2080/klagomålsmail/A 6968-2026 FSC-klagomål mail.docx", "A 6968-2026")</f>
        <v/>
      </c>
      <c r="AC132">
        <f>HYPERLINK("https://klasma.github.io/Logging_2080/tillsyn/A 6968-2026 tillsynsbegäran.docx", "A 6968-2026")</f>
        <v/>
      </c>
      <c r="AD132">
        <f>HYPERLINK("https://klasma.github.io/Logging_2080/tillsynsmail/A 6968-2026 tillsynsbegäran mail.docx", "A 6968-2026")</f>
        <v/>
      </c>
    </row>
    <row r="133" ht="15" customHeight="1">
      <c r="A133" t="inlineStr">
        <is>
          <t>A 27316-2026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46188</v>
      </c>
      <c r="E133" s="1" t="n">
        <v>46314</v>
      </c>
      <c r="F133" t="inlineStr">
        <is>
          <t>DALARNAS LÄN</t>
        </is>
      </c>
      <c r="G133" t="inlineStr">
        <is>
          <t>FALUN</t>
        </is>
      </c>
      <c r="I133" t="n">
        <v>2.2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s="2" t="inlineStr">
        <is>
          <t>Garnlav</t>
        </is>
      </c>
      <c r="W133">
        <f>HYPERLINK("https://klasma.github.io/Logging_2080/artfynd/A 27316-2026 artfynd.xlsx", "A 27316-2026")</f>
        <v/>
      </c>
      <c r="X133">
        <f>HYPERLINK("https://klasma.github.io/Logging_2080/kartor/A 27316-2026 karta.png", "A 27316-2026")</f>
        <v/>
      </c>
      <c r="Y133">
        <f>HYPERLINK("https://klasma.github.io/Logging_2080/kartor_geotiff/A 27316-2026 georefererad karta.tif", "A 27316-2026")</f>
        <v/>
      </c>
      <c r="AA133">
        <f>HYPERLINK("https://klasma.github.io/Logging_2080/klagomål/A 27316-2026 FSC-klagomål.docx", "A 27316-2026")</f>
        <v/>
      </c>
      <c r="AB133">
        <f>HYPERLINK("https://klasma.github.io/Logging_2080/klagomålsmail/A 27316-2026 FSC-klagomål mail.docx", "A 27316-2026")</f>
        <v/>
      </c>
      <c r="AC133">
        <f>HYPERLINK("https://klasma.github.io/Logging_2080/tillsyn/A 27316-2026 tillsynsbegäran.docx", "A 27316-2026")</f>
        <v/>
      </c>
      <c r="AD133">
        <f>HYPERLINK("https://klasma.github.io/Logging_2080/tillsynsmail/A 27316-2026 tillsynsbegäran mail.docx", "A 27316-2026")</f>
        <v/>
      </c>
    </row>
    <row r="134" ht="15" customHeight="1">
      <c r="A134" t="inlineStr">
        <is>
          <t>A 27263-2026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46188</v>
      </c>
      <c r="E134" s="1" t="n">
        <v>46314</v>
      </c>
      <c r="F134" t="inlineStr">
        <is>
          <t>DALARNAS LÄN</t>
        </is>
      </c>
      <c r="G134" t="inlineStr">
        <is>
          <t>FALUN</t>
        </is>
      </c>
      <c r="I134" t="n">
        <v>2.3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0</v>
      </c>
      <c r="V134" s="2" t="inlineStr">
        <is>
          <t>Dropptaggsvamp</t>
        </is>
      </c>
      <c r="W134">
        <f>HYPERLINK("https://klasma.github.io/Logging_2080/artfynd/A 27263-2026 artfynd.xlsx", "A 27263-2026")</f>
        <v/>
      </c>
      <c r="X134">
        <f>HYPERLINK("https://klasma.github.io/Logging_2080/kartor/A 27263-2026 karta.png", "A 27263-2026")</f>
        <v/>
      </c>
      <c r="Y134">
        <f>HYPERLINK("https://klasma.github.io/Logging_2080/kartor_geotiff/A 27263-2026 georefererad karta.tif", "A 27263-2026")</f>
        <v/>
      </c>
      <c r="AA134">
        <f>HYPERLINK("https://klasma.github.io/Logging_2080/klagomål/A 27263-2026 FSC-klagomål.docx", "A 27263-2026")</f>
        <v/>
      </c>
      <c r="AB134">
        <f>HYPERLINK("https://klasma.github.io/Logging_2080/klagomålsmail/A 27263-2026 FSC-klagomål mail.docx", "A 27263-2026")</f>
        <v/>
      </c>
      <c r="AC134">
        <f>HYPERLINK("https://klasma.github.io/Logging_2080/tillsyn/A 27263-2026 tillsynsbegäran.docx", "A 27263-2026")</f>
        <v/>
      </c>
      <c r="AD134">
        <f>HYPERLINK("https://klasma.github.io/Logging_2080/tillsynsmail/A 27263-2026 tillsynsbegäran mail.docx", "A 27263-2026")</f>
        <v/>
      </c>
    </row>
    <row r="135" ht="15" customHeight="1">
      <c r="A135" t="inlineStr">
        <is>
          <t>A 11038-2026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46079</v>
      </c>
      <c r="E135" s="1" t="n">
        <v>46314</v>
      </c>
      <c r="F135" t="inlineStr">
        <is>
          <t>DALARNAS LÄN</t>
        </is>
      </c>
      <c r="G135" t="inlineStr">
        <is>
          <t>FALUN</t>
        </is>
      </c>
      <c r="I135" t="n">
        <v>2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s="2" t="inlineStr">
        <is>
          <t>Utter</t>
        </is>
      </c>
      <c r="W135">
        <f>HYPERLINK("https://klasma.github.io/Logging_2080/artfynd/A 11038-2026 artfynd.xlsx", "A 11038-2026")</f>
        <v/>
      </c>
      <c r="X135">
        <f>HYPERLINK("https://klasma.github.io/Logging_2080/kartor/A 11038-2026 karta.png", "A 11038-2026")</f>
        <v/>
      </c>
      <c r="Y135">
        <f>HYPERLINK("https://klasma.github.io/Logging_2080/kartor_geotiff/A 11038-2026 georefererad karta.tif", "A 11038-2026")</f>
        <v/>
      </c>
      <c r="AA135">
        <f>HYPERLINK("https://klasma.github.io/Logging_2080/klagomål/A 11038-2026 FSC-klagomål.docx", "A 11038-2026")</f>
        <v/>
      </c>
      <c r="AB135">
        <f>HYPERLINK("https://klasma.github.io/Logging_2080/klagomålsmail/A 11038-2026 FSC-klagomål mail.docx", "A 11038-2026")</f>
        <v/>
      </c>
      <c r="AC135">
        <f>HYPERLINK("https://klasma.github.io/Logging_2080/tillsyn/A 11038-2026 tillsynsbegäran.docx", "A 11038-2026")</f>
        <v/>
      </c>
      <c r="AD135">
        <f>HYPERLINK("https://klasma.github.io/Logging_2080/tillsynsmail/A 11038-2026 tillsynsbegäran mail.docx", "A 11038-2026")</f>
        <v/>
      </c>
    </row>
    <row r="136" ht="15" customHeight="1">
      <c r="A136" t="inlineStr">
        <is>
          <t>A 27627-2026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46190</v>
      </c>
      <c r="E136" s="1" t="n">
        <v>46314</v>
      </c>
      <c r="F136" t="inlineStr">
        <is>
          <t>DALARNAS LÄN</t>
        </is>
      </c>
      <c r="G136" t="inlineStr">
        <is>
          <t>FALUN</t>
        </is>
      </c>
      <c r="I136" t="n">
        <v>1.7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1</v>
      </c>
      <c r="T136" t="n">
        <v>1</v>
      </c>
      <c r="U136" t="n">
        <v>0</v>
      </c>
      <c r="V136" s="2" t="inlineStr">
        <is>
          <t>Knärot</t>
        </is>
      </c>
      <c r="W136">
        <f>HYPERLINK("https://klasma.github.io/Logging_2080/artfynd/A 27627-2026 artfynd.xlsx", "A 27627-2026")</f>
        <v/>
      </c>
      <c r="X136">
        <f>HYPERLINK("https://klasma.github.io/Logging_2080/kartor/A 27627-2026 karta.png", "A 27627-2026")</f>
        <v/>
      </c>
      <c r="Y136">
        <f>HYPERLINK("https://klasma.github.io/Logging_2080/kartor_geotiff/A 27627-2026 georefererad karta.tif", "A 27627-2026")</f>
        <v/>
      </c>
      <c r="Z136">
        <f>HYPERLINK("https://klasma.github.io/Logging_2080/knärot/A 27627-2026 karta knärot.png", "A 27627-2026")</f>
        <v/>
      </c>
      <c r="AA136">
        <f>HYPERLINK("https://klasma.github.io/Logging_2080/klagomål/A 27627-2026 FSC-klagomål.docx", "A 27627-2026")</f>
        <v/>
      </c>
      <c r="AB136">
        <f>HYPERLINK("https://klasma.github.io/Logging_2080/klagomålsmail/A 27627-2026 FSC-klagomål mail.docx", "A 27627-2026")</f>
        <v/>
      </c>
      <c r="AC136">
        <f>HYPERLINK("https://klasma.github.io/Logging_2080/tillsyn/A 27627-2026 tillsynsbegäran.docx", "A 27627-2026")</f>
        <v/>
      </c>
      <c r="AD136">
        <f>HYPERLINK("https://klasma.github.io/Logging_2080/tillsynsmail/A 27627-2026 tillsynsbegäran mail.docx", "A 27627-2026")</f>
        <v/>
      </c>
    </row>
    <row r="137" ht="15" customHeight="1">
      <c r="A137" t="inlineStr">
        <is>
          <t>A 12257-2026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46087</v>
      </c>
      <c r="E137" s="1" t="n">
        <v>46314</v>
      </c>
      <c r="F137" t="inlineStr">
        <is>
          <t>DALARNAS LÄN</t>
        </is>
      </c>
      <c r="G137" t="inlineStr">
        <is>
          <t>FALUN</t>
        </is>
      </c>
      <c r="I137" t="n">
        <v>1.6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</v>
      </c>
      <c r="U137" t="n">
        <v>0</v>
      </c>
      <c r="V137" s="2" t="inlineStr">
        <is>
          <t>Sparvuggla</t>
        </is>
      </c>
      <c r="W137">
        <f>HYPERLINK("https://klasma.github.io/Logging_2080/artfynd/A 12257-2026 artfynd.xlsx", "A 12257-2026")</f>
        <v/>
      </c>
      <c r="X137">
        <f>HYPERLINK("https://klasma.github.io/Logging_2080/kartor/A 12257-2026 karta.png", "A 12257-2026")</f>
        <v/>
      </c>
      <c r="Y137">
        <f>HYPERLINK("https://klasma.github.io/Logging_2080/kartor_geotiff/A 12257-2026 georefererad karta.tif", "A 12257-2026")</f>
        <v/>
      </c>
      <c r="AA137">
        <f>HYPERLINK("https://klasma.github.io/Logging_2080/klagomål/A 12257-2026 FSC-klagomål.docx", "A 12257-2026")</f>
        <v/>
      </c>
      <c r="AB137">
        <f>HYPERLINK("https://klasma.github.io/Logging_2080/klagomålsmail/A 12257-2026 FSC-klagomål mail.docx", "A 12257-2026")</f>
        <v/>
      </c>
      <c r="AC137">
        <f>HYPERLINK("https://klasma.github.io/Logging_2080/tillsyn/A 12257-2026 tillsynsbegäran.docx", "A 12257-2026")</f>
        <v/>
      </c>
      <c r="AD137">
        <f>HYPERLINK("https://klasma.github.io/Logging_2080/tillsynsmail/A 12257-2026 tillsynsbegäran mail.docx", "A 12257-2026")</f>
        <v/>
      </c>
      <c r="AE137">
        <f>HYPERLINK("https://klasma.github.io/Logging_2080/fåglar/A 12257-2026 prioriterade fågelarter.docx", "A 12257-2026")</f>
        <v/>
      </c>
    </row>
    <row r="138" ht="15" customHeight="1">
      <c r="A138" t="inlineStr">
        <is>
          <t>A 56138-2024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45624</v>
      </c>
      <c r="E138" s="1" t="n">
        <v>46314</v>
      </c>
      <c r="F138" t="inlineStr">
        <is>
          <t>DALARNAS LÄN</t>
        </is>
      </c>
      <c r="G138" t="inlineStr">
        <is>
          <t>FALUN</t>
        </is>
      </c>
      <c r="I138" t="n">
        <v>0.8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1</v>
      </c>
      <c r="T138" t="n">
        <v>2</v>
      </c>
      <c r="U138" t="n">
        <v>0</v>
      </c>
      <c r="V138" s="2" t="inlineStr">
        <is>
          <t>Citronporing</t>
        </is>
      </c>
      <c r="W138">
        <f>HYPERLINK("https://klasma.github.io/Logging_2080/artfynd/A 56138-2024 artfynd.xlsx", "A 56138-2024")</f>
        <v/>
      </c>
      <c r="X138">
        <f>HYPERLINK("https://klasma.github.io/Logging_2080/kartor/A 56138-2024 karta.png", "A 56138-2024")</f>
        <v/>
      </c>
      <c r="Y138">
        <f>HYPERLINK("https://klasma.github.io/Logging_2080/kartor_geotiff/A 56138-2024 georefererad karta.tif", "A 56138-2024")</f>
        <v/>
      </c>
      <c r="AA138">
        <f>HYPERLINK("https://klasma.github.io/Logging_2080/klagomål/A 56138-2024 FSC-klagomål.docx", "A 56138-2024")</f>
        <v/>
      </c>
      <c r="AB138">
        <f>HYPERLINK("https://klasma.github.io/Logging_2080/klagomålsmail/A 56138-2024 FSC-klagomål mail.docx", "A 56138-2024")</f>
        <v/>
      </c>
      <c r="AC138">
        <f>HYPERLINK("https://klasma.github.io/Logging_2080/tillsyn/A 56138-2024 tillsynsbegäran.docx", "A 56138-2024")</f>
        <v/>
      </c>
      <c r="AD138">
        <f>HYPERLINK("https://klasma.github.io/Logging_2080/tillsynsmail/A 56138-2024 tillsynsbegäran mail.docx", "A 56138-2024")</f>
        <v/>
      </c>
    </row>
    <row r="139" ht="15" customHeight="1">
      <c r="A139" t="inlineStr">
        <is>
          <t>A 12950-2026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46092</v>
      </c>
      <c r="E139" s="1" t="n">
        <v>46314</v>
      </c>
      <c r="F139" t="inlineStr">
        <is>
          <t>DALARNAS LÄN</t>
        </is>
      </c>
      <c r="G139" t="inlineStr">
        <is>
          <t>FALUN</t>
        </is>
      </c>
      <c r="I139" t="n">
        <v>2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1</v>
      </c>
      <c r="V139" s="2" t="inlineStr">
        <is>
          <t>Skogshare</t>
        </is>
      </c>
      <c r="W139">
        <f>HYPERLINK("https://klasma.github.io/Logging_2080/artfynd/A 12950-2026 artfynd.xlsx", "A 12950-2026")</f>
        <v/>
      </c>
      <c r="X139">
        <f>HYPERLINK("https://klasma.github.io/Logging_2080/kartor/A 12950-2026 karta.png", "A 12950-2026")</f>
        <v/>
      </c>
      <c r="Y139">
        <f>HYPERLINK("https://klasma.github.io/Logging_2080/kartor_geotiff/A 12950-2026 georefererad karta.tif", "A 12950-2026")</f>
        <v/>
      </c>
      <c r="AA139">
        <f>HYPERLINK("https://klasma.github.io/Logging_2080/klagomål/A 12950-2026 FSC-klagomål.docx", "A 12950-2026")</f>
        <v/>
      </c>
      <c r="AB139">
        <f>HYPERLINK("https://klasma.github.io/Logging_2080/klagomålsmail/A 12950-2026 FSC-klagomål mail.docx", "A 12950-2026")</f>
        <v/>
      </c>
      <c r="AC139">
        <f>HYPERLINK("https://klasma.github.io/Logging_2080/tillsyn/A 12950-2026 tillsynsbegäran.docx", "A 12950-2026")</f>
        <v/>
      </c>
      <c r="AD139">
        <f>HYPERLINK("https://klasma.github.io/Logging_2080/tillsynsmail/A 12950-2026 tillsynsbegäran mail.docx", "A 12950-2026")</f>
        <v/>
      </c>
    </row>
    <row r="140" ht="15" customHeight="1">
      <c r="A140" t="inlineStr">
        <is>
          <t>A 13205-2026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46093</v>
      </c>
      <c r="E140" s="1" t="n">
        <v>46314</v>
      </c>
      <c r="F140" t="inlineStr">
        <is>
          <t>DALARNAS LÄN</t>
        </is>
      </c>
      <c r="G140" t="inlineStr">
        <is>
          <t>FALUN</t>
        </is>
      </c>
      <c r="I140" t="n">
        <v>4.6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s="2" t="inlineStr">
        <is>
          <t>Sotriska</t>
        </is>
      </c>
      <c r="W140">
        <f>HYPERLINK("https://klasma.github.io/Logging_2080/artfynd/A 13205-2026 artfynd.xlsx", "A 13205-2026")</f>
        <v/>
      </c>
      <c r="X140">
        <f>HYPERLINK("https://klasma.github.io/Logging_2080/kartor/A 13205-2026 karta.png", "A 13205-2026")</f>
        <v/>
      </c>
      <c r="Y140">
        <f>HYPERLINK("https://klasma.github.io/Logging_2080/kartor_geotiff/A 13205-2026 georefererad karta.tif", "A 13205-2026")</f>
        <v/>
      </c>
      <c r="AA140">
        <f>HYPERLINK("https://klasma.github.io/Logging_2080/klagomål/A 13205-2026 FSC-klagomål.docx", "A 13205-2026")</f>
        <v/>
      </c>
      <c r="AB140">
        <f>HYPERLINK("https://klasma.github.io/Logging_2080/klagomålsmail/A 13205-2026 FSC-klagomål mail.docx", "A 13205-2026")</f>
        <v/>
      </c>
      <c r="AC140">
        <f>HYPERLINK("https://klasma.github.io/Logging_2080/tillsyn/A 13205-2026 tillsynsbegäran.docx", "A 13205-2026")</f>
        <v/>
      </c>
      <c r="AD140">
        <f>HYPERLINK("https://klasma.github.io/Logging_2080/tillsynsmail/A 13205-2026 tillsynsbegäran mail.docx", "A 13205-2026")</f>
        <v/>
      </c>
    </row>
    <row r="141" ht="15" customHeight="1">
      <c r="A141" t="inlineStr">
        <is>
          <t>A 27831-2026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46191</v>
      </c>
      <c r="E141" s="1" t="n">
        <v>46314</v>
      </c>
      <c r="F141" t="inlineStr">
        <is>
          <t>DALARNAS LÄN</t>
        </is>
      </c>
      <c r="G141" t="inlineStr">
        <is>
          <t>FALUN</t>
        </is>
      </c>
      <c r="I141" t="n">
        <v>1.4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s="2" t="inlineStr">
        <is>
          <t>Nattviol</t>
        </is>
      </c>
      <c r="W141">
        <f>HYPERLINK("https://klasma.github.io/Logging_2080/artfynd/A 27831-2026 artfynd.xlsx", "A 27831-2026")</f>
        <v/>
      </c>
      <c r="X141">
        <f>HYPERLINK("https://klasma.github.io/Logging_2080/kartor/A 27831-2026 karta.png", "A 27831-2026")</f>
        <v/>
      </c>
      <c r="Y141">
        <f>HYPERLINK("https://klasma.github.io/Logging_2080/kartor_geotiff/A 27831-2026 georefererad karta.tif", "A 27831-2026")</f>
        <v/>
      </c>
      <c r="AA141">
        <f>HYPERLINK("https://klasma.github.io/Logging_2080/klagomål/A 27831-2026 FSC-klagomål.docx", "A 27831-2026")</f>
        <v/>
      </c>
      <c r="AB141">
        <f>HYPERLINK("https://klasma.github.io/Logging_2080/klagomålsmail/A 27831-2026 FSC-klagomål mail.docx", "A 27831-2026")</f>
        <v/>
      </c>
      <c r="AC141">
        <f>HYPERLINK("https://klasma.github.io/Logging_2080/tillsyn/A 27831-2026 tillsynsbegäran.docx", "A 27831-2026")</f>
        <v/>
      </c>
      <c r="AD141">
        <f>HYPERLINK("https://klasma.github.io/Logging_2080/tillsynsmail/A 27831-2026 tillsynsbegäran mail.docx", "A 27831-2026")</f>
        <v/>
      </c>
    </row>
    <row r="142" ht="15" customHeight="1">
      <c r="A142" t="inlineStr">
        <is>
          <t>A 19727-2026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46135</v>
      </c>
      <c r="E142" s="1" t="n">
        <v>46314</v>
      </c>
      <c r="F142" t="inlineStr">
        <is>
          <t>DALARNAS LÄN</t>
        </is>
      </c>
      <c r="G142" t="inlineStr">
        <is>
          <t>FALUN</t>
        </is>
      </c>
      <c r="H142" t="inlineStr">
        <is>
          <t>Bergvik skog väst AB</t>
        </is>
      </c>
      <c r="I142" t="n">
        <v>24.3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0</v>
      </c>
      <c r="V142" s="2" t="inlineStr">
        <is>
          <t>Flodpärlmussla</t>
        </is>
      </c>
      <c r="W142">
        <f>HYPERLINK("https://klasma.github.io/Logging_2080/artfynd/A 19727-2026 artfynd.xlsx", "A 19727-2026")</f>
        <v/>
      </c>
      <c r="X142">
        <f>HYPERLINK("https://klasma.github.io/Logging_2080/kartor/A 19727-2026 karta.png", "A 19727-2026")</f>
        <v/>
      </c>
      <c r="Y142">
        <f>HYPERLINK("https://klasma.github.io/Logging_2080/kartor_geotiff/A 19727-2026 georefererad karta.tif", "A 19727-2026")</f>
        <v/>
      </c>
      <c r="AA142">
        <f>HYPERLINK("https://klasma.github.io/Logging_2080/klagomål/A 19727-2026 FSC-klagomål.docx", "A 19727-2026")</f>
        <v/>
      </c>
      <c r="AB142">
        <f>HYPERLINK("https://klasma.github.io/Logging_2080/klagomålsmail/A 19727-2026 FSC-klagomål mail.docx", "A 19727-2026")</f>
        <v/>
      </c>
      <c r="AC142">
        <f>HYPERLINK("https://klasma.github.io/Logging_2080/tillsyn/A 19727-2026 tillsynsbegäran.docx", "A 19727-2026")</f>
        <v/>
      </c>
      <c r="AD142">
        <f>HYPERLINK("https://klasma.github.io/Logging_2080/tillsynsmail/A 19727-2026 tillsynsbegäran mail.docx", "A 19727-2026")</f>
        <v/>
      </c>
    </row>
    <row r="143" ht="15" customHeight="1">
      <c r="A143" t="inlineStr">
        <is>
          <t>A 28096-2026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46195</v>
      </c>
      <c r="E143" s="1" t="n">
        <v>46314</v>
      </c>
      <c r="F143" t="inlineStr">
        <is>
          <t>DALARNAS LÄN</t>
        </is>
      </c>
      <c r="G143" t="inlineStr">
        <is>
          <t>FALUN</t>
        </is>
      </c>
      <c r="I143" t="n">
        <v>8.800000000000001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1</v>
      </c>
      <c r="S143" t="n">
        <v>1</v>
      </c>
      <c r="T143" t="n">
        <v>1</v>
      </c>
      <c r="U143" t="n">
        <v>0</v>
      </c>
      <c r="V143" s="2" t="inlineStr">
        <is>
          <t>Garnlav</t>
        </is>
      </c>
      <c r="W143">
        <f>HYPERLINK("https://klasma.github.io/Logging_2080/artfynd/A 28096-2026 artfynd.xlsx", "A 28096-2026")</f>
        <v/>
      </c>
      <c r="X143">
        <f>HYPERLINK("https://klasma.github.io/Logging_2080/kartor/A 28096-2026 karta.png", "A 28096-2026")</f>
        <v/>
      </c>
      <c r="Y143">
        <f>HYPERLINK("https://klasma.github.io/Logging_2080/kartor_geotiff/A 28096-2026 georefererad karta.tif", "A 28096-2026")</f>
        <v/>
      </c>
      <c r="AA143">
        <f>HYPERLINK("https://klasma.github.io/Logging_2080/klagomål/A 28096-2026 FSC-klagomål.docx", "A 28096-2026")</f>
        <v/>
      </c>
      <c r="AB143">
        <f>HYPERLINK("https://klasma.github.io/Logging_2080/klagomålsmail/A 28096-2026 FSC-klagomål mail.docx", "A 28096-2026")</f>
        <v/>
      </c>
      <c r="AC143">
        <f>HYPERLINK("https://klasma.github.io/Logging_2080/tillsyn/A 28096-2026 tillsynsbegäran.docx", "A 28096-2026")</f>
        <v/>
      </c>
      <c r="AD143">
        <f>HYPERLINK("https://klasma.github.io/Logging_2080/tillsynsmail/A 28096-2026 tillsynsbegäran mail.docx", "A 28096-2026")</f>
        <v/>
      </c>
    </row>
    <row r="144" ht="15" customHeight="1">
      <c r="A144" t="inlineStr">
        <is>
          <t>A 40853-2022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44825</v>
      </c>
      <c r="E144" s="1" t="n">
        <v>46314</v>
      </c>
      <c r="F144" t="inlineStr">
        <is>
          <t>DALARNAS LÄN</t>
        </is>
      </c>
      <c r="G144" t="inlineStr">
        <is>
          <t>FALUN</t>
        </is>
      </c>
      <c r="I144" t="n">
        <v>7.2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s="2" t="inlineStr">
        <is>
          <t>Sparvuggla</t>
        </is>
      </c>
      <c r="W144">
        <f>HYPERLINK("https://klasma.github.io/Logging_2080/artfynd/A 40853-2022 artfynd.xlsx", "A 40853-2022")</f>
        <v/>
      </c>
      <c r="X144">
        <f>HYPERLINK("https://klasma.github.io/Logging_2080/kartor/A 40853-2022 karta.png", "A 40853-2022")</f>
        <v/>
      </c>
      <c r="Y144">
        <f>HYPERLINK("https://klasma.github.io/Logging_2080/kartor_geotiff/A 40853-2022 georefererad karta.tif", "A 40853-2022")</f>
        <v/>
      </c>
      <c r="AA144">
        <f>HYPERLINK("https://klasma.github.io/Logging_2080/klagomål/A 40853-2022 FSC-klagomål.docx", "A 40853-2022")</f>
        <v/>
      </c>
      <c r="AB144">
        <f>HYPERLINK("https://klasma.github.io/Logging_2080/klagomålsmail/A 40853-2022 FSC-klagomål mail.docx", "A 40853-2022")</f>
        <v/>
      </c>
      <c r="AC144">
        <f>HYPERLINK("https://klasma.github.io/Logging_2080/tillsyn/A 40853-2022 tillsynsbegäran.docx", "A 40853-2022")</f>
        <v/>
      </c>
      <c r="AD144">
        <f>HYPERLINK("https://klasma.github.io/Logging_2080/tillsynsmail/A 40853-2022 tillsynsbegäran mail.docx", "A 40853-2022")</f>
        <v/>
      </c>
      <c r="AE144">
        <f>HYPERLINK("https://klasma.github.io/Logging_2080/fåglar/A 40853-2022 prioriterade fågelarter.docx", "A 40853-2022")</f>
        <v/>
      </c>
    </row>
    <row r="145" ht="15" customHeight="1">
      <c r="A145" t="inlineStr">
        <is>
          <t>A 15178-2026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46105</v>
      </c>
      <c r="E145" s="1" t="n">
        <v>46314</v>
      </c>
      <c r="F145" t="inlineStr">
        <is>
          <t>DALARNAS LÄN</t>
        </is>
      </c>
      <c r="G145" t="inlineStr">
        <is>
          <t>FALUN</t>
        </is>
      </c>
      <c r="H145" t="inlineStr">
        <is>
          <t>Bergvik skog väst AB</t>
        </is>
      </c>
      <c r="I145" t="n">
        <v>17.1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</v>
      </c>
      <c r="U145" t="n">
        <v>0</v>
      </c>
      <c r="V145" s="2" t="inlineStr">
        <is>
          <t>Stjärntagging</t>
        </is>
      </c>
      <c r="W145">
        <f>HYPERLINK("https://klasma.github.io/Logging_2080/artfynd/A 15178-2026 artfynd.xlsx", "A 15178-2026")</f>
        <v/>
      </c>
      <c r="X145">
        <f>HYPERLINK("https://klasma.github.io/Logging_2080/kartor/A 15178-2026 karta.png", "A 15178-2026")</f>
        <v/>
      </c>
      <c r="Y145">
        <f>HYPERLINK("https://klasma.github.io/Logging_2080/kartor_geotiff/A 15178-2026 georefererad karta.tif", "A 15178-2026")</f>
        <v/>
      </c>
      <c r="AA145">
        <f>HYPERLINK("https://klasma.github.io/Logging_2080/klagomål/A 15178-2026 FSC-klagomål.docx", "A 15178-2026")</f>
        <v/>
      </c>
      <c r="AB145">
        <f>HYPERLINK("https://klasma.github.io/Logging_2080/klagomålsmail/A 15178-2026 FSC-klagomål mail.docx", "A 15178-2026")</f>
        <v/>
      </c>
      <c r="AC145">
        <f>HYPERLINK("https://klasma.github.io/Logging_2080/tillsyn/A 15178-2026 tillsynsbegäran.docx", "A 15178-2026")</f>
        <v/>
      </c>
      <c r="AD145">
        <f>HYPERLINK("https://klasma.github.io/Logging_2080/tillsynsmail/A 15178-2026 tillsynsbegäran mail.docx", "A 15178-2026")</f>
        <v/>
      </c>
    </row>
    <row r="146" ht="15" customHeight="1">
      <c r="A146" t="inlineStr">
        <is>
          <t>A 29133-2026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46202</v>
      </c>
      <c r="E146" s="1" t="n">
        <v>46314</v>
      </c>
      <c r="F146" t="inlineStr">
        <is>
          <t>DALARNAS LÄN</t>
        </is>
      </c>
      <c r="G146" t="inlineStr">
        <is>
          <t>FALUN</t>
        </is>
      </c>
      <c r="H146" t="inlineStr">
        <is>
          <t>Bergvik skog väst AB</t>
        </is>
      </c>
      <c r="I146" t="n">
        <v>2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s="2" t="inlineStr">
        <is>
          <t>Revlummer</t>
        </is>
      </c>
      <c r="W146">
        <f>HYPERLINK("https://klasma.github.io/Logging_2080/artfynd/A 29133-2026 artfynd.xlsx", "A 29133-2026")</f>
        <v/>
      </c>
      <c r="X146">
        <f>HYPERLINK("https://klasma.github.io/Logging_2080/kartor/A 29133-2026 karta.png", "A 29133-2026")</f>
        <v/>
      </c>
      <c r="Y146">
        <f>HYPERLINK("https://klasma.github.io/Logging_2080/kartor_geotiff/A 29133-2026 georefererad karta.tif", "A 29133-2026")</f>
        <v/>
      </c>
      <c r="AA146">
        <f>HYPERLINK("https://klasma.github.io/Logging_2080/klagomål/A 29133-2026 FSC-klagomål.docx", "A 29133-2026")</f>
        <v/>
      </c>
      <c r="AB146">
        <f>HYPERLINK("https://klasma.github.io/Logging_2080/klagomålsmail/A 29133-2026 FSC-klagomål mail.docx", "A 29133-2026")</f>
        <v/>
      </c>
      <c r="AC146">
        <f>HYPERLINK("https://klasma.github.io/Logging_2080/tillsyn/A 29133-2026 tillsynsbegäran.docx", "A 29133-2026")</f>
        <v/>
      </c>
      <c r="AD146">
        <f>HYPERLINK("https://klasma.github.io/Logging_2080/tillsynsmail/A 29133-2026 tillsynsbegäran mail.docx", "A 29133-2026")</f>
        <v/>
      </c>
    </row>
    <row r="147" ht="15" customHeight="1">
      <c r="A147" t="inlineStr">
        <is>
          <t>A 22069-2023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45069</v>
      </c>
      <c r="E147" s="1" t="n">
        <v>46314</v>
      </c>
      <c r="F147" t="inlineStr">
        <is>
          <t>DALARNAS LÄN</t>
        </is>
      </c>
      <c r="G147" t="inlineStr">
        <is>
          <t>FALUN</t>
        </is>
      </c>
      <c r="I147" t="n">
        <v>3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1</v>
      </c>
      <c r="T147" t="n">
        <v>3</v>
      </c>
      <c r="U147" t="n">
        <v>0</v>
      </c>
      <c r="V147" s="2" t="inlineStr">
        <is>
          <t>Brun gräsfjäril</t>
        </is>
      </c>
      <c r="W147">
        <f>HYPERLINK("https://klasma.github.io/Logging_2080/artfynd/A 22069-2023 artfynd.xlsx", "A 22069-2023")</f>
        <v/>
      </c>
      <c r="X147">
        <f>HYPERLINK("https://klasma.github.io/Logging_2080/kartor/A 22069-2023 karta.png", "A 22069-2023")</f>
        <v/>
      </c>
      <c r="Y147">
        <f>HYPERLINK("https://klasma.github.io/Logging_2080/kartor_geotiff/A 22069-2023 georefererad karta.tif", "A 22069-2023")</f>
        <v/>
      </c>
      <c r="AA147">
        <f>HYPERLINK("https://klasma.github.io/Logging_2080/klagomål/A 22069-2023 FSC-klagomål.docx", "A 22069-2023")</f>
        <v/>
      </c>
      <c r="AB147">
        <f>HYPERLINK("https://klasma.github.io/Logging_2080/klagomålsmail/A 22069-2023 FSC-klagomål mail.docx", "A 22069-2023")</f>
        <v/>
      </c>
      <c r="AC147">
        <f>HYPERLINK("https://klasma.github.io/Logging_2080/tillsyn/A 22069-2023 tillsynsbegäran.docx", "A 22069-2023")</f>
        <v/>
      </c>
      <c r="AD147">
        <f>HYPERLINK("https://klasma.github.io/Logging_2080/tillsynsmail/A 22069-2023 tillsynsbegäran mail.docx", "A 22069-2023")</f>
        <v/>
      </c>
    </row>
    <row r="148" ht="15" customHeight="1">
      <c r="A148" t="inlineStr">
        <is>
          <t>A 17252-2026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46119</v>
      </c>
      <c r="E148" s="1" t="n">
        <v>46314</v>
      </c>
      <c r="F148" t="inlineStr">
        <is>
          <t>DALARNAS LÄN</t>
        </is>
      </c>
      <c r="G148" t="inlineStr">
        <is>
          <t>FALUN</t>
        </is>
      </c>
      <c r="I148" t="n">
        <v>88.90000000000001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1</v>
      </c>
      <c r="U148" t="n">
        <v>0</v>
      </c>
      <c r="V148" s="2" t="inlineStr">
        <is>
          <t>Kolflarnlav</t>
        </is>
      </c>
      <c r="W148">
        <f>HYPERLINK("https://klasma.github.io/Logging_2080/artfynd/A 17252-2026 artfynd.xlsx", "A 17252-2026")</f>
        <v/>
      </c>
      <c r="X148">
        <f>HYPERLINK("https://klasma.github.io/Logging_2080/kartor/A 17252-2026 karta.png", "A 17252-2026")</f>
        <v/>
      </c>
      <c r="Y148">
        <f>HYPERLINK("https://klasma.github.io/Logging_2080/kartor_geotiff/A 17252-2026 georefererad karta.tif", "A 17252-2026")</f>
        <v/>
      </c>
      <c r="AA148">
        <f>HYPERLINK("https://klasma.github.io/Logging_2080/klagomål/A 17252-2026 FSC-klagomål.docx", "A 17252-2026")</f>
        <v/>
      </c>
      <c r="AB148">
        <f>HYPERLINK("https://klasma.github.io/Logging_2080/klagomålsmail/A 17252-2026 FSC-klagomål mail.docx", "A 17252-2026")</f>
        <v/>
      </c>
      <c r="AC148">
        <f>HYPERLINK("https://klasma.github.io/Logging_2080/tillsyn/A 17252-2026 tillsynsbegäran.docx", "A 17252-2026")</f>
        <v/>
      </c>
      <c r="AD148">
        <f>HYPERLINK("https://klasma.github.io/Logging_2080/tillsynsmail/A 17252-2026 tillsynsbegäran mail.docx", "A 17252-2026")</f>
        <v/>
      </c>
    </row>
    <row r="149" ht="15" customHeight="1">
      <c r="A149" t="inlineStr">
        <is>
          <t>A 18707-2026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46128</v>
      </c>
      <c r="E149" s="1" t="n">
        <v>46314</v>
      </c>
      <c r="F149" t="inlineStr">
        <is>
          <t>DALARNAS LÄN</t>
        </is>
      </c>
      <c r="G149" t="inlineStr">
        <is>
          <t>FALUN</t>
        </is>
      </c>
      <c r="H149" t="inlineStr">
        <is>
          <t>Bergvik skog väst AB</t>
        </is>
      </c>
      <c r="I149" t="n">
        <v>13.1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n">
        <v>0</v>
      </c>
      <c r="V149" s="2" t="inlineStr">
        <is>
          <t>Blanksvart spiklav</t>
        </is>
      </c>
      <c r="W149">
        <f>HYPERLINK("https://klasma.github.io/Logging_2080/artfynd/A 18707-2026 artfynd.xlsx", "A 18707-2026")</f>
        <v/>
      </c>
      <c r="X149">
        <f>HYPERLINK("https://klasma.github.io/Logging_2080/kartor/A 18707-2026 karta.png", "A 18707-2026")</f>
        <v/>
      </c>
      <c r="Y149">
        <f>HYPERLINK("https://klasma.github.io/Logging_2080/kartor_geotiff/A 18707-2026 georefererad karta.tif", "A 18707-2026")</f>
        <v/>
      </c>
      <c r="AA149">
        <f>HYPERLINK("https://klasma.github.io/Logging_2080/klagomål/A 18707-2026 FSC-klagomål.docx", "A 18707-2026")</f>
        <v/>
      </c>
      <c r="AB149">
        <f>HYPERLINK("https://klasma.github.io/Logging_2080/klagomålsmail/A 18707-2026 FSC-klagomål mail.docx", "A 18707-2026")</f>
        <v/>
      </c>
      <c r="AC149">
        <f>HYPERLINK("https://klasma.github.io/Logging_2080/tillsyn/A 18707-2026 tillsynsbegäran.docx", "A 18707-2026")</f>
        <v/>
      </c>
      <c r="AD149">
        <f>HYPERLINK("https://klasma.github.io/Logging_2080/tillsynsmail/A 18707-2026 tillsynsbegäran mail.docx", "A 18707-2026")</f>
        <v/>
      </c>
    </row>
    <row r="150" ht="15" customHeight="1">
      <c r="A150" t="inlineStr">
        <is>
          <t>A 18067-2023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45040</v>
      </c>
      <c r="E150" s="1" t="n">
        <v>46314</v>
      </c>
      <c r="F150" t="inlineStr">
        <is>
          <t>DALARNAS LÄN</t>
        </is>
      </c>
      <c r="G150" t="inlineStr">
        <is>
          <t>FALUN</t>
        </is>
      </c>
      <c r="I150" t="n">
        <v>7.7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s="2" t="inlineStr">
        <is>
          <t>Ögonpyrola</t>
        </is>
      </c>
      <c r="W150">
        <f>HYPERLINK("https://klasma.github.io/Logging_2080/artfynd/A 18067-2023 artfynd.xlsx", "A 18067-2023")</f>
        <v/>
      </c>
      <c r="X150">
        <f>HYPERLINK("https://klasma.github.io/Logging_2080/kartor/A 18067-2023 karta.png", "A 18067-2023")</f>
        <v/>
      </c>
      <c r="Y150">
        <f>HYPERLINK("https://klasma.github.io/Logging_2080/kartor_geotiff/A 18067-2023 georefererad karta.tif", "A 18067-2023")</f>
        <v/>
      </c>
      <c r="AA150">
        <f>HYPERLINK("https://klasma.github.io/Logging_2080/klagomål/A 18067-2023 FSC-klagomål.docx", "A 18067-2023")</f>
        <v/>
      </c>
      <c r="AB150">
        <f>HYPERLINK("https://klasma.github.io/Logging_2080/klagomålsmail/A 18067-2023 FSC-klagomål mail.docx", "A 18067-2023")</f>
        <v/>
      </c>
      <c r="AC150">
        <f>HYPERLINK("https://klasma.github.io/Logging_2080/tillsyn/A 18067-2023 tillsynsbegäran.docx", "A 18067-2023")</f>
        <v/>
      </c>
      <c r="AD150">
        <f>HYPERLINK("https://klasma.github.io/Logging_2080/tillsynsmail/A 18067-2023 tillsynsbegäran mail.docx", "A 18067-2023")</f>
        <v/>
      </c>
    </row>
    <row r="151" ht="15" customHeight="1">
      <c r="A151" t="inlineStr">
        <is>
          <t>A 54134-2024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45616</v>
      </c>
      <c r="E151" s="1" t="n">
        <v>46314</v>
      </c>
      <c r="F151" t="inlineStr">
        <is>
          <t>DALARNAS LÄN</t>
        </is>
      </c>
      <c r="G151" t="inlineStr">
        <is>
          <t>FALUN</t>
        </is>
      </c>
      <c r="I151" t="n">
        <v>1.9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0</v>
      </c>
      <c r="V151" s="2" t="inlineStr">
        <is>
          <t>Ullticka</t>
        </is>
      </c>
      <c r="W151">
        <f>HYPERLINK("https://klasma.github.io/Logging_2080/artfynd/A 54134-2024 artfynd.xlsx", "A 54134-2024")</f>
        <v/>
      </c>
      <c r="X151">
        <f>HYPERLINK("https://klasma.github.io/Logging_2080/kartor/A 54134-2024 karta.png", "A 54134-2024")</f>
        <v/>
      </c>
      <c r="Y151">
        <f>HYPERLINK("https://klasma.github.io/Logging_2080/kartor_geotiff/A 54134-2024 georefererad karta.tif", "A 54134-2024")</f>
        <v/>
      </c>
      <c r="AA151">
        <f>HYPERLINK("https://klasma.github.io/Logging_2080/klagomål/A 54134-2024 FSC-klagomål.docx", "A 54134-2024")</f>
        <v/>
      </c>
      <c r="AB151">
        <f>HYPERLINK("https://klasma.github.io/Logging_2080/klagomålsmail/A 54134-2024 FSC-klagomål mail.docx", "A 54134-2024")</f>
        <v/>
      </c>
      <c r="AC151">
        <f>HYPERLINK("https://klasma.github.io/Logging_2080/tillsyn/A 54134-2024 tillsynsbegäran.docx", "A 54134-2024")</f>
        <v/>
      </c>
      <c r="AD151">
        <f>HYPERLINK("https://klasma.github.io/Logging_2080/tillsynsmail/A 54134-2024 tillsynsbegäran mail.docx", "A 54134-2024")</f>
        <v/>
      </c>
    </row>
    <row r="152" ht="15" customHeight="1">
      <c r="A152" t="inlineStr">
        <is>
          <t>A 16084-2026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46107</v>
      </c>
      <c r="E152" s="1" t="n">
        <v>46314</v>
      </c>
      <c r="F152" t="inlineStr">
        <is>
          <t>DALARNAS LÄN</t>
        </is>
      </c>
      <c r="G152" t="inlineStr">
        <is>
          <t>FALUN</t>
        </is>
      </c>
      <c r="H152" t="inlineStr">
        <is>
          <t>Allmännings- och besparingsskogar</t>
        </is>
      </c>
      <c r="I152" t="n">
        <v>10.4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1</v>
      </c>
      <c r="U152" t="n">
        <v>0</v>
      </c>
      <c r="V152" s="2" t="inlineStr">
        <is>
          <t>Älg</t>
        </is>
      </c>
      <c r="W152">
        <f>HYPERLINK("https://klasma.github.io/Logging_2080/artfynd/A 16084-2026 artfynd.xlsx", "A 16084-2026")</f>
        <v/>
      </c>
      <c r="X152">
        <f>HYPERLINK("https://klasma.github.io/Logging_2080/kartor/A 16084-2026 karta.png", "A 16084-2026")</f>
        <v/>
      </c>
      <c r="Y152">
        <f>HYPERLINK("https://klasma.github.io/Logging_2080/kartor_geotiff/A 16084-2026 georefererad karta.tif", "A 16084-2026")</f>
        <v/>
      </c>
      <c r="AA152">
        <f>HYPERLINK("https://klasma.github.io/Logging_2080/klagomål/A 16084-2026 FSC-klagomål.docx", "A 16084-2026")</f>
        <v/>
      </c>
      <c r="AB152">
        <f>HYPERLINK("https://klasma.github.io/Logging_2080/klagomålsmail/A 16084-2026 FSC-klagomål mail.docx", "A 16084-2026")</f>
        <v/>
      </c>
      <c r="AC152">
        <f>HYPERLINK("https://klasma.github.io/Logging_2080/tillsyn/A 16084-2026 tillsynsbegäran.docx", "A 16084-2026")</f>
        <v/>
      </c>
      <c r="AD152">
        <f>HYPERLINK("https://klasma.github.io/Logging_2080/tillsynsmail/A 16084-2026 tillsynsbegäran mail.docx", "A 16084-2026")</f>
        <v/>
      </c>
    </row>
    <row r="153" ht="15" customHeight="1">
      <c r="A153" t="inlineStr">
        <is>
          <t>A 53454-2025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45959</v>
      </c>
      <c r="E153" s="1" t="n">
        <v>46314</v>
      </c>
      <c r="F153" t="inlineStr">
        <is>
          <t>DALARNAS LÄN</t>
        </is>
      </c>
      <c r="G153" t="inlineStr">
        <is>
          <t>FALUN</t>
        </is>
      </c>
      <c r="H153" t="inlineStr">
        <is>
          <t>Bergvik skog väst AB</t>
        </is>
      </c>
      <c r="I153" t="n">
        <v>10.7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0</v>
      </c>
      <c r="V153" s="2" t="inlineStr">
        <is>
          <t>Lunglav</t>
        </is>
      </c>
      <c r="W153">
        <f>HYPERLINK("https://klasma.github.io/Logging_2080/artfynd/A 53454-2025 artfynd.xlsx", "A 53454-2025")</f>
        <v/>
      </c>
      <c r="X153">
        <f>HYPERLINK("https://klasma.github.io/Logging_2080/kartor/A 53454-2025 karta.png", "A 53454-2025")</f>
        <v/>
      </c>
      <c r="Y153">
        <f>HYPERLINK("https://klasma.github.io/Logging_2080/kartor_geotiff/A 53454-2025 georefererad karta.tif", "A 53454-2025")</f>
        <v/>
      </c>
      <c r="AA153">
        <f>HYPERLINK("https://klasma.github.io/Logging_2080/klagomål/A 53454-2025 FSC-klagomål.docx", "A 53454-2025")</f>
        <v/>
      </c>
      <c r="AB153">
        <f>HYPERLINK("https://klasma.github.io/Logging_2080/klagomålsmail/A 53454-2025 FSC-klagomål mail.docx", "A 53454-2025")</f>
        <v/>
      </c>
      <c r="AC153">
        <f>HYPERLINK("https://klasma.github.io/Logging_2080/tillsyn/A 53454-2025 tillsynsbegäran.docx", "A 53454-2025")</f>
        <v/>
      </c>
      <c r="AD153">
        <f>HYPERLINK("https://klasma.github.io/Logging_2080/tillsynsmail/A 53454-2025 tillsynsbegäran mail.docx", "A 53454-2025")</f>
        <v/>
      </c>
    </row>
    <row r="154" ht="15" customHeight="1">
      <c r="A154" t="inlineStr">
        <is>
          <t>A 48693-2023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45208</v>
      </c>
      <c r="E154" s="1" t="n">
        <v>46314</v>
      </c>
      <c r="F154" t="inlineStr">
        <is>
          <t>DALARNAS LÄN</t>
        </is>
      </c>
      <c r="G154" t="inlineStr">
        <is>
          <t>FALUN</t>
        </is>
      </c>
      <c r="H154" t="inlineStr">
        <is>
          <t>Bergvik skog väst AB</t>
        </is>
      </c>
      <c r="I154" t="n">
        <v>4.1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s="2" t="inlineStr">
        <is>
          <t>Revlummer</t>
        </is>
      </c>
      <c r="W154">
        <f>HYPERLINK("https://klasma.github.io/Logging_2080/artfynd/A 48693-2023 artfynd.xlsx", "A 48693-2023")</f>
        <v/>
      </c>
      <c r="X154">
        <f>HYPERLINK("https://klasma.github.io/Logging_2080/kartor/A 48693-2023 karta.png", "A 48693-2023")</f>
        <v/>
      </c>
      <c r="Y154">
        <f>HYPERLINK("https://klasma.github.io/Logging_2080/kartor_geotiff/A 48693-2023 georefererad karta.tif", "A 48693-2023")</f>
        <v/>
      </c>
      <c r="AA154">
        <f>HYPERLINK("https://klasma.github.io/Logging_2080/klagomål/A 48693-2023 FSC-klagomål.docx", "A 48693-2023")</f>
        <v/>
      </c>
      <c r="AB154">
        <f>HYPERLINK("https://klasma.github.io/Logging_2080/klagomålsmail/A 48693-2023 FSC-klagomål mail.docx", "A 48693-2023")</f>
        <v/>
      </c>
      <c r="AC154">
        <f>HYPERLINK("https://klasma.github.io/Logging_2080/tillsyn/A 48693-2023 tillsynsbegäran.docx", "A 48693-2023")</f>
        <v/>
      </c>
      <c r="AD154">
        <f>HYPERLINK("https://klasma.github.io/Logging_2080/tillsynsmail/A 48693-2023 tillsynsbegäran mail.docx", "A 48693-2023")</f>
        <v/>
      </c>
    </row>
    <row r="155" ht="15" customHeight="1">
      <c r="A155" t="inlineStr">
        <is>
          <t>A 33676-2026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46248</v>
      </c>
      <c r="E155" s="1" t="n">
        <v>46314</v>
      </c>
      <c r="F155" t="inlineStr">
        <is>
          <t>DALARNAS LÄN</t>
        </is>
      </c>
      <c r="G155" t="inlineStr">
        <is>
          <t>FALUN</t>
        </is>
      </c>
      <c r="I155" t="n">
        <v>2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0</v>
      </c>
      <c r="V155" s="2" t="inlineStr">
        <is>
          <t>Tretåig hackspett</t>
        </is>
      </c>
      <c r="W155">
        <f>HYPERLINK("https://klasma.github.io/Logging_2080/artfynd/A 33676-2026 artfynd.xlsx", "A 33676-2026")</f>
        <v/>
      </c>
      <c r="X155">
        <f>HYPERLINK("https://klasma.github.io/Logging_2080/kartor/A 33676-2026 karta.png", "A 33676-2026")</f>
        <v/>
      </c>
      <c r="Y155">
        <f>HYPERLINK("https://klasma.github.io/Logging_2080/kartor_geotiff/A 33676-2026 georefererad karta.tif", "A 33676-2026")</f>
        <v/>
      </c>
      <c r="AA155">
        <f>HYPERLINK("https://klasma.github.io/Logging_2080/klagomål/A 33676-2026 FSC-klagomål.docx", "A 33676-2026")</f>
        <v/>
      </c>
      <c r="AB155">
        <f>HYPERLINK("https://klasma.github.io/Logging_2080/klagomålsmail/A 33676-2026 FSC-klagomål mail.docx", "A 33676-2026")</f>
        <v/>
      </c>
      <c r="AC155">
        <f>HYPERLINK("https://klasma.github.io/Logging_2080/tillsyn/A 33676-2026 tillsynsbegäran.docx", "A 33676-2026")</f>
        <v/>
      </c>
      <c r="AD155">
        <f>HYPERLINK("https://klasma.github.io/Logging_2080/tillsynsmail/A 33676-2026 tillsynsbegäran mail.docx", "A 33676-2026")</f>
        <v/>
      </c>
      <c r="AE155">
        <f>HYPERLINK("https://klasma.github.io/Logging_2080/fåglar/A 33676-2026 prioriterade fågelarter.docx", "A 33676-2026")</f>
        <v/>
      </c>
    </row>
    <row r="156" ht="15" customHeight="1">
      <c r="A156" t="inlineStr">
        <is>
          <t>A 1010-2023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44935</v>
      </c>
      <c r="E156" s="1" t="n">
        <v>46314</v>
      </c>
      <c r="F156" t="inlineStr">
        <is>
          <t>DALARNAS LÄN</t>
        </is>
      </c>
      <c r="G156" t="inlineStr">
        <is>
          <t>FALUN</t>
        </is>
      </c>
      <c r="I156" t="n">
        <v>0.5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1</v>
      </c>
      <c r="V156" s="2" t="inlineStr">
        <is>
          <t>Blå taggsvamp</t>
        </is>
      </c>
      <c r="W156">
        <f>HYPERLINK("https://klasma.github.io/Logging_2080/artfynd/A 1010-2023 artfynd.xlsx", "A 1010-2023")</f>
        <v/>
      </c>
      <c r="X156">
        <f>HYPERLINK("https://klasma.github.io/Logging_2080/kartor/A 1010-2023 karta.png", "A 1010-2023")</f>
        <v/>
      </c>
      <c r="Y156">
        <f>HYPERLINK("https://klasma.github.io/Logging_2080/kartor_geotiff/A 1010-2023 georefererad karta.tif", "A 1010-2023")</f>
        <v/>
      </c>
      <c r="AA156">
        <f>HYPERLINK("https://klasma.github.io/Logging_2080/klagomål/A 1010-2023 FSC-klagomål.docx", "A 1010-2023")</f>
        <v/>
      </c>
      <c r="AB156">
        <f>HYPERLINK("https://klasma.github.io/Logging_2080/klagomålsmail/A 1010-2023 FSC-klagomål mail.docx", "A 1010-2023")</f>
        <v/>
      </c>
      <c r="AC156">
        <f>HYPERLINK("https://klasma.github.io/Logging_2080/tillsyn/A 1010-2023 tillsynsbegäran.docx", "A 1010-2023")</f>
        <v/>
      </c>
      <c r="AD156">
        <f>HYPERLINK("https://klasma.github.io/Logging_2080/tillsynsmail/A 1010-2023 tillsynsbegäran mail.docx", "A 1010-2023")</f>
        <v/>
      </c>
    </row>
    <row r="157" ht="15" customHeight="1">
      <c r="A157" t="inlineStr">
        <is>
          <t>A 6936-2024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45343</v>
      </c>
      <c r="E157" s="1" t="n">
        <v>46314</v>
      </c>
      <c r="F157" t="inlineStr">
        <is>
          <t>DALARNAS LÄN</t>
        </is>
      </c>
      <c r="G157" t="inlineStr">
        <is>
          <t>FALUN</t>
        </is>
      </c>
      <c r="I157" t="n">
        <v>2.1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1</v>
      </c>
      <c r="U157" t="n">
        <v>1</v>
      </c>
      <c r="V157" s="2" t="inlineStr">
        <is>
          <t>Talltita</t>
        </is>
      </c>
      <c r="W157">
        <f>HYPERLINK("https://klasma.github.io/Logging_2080/artfynd/A 6936-2024 artfynd.xlsx", "A 6936-2024")</f>
        <v/>
      </c>
      <c r="X157">
        <f>HYPERLINK("https://klasma.github.io/Logging_2080/kartor/A 6936-2024 karta.png", "A 6936-2024")</f>
        <v/>
      </c>
      <c r="Y157">
        <f>HYPERLINK("https://klasma.github.io/Logging_2080/kartor_geotiff/A 6936-2024 georefererad karta.tif", "A 6936-2024")</f>
        <v/>
      </c>
      <c r="AA157">
        <f>HYPERLINK("https://klasma.github.io/Logging_2080/klagomål/A 6936-2024 FSC-klagomål.docx", "A 6936-2024")</f>
        <v/>
      </c>
      <c r="AB157">
        <f>HYPERLINK("https://klasma.github.io/Logging_2080/klagomålsmail/A 6936-2024 FSC-klagomål mail.docx", "A 6936-2024")</f>
        <v/>
      </c>
      <c r="AC157">
        <f>HYPERLINK("https://klasma.github.io/Logging_2080/tillsyn/A 6936-2024 tillsynsbegäran.docx", "A 6936-2024")</f>
        <v/>
      </c>
      <c r="AD157">
        <f>HYPERLINK("https://klasma.github.io/Logging_2080/tillsynsmail/A 6936-2024 tillsynsbegäran mail.docx", "A 6936-2024")</f>
        <v/>
      </c>
      <c r="AE157">
        <f>HYPERLINK("https://klasma.github.io/Logging_2080/fåglar/A 6936-2024 prioriterade fågelarter.docx", "A 6936-2024")</f>
        <v/>
      </c>
    </row>
    <row r="158" ht="15" customHeight="1">
      <c r="A158" t="inlineStr">
        <is>
          <t>A 35218-2026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46260</v>
      </c>
      <c r="E158" s="1" t="n">
        <v>46314</v>
      </c>
      <c r="F158" t="inlineStr">
        <is>
          <t>DALARNAS LÄN</t>
        </is>
      </c>
      <c r="G158" t="inlineStr">
        <is>
          <t>FALUN</t>
        </is>
      </c>
      <c r="H158" t="inlineStr">
        <is>
          <t>Sveaskog</t>
        </is>
      </c>
      <c r="I158" t="n">
        <v>4.5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  <c r="V158" s="2" t="inlineStr">
        <is>
          <t>Fläcknycklar</t>
        </is>
      </c>
      <c r="W158">
        <f>HYPERLINK("https://klasma.github.io/Logging_2080/artfynd/A 35218-2026 artfynd.xlsx", "A 35218-2026")</f>
        <v/>
      </c>
      <c r="X158">
        <f>HYPERLINK("https://klasma.github.io/Logging_2080/kartor/A 35218-2026 karta.png", "A 35218-2026")</f>
        <v/>
      </c>
      <c r="Y158">
        <f>HYPERLINK("https://klasma.github.io/Logging_2080/kartor_geotiff/A 35218-2026 georefererad karta.tif", "A 35218-2026")</f>
        <v/>
      </c>
      <c r="AA158">
        <f>HYPERLINK("https://klasma.github.io/Logging_2080/klagomål/A 35218-2026 FSC-klagomål.docx", "A 35218-2026")</f>
        <v/>
      </c>
      <c r="AB158">
        <f>HYPERLINK("https://klasma.github.io/Logging_2080/klagomålsmail/A 35218-2026 FSC-klagomål mail.docx", "A 35218-2026")</f>
        <v/>
      </c>
      <c r="AC158">
        <f>HYPERLINK("https://klasma.github.io/Logging_2080/tillsyn/A 35218-2026 tillsynsbegäran.docx", "A 35218-2026")</f>
        <v/>
      </c>
      <c r="AD158">
        <f>HYPERLINK("https://klasma.github.io/Logging_2080/tillsynsmail/A 35218-2026 tillsynsbegäran mail.docx", "A 35218-2026")</f>
        <v/>
      </c>
    </row>
    <row r="159" ht="15" customHeight="1">
      <c r="A159" t="inlineStr">
        <is>
          <t>A 41953-2026</t>
        </is>
      </c>
      <c r="B159" t="inlineStr">
        <is>
          <t>avverkningsanmälan</t>
        </is>
      </c>
      <c r="C159" t="inlineStr">
        <is>
          <t>Avverkning för att bevara och utveckla /försöksver</t>
        </is>
      </c>
      <c r="D159" s="1" t="n">
        <v>46303</v>
      </c>
      <c r="E159" s="1" t="n">
        <v>46314</v>
      </c>
      <c r="F159" t="inlineStr">
        <is>
          <t>DALARNAS LÄN</t>
        </is>
      </c>
      <c r="G159" t="inlineStr">
        <is>
          <t>FALUN</t>
        </is>
      </c>
      <c r="I159" t="n">
        <v>1.8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s="2" t="inlineStr">
        <is>
          <t>Svart trolldruva</t>
        </is>
      </c>
      <c r="W159">
        <f>HYPERLINK("https://klasma.github.io/Logging_2080/artfynd/A 41953-2026 artfynd.xlsx", "A 41953-2026")</f>
        <v/>
      </c>
      <c r="X159">
        <f>HYPERLINK("https://klasma.github.io/Logging_2080/kartor/A 41953-2026 karta.png", "A 41953-2026")</f>
        <v/>
      </c>
      <c r="Y159">
        <f>HYPERLINK("https://klasma.github.io/Logging_2080/kartor_geotiff/A 41953-2026 georefererad karta.tif", "A 41953-2026")</f>
        <v/>
      </c>
      <c r="AA159">
        <f>HYPERLINK("https://klasma.github.io/Logging_2080/klagomål/A 41953-2026 FSC-klagomål.docx", "A 41953-2026")</f>
        <v/>
      </c>
      <c r="AB159">
        <f>HYPERLINK("https://klasma.github.io/Logging_2080/klagomålsmail/A 41953-2026 FSC-klagomål mail.docx", "A 41953-2026")</f>
        <v/>
      </c>
      <c r="AC159">
        <f>HYPERLINK("https://klasma.github.io/Logging_2080/tillsyn/A 41953-2026 tillsynsbegäran.docx", "A 41953-2026")</f>
        <v/>
      </c>
      <c r="AD159">
        <f>HYPERLINK("https://klasma.github.io/Logging_2080/tillsynsmail/A 41953-2026 tillsynsbegäran mail.docx", "A 41953-2026")</f>
        <v/>
      </c>
    </row>
    <row r="160" ht="15" customHeight="1">
      <c r="A160" t="inlineStr">
        <is>
          <t>A 35000-2026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46259</v>
      </c>
      <c r="E160" s="1" t="n">
        <v>46314</v>
      </c>
      <c r="F160" t="inlineStr">
        <is>
          <t>DALARNAS LÄN</t>
        </is>
      </c>
      <c r="G160" t="inlineStr">
        <is>
          <t>FALUN</t>
        </is>
      </c>
      <c r="H160" t="inlineStr">
        <is>
          <t>Sveaskog</t>
        </is>
      </c>
      <c r="I160" t="n">
        <v>18.4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1</v>
      </c>
      <c r="U160" t="n">
        <v>0</v>
      </c>
      <c r="V160" s="2" t="inlineStr">
        <is>
          <t>Mattlummer</t>
        </is>
      </c>
      <c r="W160">
        <f>HYPERLINK("https://klasma.github.io/Logging_2080/artfynd/A 35000-2026 artfynd.xlsx", "A 35000-2026")</f>
        <v/>
      </c>
      <c r="X160">
        <f>HYPERLINK("https://klasma.github.io/Logging_2080/kartor/A 35000-2026 karta.png", "A 35000-2026")</f>
        <v/>
      </c>
      <c r="Y160">
        <f>HYPERLINK("https://klasma.github.io/Logging_2080/kartor_geotiff/A 35000-2026 georefererad karta.tif", "A 35000-2026")</f>
        <v/>
      </c>
      <c r="AA160">
        <f>HYPERLINK("https://klasma.github.io/Logging_2080/klagomål/A 35000-2026 FSC-klagomål.docx", "A 35000-2026")</f>
        <v/>
      </c>
      <c r="AB160">
        <f>HYPERLINK("https://klasma.github.io/Logging_2080/klagomålsmail/A 35000-2026 FSC-klagomål mail.docx", "A 35000-2026")</f>
        <v/>
      </c>
      <c r="AC160">
        <f>HYPERLINK("https://klasma.github.io/Logging_2080/tillsyn/A 35000-2026 tillsynsbegäran.docx", "A 35000-2026")</f>
        <v/>
      </c>
      <c r="AD160">
        <f>HYPERLINK("https://klasma.github.io/Logging_2080/tillsynsmail/A 35000-2026 tillsynsbegäran mail.docx", "A 35000-2026")</f>
        <v/>
      </c>
    </row>
    <row r="161" ht="15" customHeight="1">
      <c r="A161" t="inlineStr">
        <is>
          <t>A 26776-2025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45810</v>
      </c>
      <c r="E161" s="1" t="n">
        <v>46314</v>
      </c>
      <c r="F161" t="inlineStr">
        <is>
          <t>DALARNAS LÄN</t>
        </is>
      </c>
      <c r="G161" t="inlineStr">
        <is>
          <t>FALUN</t>
        </is>
      </c>
      <c r="H161" t="inlineStr">
        <is>
          <t>Bergvik skog väst AB</t>
        </is>
      </c>
      <c r="I161" t="n">
        <v>10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s="2" t="inlineStr">
        <is>
          <t>Skör kvastmossa</t>
        </is>
      </c>
      <c r="W161">
        <f>HYPERLINK("https://klasma.github.io/Logging_2080/artfynd/A 26776-2025 artfynd.xlsx", "A 26776-2025")</f>
        <v/>
      </c>
      <c r="X161">
        <f>HYPERLINK("https://klasma.github.io/Logging_2080/kartor/A 26776-2025 karta.png", "A 26776-2025")</f>
        <v/>
      </c>
      <c r="Y161">
        <f>HYPERLINK("https://klasma.github.io/Logging_2080/kartor_geotiff/A 26776-2025 georefererad karta.tif", "A 26776-2025")</f>
        <v/>
      </c>
      <c r="AA161">
        <f>HYPERLINK("https://klasma.github.io/Logging_2080/klagomål/A 26776-2025 FSC-klagomål.docx", "A 26776-2025")</f>
        <v/>
      </c>
      <c r="AB161">
        <f>HYPERLINK("https://klasma.github.io/Logging_2080/klagomålsmail/A 26776-2025 FSC-klagomål mail.docx", "A 26776-2025")</f>
        <v/>
      </c>
      <c r="AC161">
        <f>HYPERLINK("https://klasma.github.io/Logging_2080/tillsyn/A 26776-2025 tillsynsbegäran.docx", "A 26776-2025")</f>
        <v/>
      </c>
      <c r="AD161">
        <f>HYPERLINK("https://klasma.github.io/Logging_2080/tillsynsmail/A 26776-2025 tillsynsbegäran mail.docx", "A 26776-2025")</f>
        <v/>
      </c>
    </row>
    <row r="162" ht="15" customHeight="1">
      <c r="A162" t="inlineStr">
        <is>
          <t>A 13830-2026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46098</v>
      </c>
      <c r="E162" s="1" t="n">
        <v>46314</v>
      </c>
      <c r="F162" t="inlineStr">
        <is>
          <t>DALARNAS LÄN</t>
        </is>
      </c>
      <c r="G162" t="inlineStr">
        <is>
          <t>FALUN</t>
        </is>
      </c>
      <c r="H162" t="inlineStr">
        <is>
          <t>Bergvik skog väst AB</t>
        </is>
      </c>
      <c r="I162" t="n">
        <v>40.2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1</v>
      </c>
      <c r="U162" t="n">
        <v>0</v>
      </c>
      <c r="V162" s="2" t="inlineStr">
        <is>
          <t>Talltita</t>
        </is>
      </c>
      <c r="W162">
        <f>HYPERLINK("https://klasma.github.io/Logging_2080/artfynd/A 13830-2026 artfynd.xlsx", "A 13830-2026")</f>
        <v/>
      </c>
      <c r="X162">
        <f>HYPERLINK("https://klasma.github.io/Logging_2080/kartor/A 13830-2026 karta.png", "A 13830-2026")</f>
        <v/>
      </c>
      <c r="Y162">
        <f>HYPERLINK("https://klasma.github.io/Logging_2080/kartor_geotiff/A 13830-2026 georefererad karta.tif", "A 13830-2026")</f>
        <v/>
      </c>
      <c r="AA162">
        <f>HYPERLINK("https://klasma.github.io/Logging_2080/klagomål/A 13830-2026 FSC-klagomål.docx", "A 13830-2026")</f>
        <v/>
      </c>
      <c r="AB162">
        <f>HYPERLINK("https://klasma.github.io/Logging_2080/klagomålsmail/A 13830-2026 FSC-klagomål mail.docx", "A 13830-2026")</f>
        <v/>
      </c>
      <c r="AC162">
        <f>HYPERLINK("https://klasma.github.io/Logging_2080/tillsyn/A 13830-2026 tillsynsbegäran.docx", "A 13830-2026")</f>
        <v/>
      </c>
      <c r="AD162">
        <f>HYPERLINK("https://klasma.github.io/Logging_2080/tillsynsmail/A 13830-2026 tillsynsbegäran mail.docx", "A 13830-2026")</f>
        <v/>
      </c>
      <c r="AE162">
        <f>HYPERLINK("https://klasma.github.io/Logging_2080/fåglar/A 13830-2026 prioriterade fågelarter.docx", "A 13830-2026")</f>
        <v/>
      </c>
    </row>
    <row r="163" ht="15" customHeight="1">
      <c r="A163" t="inlineStr">
        <is>
          <t>A 28679-2025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45819</v>
      </c>
      <c r="E163" s="1" t="n">
        <v>46314</v>
      </c>
      <c r="F163" t="inlineStr">
        <is>
          <t>DALARNAS LÄN</t>
        </is>
      </c>
      <c r="G163" t="inlineStr">
        <is>
          <t>FALUN</t>
        </is>
      </c>
      <c r="H163" t="inlineStr">
        <is>
          <t>Allmännings- och besparingsskogar</t>
        </is>
      </c>
      <c r="I163" t="n">
        <v>11.3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s="2" t="inlineStr">
        <is>
          <t>Garnlav</t>
        </is>
      </c>
      <c r="W163">
        <f>HYPERLINK("https://klasma.github.io/Logging_2080/artfynd/A 28679-2025 artfynd.xlsx", "A 28679-2025")</f>
        <v/>
      </c>
      <c r="X163">
        <f>HYPERLINK("https://klasma.github.io/Logging_2080/kartor/A 28679-2025 karta.png", "A 28679-2025")</f>
        <v/>
      </c>
      <c r="Y163">
        <f>HYPERLINK("https://klasma.github.io/Logging_2080/kartor_geotiff/A 28679-2025 georefererad karta.tif", "A 28679-2025")</f>
        <v/>
      </c>
      <c r="AA163">
        <f>HYPERLINK("https://klasma.github.io/Logging_2080/klagomål/A 28679-2025 FSC-klagomål.docx", "A 28679-2025")</f>
        <v/>
      </c>
      <c r="AB163">
        <f>HYPERLINK("https://klasma.github.io/Logging_2080/klagomålsmail/A 28679-2025 FSC-klagomål mail.docx", "A 28679-2025")</f>
        <v/>
      </c>
      <c r="AC163">
        <f>HYPERLINK("https://klasma.github.io/Logging_2080/tillsyn/A 28679-2025 tillsynsbegäran.docx", "A 28679-2025")</f>
        <v/>
      </c>
      <c r="AD163">
        <f>HYPERLINK("https://klasma.github.io/Logging_2080/tillsynsmail/A 28679-2025 tillsynsbegäran mail.docx", "A 28679-2025")</f>
        <v/>
      </c>
    </row>
    <row r="164" ht="15" customHeight="1">
      <c r="A164" t="inlineStr">
        <is>
          <t>A 36199-2025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45867</v>
      </c>
      <c r="E164" s="1" t="n">
        <v>46314</v>
      </c>
      <c r="F164" t="inlineStr">
        <is>
          <t>DALARNAS LÄN</t>
        </is>
      </c>
      <c r="G164" t="inlineStr">
        <is>
          <t>FALUN</t>
        </is>
      </c>
      <c r="H164" t="inlineStr">
        <is>
          <t>Bergvik skog väst AB</t>
        </is>
      </c>
      <c r="I164" t="n">
        <v>3.7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1</v>
      </c>
      <c r="V164" s="2" t="inlineStr">
        <is>
          <t>Rynkskinn</t>
        </is>
      </c>
      <c r="W164">
        <f>HYPERLINK("https://klasma.github.io/Logging_2080/artfynd/A 36199-2025 artfynd.xlsx", "A 36199-2025")</f>
        <v/>
      </c>
      <c r="X164">
        <f>HYPERLINK("https://klasma.github.io/Logging_2080/kartor/A 36199-2025 karta.png", "A 36199-2025")</f>
        <v/>
      </c>
      <c r="Y164">
        <f>HYPERLINK("https://klasma.github.io/Logging_2080/kartor_geotiff/A 36199-2025 georefererad karta.tif", "A 36199-2025")</f>
        <v/>
      </c>
      <c r="AA164">
        <f>HYPERLINK("https://klasma.github.io/Logging_2080/klagomål/A 36199-2025 FSC-klagomål.docx", "A 36199-2025")</f>
        <v/>
      </c>
      <c r="AB164">
        <f>HYPERLINK("https://klasma.github.io/Logging_2080/klagomålsmail/A 36199-2025 FSC-klagomål mail.docx", "A 36199-2025")</f>
        <v/>
      </c>
      <c r="AC164">
        <f>HYPERLINK("https://klasma.github.io/Logging_2080/tillsyn/A 36199-2025 tillsynsbegäran.docx", "A 36199-2025")</f>
        <v/>
      </c>
      <c r="AD164">
        <f>HYPERLINK("https://klasma.github.io/Logging_2080/tillsynsmail/A 36199-2025 tillsynsbegäran mail.docx", "A 36199-2025")</f>
        <v/>
      </c>
    </row>
    <row r="165" ht="15" customHeight="1">
      <c r="A165" t="inlineStr">
        <is>
          <t>A 61661-2024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45646</v>
      </c>
      <c r="E165" s="1" t="n">
        <v>46314</v>
      </c>
      <c r="F165" t="inlineStr">
        <is>
          <t>DALARNAS LÄN</t>
        </is>
      </c>
      <c r="G165" t="inlineStr">
        <is>
          <t>FALUN</t>
        </is>
      </c>
      <c r="I165" t="n">
        <v>9.300000000000001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0</v>
      </c>
      <c r="V165" s="2" t="inlineStr">
        <is>
          <t>Dropptaggsvamp</t>
        </is>
      </c>
      <c r="W165">
        <f>HYPERLINK("https://klasma.github.io/Logging_2080/artfynd/A 61661-2024 artfynd.xlsx", "A 61661-2024")</f>
        <v/>
      </c>
      <c r="X165">
        <f>HYPERLINK("https://klasma.github.io/Logging_2080/kartor/A 61661-2024 karta.png", "A 61661-2024")</f>
        <v/>
      </c>
      <c r="Y165">
        <f>HYPERLINK("https://klasma.github.io/Logging_2080/kartor_geotiff/A 61661-2024 georefererad karta.tif", "A 61661-2024")</f>
        <v/>
      </c>
      <c r="AA165">
        <f>HYPERLINK("https://klasma.github.io/Logging_2080/klagomål/A 61661-2024 FSC-klagomål.docx", "A 61661-2024")</f>
        <v/>
      </c>
      <c r="AB165">
        <f>HYPERLINK("https://klasma.github.io/Logging_2080/klagomålsmail/A 61661-2024 FSC-klagomål mail.docx", "A 61661-2024")</f>
        <v/>
      </c>
      <c r="AC165">
        <f>HYPERLINK("https://klasma.github.io/Logging_2080/tillsyn/A 61661-2024 tillsynsbegäran.docx", "A 61661-2024")</f>
        <v/>
      </c>
      <c r="AD165">
        <f>HYPERLINK("https://klasma.github.io/Logging_2080/tillsynsmail/A 61661-2024 tillsynsbegäran mail.docx", "A 61661-2024")</f>
        <v/>
      </c>
    </row>
    <row r="166" ht="15" customHeight="1">
      <c r="A166" t="inlineStr">
        <is>
          <t>S 1023-2023</t>
        </is>
      </c>
      <c r="B166" t="inlineStr">
        <is>
          <t>samrådsanmälan</t>
        </is>
      </c>
      <c r="C166" t="inlineStr">
        <is>
          <t>Skogsgödsling</t>
        </is>
      </c>
      <c r="D166" s="1" t="n">
        <v>45008</v>
      </c>
      <c r="E166" s="1" t="n">
        <v>46314</v>
      </c>
      <c r="F166" t="inlineStr">
        <is>
          <t>DALARNAS LÄN</t>
        </is>
      </c>
      <c r="G166" t="inlineStr">
        <is>
          <t>FALUN</t>
        </is>
      </c>
      <c r="H166" t="inlineStr">
        <is>
          <t>Bergvik skog väst AB</t>
        </is>
      </c>
      <c r="I166" t="n">
        <v>282.5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0</v>
      </c>
      <c r="V166" s="2" t="inlineStr">
        <is>
          <t>Motaggsvamp</t>
        </is>
      </c>
      <c r="W166">
        <f>HYPERLINK("https://klasma.github.io/Logging_2080/artfynd/S 1023-2023 artfynd.xlsx", "S 1023-2023")</f>
        <v/>
      </c>
      <c r="X166">
        <f>HYPERLINK("https://klasma.github.io/Logging_2080/kartor/S 1023-2023 karta.png", "S 1023-2023")</f>
        <v/>
      </c>
      <c r="Y166">
        <f>HYPERLINK("https://klasma.github.io/Logging_2080/kartor_geotiff/S 1023-2023 georefererad karta.tif", "S 1023-2023")</f>
        <v/>
      </c>
      <c r="AA166">
        <f>HYPERLINK("https://klasma.github.io/Logging_2080/klagomål/S 1023-2023 FSC-klagomål.docx", "S 1023-2023")</f>
        <v/>
      </c>
      <c r="AB166">
        <f>HYPERLINK("https://klasma.github.io/Logging_2080/klagomålsmail/S 1023-2023 FSC-klagomål mail.docx", "S 1023-2023")</f>
        <v/>
      </c>
      <c r="AC166">
        <f>HYPERLINK("https://klasma.github.io/Logging_2080/tillsyn/S 1023-2023 tillsynsbegäran.docx", "S 1023-2023")</f>
        <v/>
      </c>
      <c r="AD166">
        <f>HYPERLINK("https://klasma.github.io/Logging_2080/tillsynsmail/S 1023-2023 tillsynsbegäran mail.docx", "S 1023-2023")</f>
        <v/>
      </c>
    </row>
    <row r="167" ht="15" customHeight="1">
      <c r="A167" t="inlineStr">
        <is>
          <t>S 809-2026</t>
        </is>
      </c>
      <c r="B167" t="inlineStr">
        <is>
          <t>samrådsanmälan</t>
        </is>
      </c>
      <c r="C167" t="inlineStr">
        <is>
          <t>Annan skogsbruksåtgärd</t>
        </is>
      </c>
      <c r="D167" s="1" t="n">
        <v>46100</v>
      </c>
      <c r="E167" s="1" t="n">
        <v>46314</v>
      </c>
      <c r="F167" t="inlineStr">
        <is>
          <t>DALARNAS LÄN</t>
        </is>
      </c>
      <c r="G167" t="inlineStr">
        <is>
          <t>FALUN</t>
        </is>
      </c>
      <c r="H167" t="inlineStr">
        <is>
          <t>Allmännings- och besparingsskogar</t>
        </is>
      </c>
      <c r="I167" t="n">
        <v>13.1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1</v>
      </c>
      <c r="T167" t="n">
        <v>5</v>
      </c>
      <c r="U167" t="n">
        <v>0</v>
      </c>
      <c r="V167" s="2" t="inlineStr">
        <is>
          <t>Garnlav</t>
        </is>
      </c>
      <c r="W167">
        <f>HYPERLINK("https://klasma.github.io/Logging_2080/artfynd/S 809-2026 artfynd.xlsx", "S 809-2026")</f>
        <v/>
      </c>
      <c r="X167">
        <f>HYPERLINK("https://klasma.github.io/Logging_2080/kartor/S 809-2026 karta.png", "S 809-2026")</f>
        <v/>
      </c>
      <c r="Y167">
        <f>HYPERLINK("https://klasma.github.io/Logging_2080/kartor_geotiff/S 809-2026 georefererad karta.tif", "S 809-2026")</f>
        <v/>
      </c>
      <c r="AA167">
        <f>HYPERLINK("https://klasma.github.io/Logging_2080/klagomål/S 809-2026 FSC-klagomål.docx", "S 809-2026")</f>
        <v/>
      </c>
      <c r="AB167">
        <f>HYPERLINK("https://klasma.github.io/Logging_2080/klagomålsmail/S 809-2026 FSC-klagomål mail.docx", "S 809-2026")</f>
        <v/>
      </c>
      <c r="AC167">
        <f>HYPERLINK("https://klasma.github.io/Logging_2080/tillsyn/S 809-2026 tillsynsbegäran.docx", "S 809-2026")</f>
        <v/>
      </c>
      <c r="AD167">
        <f>HYPERLINK("https://klasma.github.io/Logging_2080/tillsynsmail/S 809-2026 tillsynsbegäran mail.docx", "S 809-2026")</f>
        <v/>
      </c>
    </row>
    <row r="168" ht="15" customHeight="1">
      <c r="A168" t="inlineStr">
        <is>
          <t>S 2267-2026</t>
        </is>
      </c>
      <c r="B168" t="inlineStr">
        <is>
          <t>samrådsanmälan</t>
        </is>
      </c>
      <c r="C168" t="inlineStr">
        <is>
          <t>Askåterföring</t>
        </is>
      </c>
      <c r="D168" s="1" t="n">
        <v>46262</v>
      </c>
      <c r="E168" s="1" t="n">
        <v>46314</v>
      </c>
      <c r="F168" t="inlineStr">
        <is>
          <t>DALARNAS LÄN</t>
        </is>
      </c>
      <c r="G168" t="inlineStr">
        <is>
          <t>FALUN</t>
        </is>
      </c>
      <c r="I168" t="n">
        <v>47.6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s="2" t="inlineStr">
        <is>
          <t>Fläcknycklar</t>
        </is>
      </c>
      <c r="W168">
        <f>HYPERLINK("https://klasma.github.io/Logging_2080/artfynd/S 2267-2026 artfynd.xlsx", "S 2267-2026")</f>
        <v/>
      </c>
      <c r="X168">
        <f>HYPERLINK("https://klasma.github.io/Logging_2080/kartor/S 2267-2026 karta.png", "S 2267-2026")</f>
        <v/>
      </c>
      <c r="Y168">
        <f>HYPERLINK("https://klasma.github.io/Logging_2080/kartor_geotiff/S 2267-2026 georefererad karta.tif", "S 2267-2026")</f>
        <v/>
      </c>
      <c r="AA168">
        <f>HYPERLINK("https://klasma.github.io/Logging_2080/klagomål/S 2267-2026 FSC-klagomål.docx", "S 2267-2026")</f>
        <v/>
      </c>
      <c r="AB168">
        <f>HYPERLINK("https://klasma.github.io/Logging_2080/klagomålsmail/S 2267-2026 FSC-klagomål mail.docx", "S 2267-2026")</f>
        <v/>
      </c>
      <c r="AC168">
        <f>HYPERLINK("https://klasma.github.io/Logging_2080/tillsyn/S 2267-2026 tillsynsbegäran.docx", "S 2267-2026")</f>
        <v/>
      </c>
      <c r="AD168">
        <f>HYPERLINK("https://klasma.github.io/Logging_2080/tillsynsmail/S 2267-2026 tillsynsbegäran mail.docx", "S 2267-2026")</f>
        <v/>
      </c>
    </row>
    <row r="169" ht="15" customHeight="1">
      <c r="A169" t="inlineStr">
        <is>
          <t>A 64224-2021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44510</v>
      </c>
      <c r="E169" s="1" t="n">
        <v>46314</v>
      </c>
      <c r="F169" t="inlineStr">
        <is>
          <t>DALARNAS LÄN</t>
        </is>
      </c>
      <c r="G169" t="inlineStr">
        <is>
          <t>FALUN</t>
        </is>
      </c>
      <c r="I169" t="n">
        <v>1.5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11593-2022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44631</v>
      </c>
      <c r="E170" s="1" t="n">
        <v>46314</v>
      </c>
      <c r="F170" t="inlineStr">
        <is>
          <t>DALARNAS LÄN</t>
        </is>
      </c>
      <c r="G170" t="inlineStr">
        <is>
          <t>FALUN</t>
        </is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70456-2021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44536</v>
      </c>
      <c r="E171" s="1" t="n">
        <v>46314</v>
      </c>
      <c r="F171" t="inlineStr">
        <is>
          <t>DALARNAS LÄN</t>
        </is>
      </c>
      <c r="G171" t="inlineStr">
        <is>
          <t>FALUN</t>
        </is>
      </c>
      <c r="I171" t="n">
        <v>3.3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3965-2022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44587</v>
      </c>
      <c r="E172" s="1" t="n">
        <v>46314</v>
      </c>
      <c r="F172" t="inlineStr">
        <is>
          <t>DALARNAS LÄN</t>
        </is>
      </c>
      <c r="G172" t="inlineStr">
        <is>
          <t>FALUN</t>
        </is>
      </c>
      <c r="I172" t="n">
        <v>0.5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15936-2022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44664</v>
      </c>
      <c r="E173" s="1" t="n">
        <v>46314</v>
      </c>
      <c r="F173" t="inlineStr">
        <is>
          <t>DALARNAS LÄN</t>
        </is>
      </c>
      <c r="G173" t="inlineStr">
        <is>
          <t>FALUN</t>
        </is>
      </c>
      <c r="H173" t="inlineStr">
        <is>
          <t>Bergvik skog väst AB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13536-2022</t>
        </is>
      </c>
      <c r="B174" t="inlineStr">
        <is>
          <t>avverkningsanmälan</t>
        </is>
      </c>
      <c r="C174" t="inlineStr">
        <is>
          <t>Avverkning för annat ändamål</t>
        </is>
      </c>
      <c r="D174" s="1" t="n">
        <v>44648</v>
      </c>
      <c r="E174" s="1" t="n">
        <v>46314</v>
      </c>
      <c r="F174" t="inlineStr">
        <is>
          <t>DALARNAS LÄN</t>
        </is>
      </c>
      <c r="G174" t="inlineStr">
        <is>
          <t>FALUN</t>
        </is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13538-2022</t>
        </is>
      </c>
      <c r="B175" t="inlineStr">
        <is>
          <t>avverkningsanmälan</t>
        </is>
      </c>
      <c r="C175" t="inlineStr">
        <is>
          <t>Avverkning för annat ändamål</t>
        </is>
      </c>
      <c r="D175" s="1" t="n">
        <v>44648</v>
      </c>
      <c r="E175" s="1" t="n">
        <v>46314</v>
      </c>
      <c r="F175" t="inlineStr">
        <is>
          <t>DALARNAS LÄN</t>
        </is>
      </c>
      <c r="G175" t="inlineStr">
        <is>
          <t>FALUN</t>
        </is>
      </c>
      <c r="I175" t="n">
        <v>0.3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27501-2022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44742</v>
      </c>
      <c r="E176" s="1" t="n">
        <v>46314</v>
      </c>
      <c r="F176" t="inlineStr">
        <is>
          <t>DALARNAS LÄN</t>
        </is>
      </c>
      <c r="G176" t="inlineStr">
        <is>
          <t>FALUN</t>
        </is>
      </c>
      <c r="H176" t="inlineStr">
        <is>
          <t>Kyrkan</t>
        </is>
      </c>
      <c r="I176" t="n">
        <v>1.5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31623-2022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44775</v>
      </c>
      <c r="E177" s="1" t="n">
        <v>46314</v>
      </c>
      <c r="F177" t="inlineStr">
        <is>
          <t>DALARNAS LÄN</t>
        </is>
      </c>
      <c r="G177" t="inlineStr">
        <is>
          <t>FALUN</t>
        </is>
      </c>
      <c r="I177" t="n">
        <v>1.7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29878-2022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44755</v>
      </c>
      <c r="E178" s="1" t="n">
        <v>46314</v>
      </c>
      <c r="F178" t="inlineStr">
        <is>
          <t>DALARNAS LÄN</t>
        </is>
      </c>
      <c r="G178" t="inlineStr">
        <is>
          <t>FALUN</t>
        </is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41436-2022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44826</v>
      </c>
      <c r="E179" s="1" t="n">
        <v>46314</v>
      </c>
      <c r="F179" t="inlineStr">
        <is>
          <t>DALARNAS LÄN</t>
        </is>
      </c>
      <c r="G179" t="inlineStr">
        <is>
          <t>FALUN</t>
        </is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49152-2022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44860</v>
      </c>
      <c r="E180" s="1" t="n">
        <v>46314</v>
      </c>
      <c r="F180" t="inlineStr">
        <is>
          <t>DALARNAS LÄN</t>
        </is>
      </c>
      <c r="G180" t="inlineStr">
        <is>
          <t>FALUN</t>
        </is>
      </c>
      <c r="I180" t="n">
        <v>1.6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46259-2022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44847</v>
      </c>
      <c r="E181" s="1" t="n">
        <v>46314</v>
      </c>
      <c r="F181" t="inlineStr">
        <is>
          <t>DALARNAS LÄN</t>
        </is>
      </c>
      <c r="G181" t="inlineStr">
        <is>
          <t>FALUN</t>
        </is>
      </c>
      <c r="I181" t="n">
        <v>0.6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12049-2022</t>
        </is>
      </c>
      <c r="B182" t="inlineStr">
        <is>
          <t>avverkningsanmälan</t>
        </is>
      </c>
      <c r="C182" t="inlineStr">
        <is>
          <t>Avverkning för annat ändamål</t>
        </is>
      </c>
      <c r="D182" s="1" t="n">
        <v>44636</v>
      </c>
      <c r="E182" s="1" t="n">
        <v>46314</v>
      </c>
      <c r="F182" t="inlineStr">
        <is>
          <t>DALARNAS LÄN</t>
        </is>
      </c>
      <c r="G182" t="inlineStr">
        <is>
          <t>FALUN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52381-2022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44874</v>
      </c>
      <c r="E183" s="1" t="n">
        <v>46314</v>
      </c>
      <c r="F183" t="inlineStr">
        <is>
          <t>DALARNAS LÄN</t>
        </is>
      </c>
      <c r="G183" t="inlineStr">
        <is>
          <t>FALUN</t>
        </is>
      </c>
      <c r="I183" t="n">
        <v>3.8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41593-2022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44827</v>
      </c>
      <c r="E184" s="1" t="n">
        <v>46314</v>
      </c>
      <c r="F184" t="inlineStr">
        <is>
          <t>DALARNAS LÄN</t>
        </is>
      </c>
      <c r="G184" t="inlineStr">
        <is>
          <t>FALUN</t>
        </is>
      </c>
      <c r="I184" t="n">
        <v>0.8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883-2022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44571</v>
      </c>
      <c r="E185" s="1" t="n">
        <v>46314</v>
      </c>
      <c r="F185" t="inlineStr">
        <is>
          <t>DALARNAS LÄN</t>
        </is>
      </c>
      <c r="G185" t="inlineStr">
        <is>
          <t>FALUN</t>
        </is>
      </c>
      <c r="I185" t="n">
        <v>0.5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13531-2022</t>
        </is>
      </c>
      <c r="B186" t="inlineStr">
        <is>
          <t>avverkningsanmälan</t>
        </is>
      </c>
      <c r="C186" t="inlineStr">
        <is>
          <t>Avverkning för annat ändamål</t>
        </is>
      </c>
      <c r="D186" s="1" t="n">
        <v>44648</v>
      </c>
      <c r="E186" s="1" t="n">
        <v>46314</v>
      </c>
      <c r="F186" t="inlineStr">
        <is>
          <t>DALARNAS LÄN</t>
        </is>
      </c>
      <c r="G186" t="inlineStr">
        <is>
          <t>FALUN</t>
        </is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13569-2022</t>
        </is>
      </c>
      <c r="B187" t="inlineStr">
        <is>
          <t>avverkningsanmälan</t>
        </is>
      </c>
      <c r="C187" t="inlineStr">
        <is>
          <t>Avverkning för annat ändamål</t>
        </is>
      </c>
      <c r="D187" s="1" t="n">
        <v>44648</v>
      </c>
      <c r="E187" s="1" t="n">
        <v>46314</v>
      </c>
      <c r="F187" t="inlineStr">
        <is>
          <t>DALARNAS LÄN</t>
        </is>
      </c>
      <c r="G187" t="inlineStr">
        <is>
          <t>FALUN</t>
        </is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38329-2022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44812</v>
      </c>
      <c r="E188" s="1" t="n">
        <v>46314</v>
      </c>
      <c r="F188" t="inlineStr">
        <is>
          <t>DALARNAS LÄN</t>
        </is>
      </c>
      <c r="G188" t="inlineStr">
        <is>
          <t>FALUN</t>
        </is>
      </c>
      <c r="H188" t="inlineStr">
        <is>
          <t>Bergvik skog väst AB</t>
        </is>
      </c>
      <c r="I188" t="n">
        <v>0.8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68515-2021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44529</v>
      </c>
      <c r="E189" s="1" t="n">
        <v>46314</v>
      </c>
      <c r="F189" t="inlineStr">
        <is>
          <t>DALARNAS LÄN</t>
        </is>
      </c>
      <c r="G189" t="inlineStr">
        <is>
          <t>FALUN</t>
        </is>
      </c>
      <c r="I189" t="n">
        <v>1.1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558-2022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44566</v>
      </c>
      <c r="E190" s="1" t="n">
        <v>46314</v>
      </c>
      <c r="F190" t="inlineStr">
        <is>
          <t>DALARNAS LÄN</t>
        </is>
      </c>
      <c r="G190" t="inlineStr">
        <is>
          <t>FALUN</t>
        </is>
      </c>
      <c r="I190" t="n">
        <v>3.8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4314-2022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44588</v>
      </c>
      <c r="E191" s="1" t="n">
        <v>46314</v>
      </c>
      <c r="F191" t="inlineStr">
        <is>
          <t>DALARNAS LÄN</t>
        </is>
      </c>
      <c r="G191" t="inlineStr">
        <is>
          <t>FALUN</t>
        </is>
      </c>
      <c r="I191" t="n">
        <v>1.7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4249-2022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44588</v>
      </c>
      <c r="E192" s="1" t="n">
        <v>46314</v>
      </c>
      <c r="F192" t="inlineStr">
        <is>
          <t>DALARNAS LÄN</t>
        </is>
      </c>
      <c r="G192" t="inlineStr">
        <is>
          <t>FALUN</t>
        </is>
      </c>
      <c r="I192" t="n">
        <v>14.3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42135-2022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44830</v>
      </c>
      <c r="E193" s="1" t="n">
        <v>46314</v>
      </c>
      <c r="F193" t="inlineStr">
        <is>
          <t>DALARNAS LÄN</t>
        </is>
      </c>
      <c r="G193" t="inlineStr">
        <is>
          <t>FALUN</t>
        </is>
      </c>
      <c r="I193" t="n">
        <v>0.7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15250-2022</t>
        </is>
      </c>
      <c r="B194" t="inlineStr">
        <is>
          <t>avverkningsanmälan</t>
        </is>
      </c>
      <c r="C194" t="inlineStr">
        <is>
          <t>Avverkning för annat ändamål</t>
        </is>
      </c>
      <c r="D194" s="1" t="n">
        <v>44658</v>
      </c>
      <c r="E194" s="1" t="n">
        <v>46314</v>
      </c>
      <c r="F194" t="inlineStr">
        <is>
          <t>DALARNAS LÄN</t>
        </is>
      </c>
      <c r="G194" t="inlineStr">
        <is>
          <t>FALUN</t>
        </is>
      </c>
      <c r="I194" t="n">
        <v>1.4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66006-2021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44517</v>
      </c>
      <c r="E195" s="1" t="n">
        <v>46314</v>
      </c>
      <c r="F195" t="inlineStr">
        <is>
          <t>DALARNAS LÄN</t>
        </is>
      </c>
      <c r="G195" t="inlineStr">
        <is>
          <t>FALUN</t>
        </is>
      </c>
      <c r="I195" t="n">
        <v>0.9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73804-2021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44552</v>
      </c>
      <c r="E196" s="1" t="n">
        <v>46314</v>
      </c>
      <c r="F196" t="inlineStr">
        <is>
          <t>DALARNAS LÄN</t>
        </is>
      </c>
      <c r="G196" t="inlineStr">
        <is>
          <t>FALUN</t>
        </is>
      </c>
      <c r="I196" t="n">
        <v>0.9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13557-2022</t>
        </is>
      </c>
      <c r="B197" t="inlineStr">
        <is>
          <t>avverkningsanmälan</t>
        </is>
      </c>
      <c r="C197" t="inlineStr">
        <is>
          <t>Avverkning för annat ändamål</t>
        </is>
      </c>
      <c r="D197" s="1" t="n">
        <v>44648</v>
      </c>
      <c r="E197" s="1" t="n">
        <v>46314</v>
      </c>
      <c r="F197" t="inlineStr">
        <is>
          <t>DALARNAS LÄN</t>
        </is>
      </c>
      <c r="G197" t="inlineStr">
        <is>
          <t>FALUN</t>
        </is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13561-2022</t>
        </is>
      </c>
      <c r="B198" t="inlineStr">
        <is>
          <t>avverkningsanmälan</t>
        </is>
      </c>
      <c r="C198" t="inlineStr">
        <is>
          <t>Avverkning för annat ändamål</t>
        </is>
      </c>
      <c r="D198" s="1" t="n">
        <v>44648</v>
      </c>
      <c r="E198" s="1" t="n">
        <v>46314</v>
      </c>
      <c r="F198" t="inlineStr">
        <is>
          <t>DALARNAS LÄN</t>
        </is>
      </c>
      <c r="G198" t="inlineStr">
        <is>
          <t>FALUN</t>
        </is>
      </c>
      <c r="I198" t="n">
        <v>0.3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13566-2022</t>
        </is>
      </c>
      <c r="B199" t="inlineStr">
        <is>
          <t>avverkningsanmälan</t>
        </is>
      </c>
      <c r="C199" t="inlineStr">
        <is>
          <t>Avverkning för annat ändamål</t>
        </is>
      </c>
      <c r="D199" s="1" t="n">
        <v>44648</v>
      </c>
      <c r="E199" s="1" t="n">
        <v>46314</v>
      </c>
      <c r="F199" t="inlineStr">
        <is>
          <t>DALARNAS LÄN</t>
        </is>
      </c>
      <c r="G199" t="inlineStr">
        <is>
          <t>FALUN</t>
        </is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68590-2021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44529</v>
      </c>
      <c r="E200" s="1" t="n">
        <v>46314</v>
      </c>
      <c r="F200" t="inlineStr">
        <is>
          <t>DALARNAS LÄN</t>
        </is>
      </c>
      <c r="G200" t="inlineStr">
        <is>
          <t>FALUN</t>
        </is>
      </c>
      <c r="I200" t="n">
        <v>0.5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37314-2022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44809</v>
      </c>
      <c r="E201" s="1" t="n">
        <v>46314</v>
      </c>
      <c r="F201" t="inlineStr">
        <is>
          <t>DALARNAS LÄN</t>
        </is>
      </c>
      <c r="G201" t="inlineStr">
        <is>
          <t>FALUN</t>
        </is>
      </c>
      <c r="H201" t="inlineStr">
        <is>
          <t>Bergvik skog väst AB</t>
        </is>
      </c>
      <c r="I201" t="n">
        <v>0.4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2686-2022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44580</v>
      </c>
      <c r="E202" s="1" t="n">
        <v>46314</v>
      </c>
      <c r="F202" t="inlineStr">
        <is>
          <t>DALARNAS LÄN</t>
        </is>
      </c>
      <c r="G202" t="inlineStr">
        <is>
          <t>FALUN</t>
        </is>
      </c>
      <c r="I202" t="n">
        <v>2.3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56147-2022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44889</v>
      </c>
      <c r="E203" s="1" t="n">
        <v>46314</v>
      </c>
      <c r="F203" t="inlineStr">
        <is>
          <t>DALARNAS LÄN</t>
        </is>
      </c>
      <c r="G203" t="inlineStr">
        <is>
          <t>FALUN</t>
        </is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23626-2022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44721</v>
      </c>
      <c r="E204" s="1" t="n">
        <v>46314</v>
      </c>
      <c r="F204" t="inlineStr">
        <is>
          <t>DALARNAS LÄN</t>
        </is>
      </c>
      <c r="G204" t="inlineStr">
        <is>
          <t>FALUN</t>
        </is>
      </c>
      <c r="H204" t="inlineStr">
        <is>
          <t>Bergvik skog väst AB</t>
        </is>
      </c>
      <c r="I204" t="n">
        <v>0.9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34511-2022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44792</v>
      </c>
      <c r="E205" s="1" t="n">
        <v>46314</v>
      </c>
      <c r="F205" t="inlineStr">
        <is>
          <t>DALARNAS LÄN</t>
        </is>
      </c>
      <c r="G205" t="inlineStr">
        <is>
          <t>FALUN</t>
        </is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21169-2022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44704</v>
      </c>
      <c r="E206" s="1" t="n">
        <v>46314</v>
      </c>
      <c r="F206" t="inlineStr">
        <is>
          <t>DALARNAS LÄN</t>
        </is>
      </c>
      <c r="G206" t="inlineStr">
        <is>
          <t>FALUN</t>
        </is>
      </c>
      <c r="H206" t="inlineStr">
        <is>
          <t>Bergvik skog väst AB</t>
        </is>
      </c>
      <c r="I206" t="n">
        <v>0.6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69013-2021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44530</v>
      </c>
      <c r="E207" s="1" t="n">
        <v>46314</v>
      </c>
      <c r="F207" t="inlineStr">
        <is>
          <t>DALARNAS LÄN</t>
        </is>
      </c>
      <c r="G207" t="inlineStr">
        <is>
          <t>FALUN</t>
        </is>
      </c>
      <c r="I207" t="n">
        <v>0.6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69780-2021</t>
        </is>
      </c>
      <c r="B208" t="inlineStr">
        <is>
          <t>avverkningsanmälan</t>
        </is>
      </c>
      <c r="C208" t="inlineStr">
        <is>
          <t>Avverkning för annat ändamål</t>
        </is>
      </c>
      <c r="D208" s="1" t="n">
        <v>44532</v>
      </c>
      <c r="E208" s="1" t="n">
        <v>46314</v>
      </c>
      <c r="F208" t="inlineStr">
        <is>
          <t>DALARNAS LÄN</t>
        </is>
      </c>
      <c r="G208" t="inlineStr">
        <is>
          <t>FALUN</t>
        </is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66012-2021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44517</v>
      </c>
      <c r="E209" s="1" t="n">
        <v>46314</v>
      </c>
      <c r="F209" t="inlineStr">
        <is>
          <t>DALARNAS LÄN</t>
        </is>
      </c>
      <c r="G209" t="inlineStr">
        <is>
          <t>FALUN</t>
        </is>
      </c>
      <c r="I209" t="n">
        <v>1.7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15929-2022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44664</v>
      </c>
      <c r="E210" s="1" t="n">
        <v>46314</v>
      </c>
      <c r="F210" t="inlineStr">
        <is>
          <t>DALARNAS LÄN</t>
        </is>
      </c>
      <c r="G210" t="inlineStr">
        <is>
          <t>FALUN</t>
        </is>
      </c>
      <c r="H210" t="inlineStr">
        <is>
          <t>Kyrkan</t>
        </is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4000-2022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44587</v>
      </c>
      <c r="E211" s="1" t="n">
        <v>46314</v>
      </c>
      <c r="F211" t="inlineStr">
        <is>
          <t>DALARNAS LÄN</t>
        </is>
      </c>
      <c r="G211" t="inlineStr">
        <is>
          <t>FALUN</t>
        </is>
      </c>
      <c r="I211" t="n">
        <v>2.2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52134-2022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44873</v>
      </c>
      <c r="E212" s="1" t="n">
        <v>46314</v>
      </c>
      <c r="F212" t="inlineStr">
        <is>
          <t>DALARNAS LÄN</t>
        </is>
      </c>
      <c r="G212" t="inlineStr">
        <is>
          <t>FALUN</t>
        </is>
      </c>
      <c r="H212" t="inlineStr">
        <is>
          <t>Bergvik skog väst AB</t>
        </is>
      </c>
      <c r="I212" t="n">
        <v>0.8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34508-2022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44792</v>
      </c>
      <c r="E213" s="1" t="n">
        <v>46314</v>
      </c>
      <c r="F213" t="inlineStr">
        <is>
          <t>DALARNAS LÄN</t>
        </is>
      </c>
      <c r="G213" t="inlineStr">
        <is>
          <t>FALUN</t>
        </is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34509-2022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44792</v>
      </c>
      <c r="E214" s="1" t="n">
        <v>46314</v>
      </c>
      <c r="F214" t="inlineStr">
        <is>
          <t>DALARNAS LÄN</t>
        </is>
      </c>
      <c r="G214" t="inlineStr">
        <is>
          <t>FALUN</t>
        </is>
      </c>
      <c r="I214" t="n">
        <v>2.6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13568-2024</t>
        </is>
      </c>
      <c r="B215" t="inlineStr">
        <is>
          <t>avverkningsanmälan</t>
        </is>
      </c>
      <c r="C215" t="inlineStr">
        <is>
          <t>Avverkning för annat ändamål</t>
        </is>
      </c>
      <c r="D215" s="1" t="n">
        <v>45389</v>
      </c>
      <c r="E215" s="1" t="n">
        <v>46314</v>
      </c>
      <c r="F215" t="inlineStr">
        <is>
          <t>DALARNAS LÄN</t>
        </is>
      </c>
      <c r="G215" t="inlineStr">
        <is>
          <t>FALUN</t>
        </is>
      </c>
      <c r="I215" t="n">
        <v>0.7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58412-2024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45634</v>
      </c>
      <c r="E216" s="1" t="n">
        <v>46314</v>
      </c>
      <c r="F216" t="inlineStr">
        <is>
          <t>DALARNAS LÄN</t>
        </is>
      </c>
      <c r="G216" t="inlineStr">
        <is>
          <t>FALUN</t>
        </is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4700-2023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44957</v>
      </c>
      <c r="E217" s="1" t="n">
        <v>46314</v>
      </c>
      <c r="F217" t="inlineStr">
        <is>
          <t>DALARNAS LÄN</t>
        </is>
      </c>
      <c r="G217" t="inlineStr">
        <is>
          <t>FALUN</t>
        </is>
      </c>
      <c r="I217" t="n">
        <v>0.5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22938-2023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45072</v>
      </c>
      <c r="E218" s="1" t="n">
        <v>46314</v>
      </c>
      <c r="F218" t="inlineStr">
        <is>
          <t>DALARNAS LÄN</t>
        </is>
      </c>
      <c r="G218" t="inlineStr">
        <is>
          <t>FALUN</t>
        </is>
      </c>
      <c r="I218" t="n">
        <v>2.5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7519-2024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45348</v>
      </c>
      <c r="E219" s="1" t="n">
        <v>46314</v>
      </c>
      <c r="F219" t="inlineStr">
        <is>
          <t>DALARNAS LÄN</t>
        </is>
      </c>
      <c r="G219" t="inlineStr">
        <is>
          <t>FALUN</t>
        </is>
      </c>
      <c r="I219" t="n">
        <v>1.2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31884-2023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45118</v>
      </c>
      <c r="E220" s="1" t="n">
        <v>46314</v>
      </c>
      <c r="F220" t="inlineStr">
        <is>
          <t>DALARNAS LÄN</t>
        </is>
      </c>
      <c r="G220" t="inlineStr">
        <is>
          <t>FALUN</t>
        </is>
      </c>
      <c r="I220" t="n">
        <v>3.5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60306-2022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44910</v>
      </c>
      <c r="E221" s="1" t="n">
        <v>46314</v>
      </c>
      <c r="F221" t="inlineStr">
        <is>
          <t>DALARNAS LÄN</t>
        </is>
      </c>
      <c r="G221" t="inlineStr">
        <is>
          <t>FALUN</t>
        </is>
      </c>
      <c r="I221" t="n">
        <v>18.2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56481-2024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45625</v>
      </c>
      <c r="E222" s="1" t="n">
        <v>46314</v>
      </c>
      <c r="F222" t="inlineStr">
        <is>
          <t>DALARNAS LÄN</t>
        </is>
      </c>
      <c r="G222" t="inlineStr">
        <is>
          <t>FALUN</t>
        </is>
      </c>
      <c r="H222" t="inlineStr">
        <is>
          <t>Bergvik skog väst AB</t>
        </is>
      </c>
      <c r="I222" t="n">
        <v>8.199999999999999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24732-2023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45084</v>
      </c>
      <c r="E223" s="1" t="n">
        <v>46314</v>
      </c>
      <c r="F223" t="inlineStr">
        <is>
          <t>DALARNAS LÄN</t>
        </is>
      </c>
      <c r="G223" t="inlineStr">
        <is>
          <t>FALUN</t>
        </is>
      </c>
      <c r="I223" t="n">
        <v>0.3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29850-2022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44755</v>
      </c>
      <c r="E224" s="1" t="n">
        <v>46314</v>
      </c>
      <c r="F224" t="inlineStr">
        <is>
          <t>DALARNAS LÄN</t>
        </is>
      </c>
      <c r="G224" t="inlineStr">
        <is>
          <t>FALUN</t>
        </is>
      </c>
      <c r="I224" t="n">
        <v>1.9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41439-2022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44826</v>
      </c>
      <c r="E225" s="1" t="n">
        <v>46314</v>
      </c>
      <c r="F225" t="inlineStr">
        <is>
          <t>DALARNAS LÄN</t>
        </is>
      </c>
      <c r="G225" t="inlineStr">
        <is>
          <t>FALUN</t>
        </is>
      </c>
      <c r="I225" t="n">
        <v>1.7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9837-2024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45363</v>
      </c>
      <c r="E226" s="1" t="n">
        <v>46314</v>
      </c>
      <c r="F226" t="inlineStr">
        <is>
          <t>DALARNAS LÄN</t>
        </is>
      </c>
      <c r="G226" t="inlineStr">
        <is>
          <t>FALUN</t>
        </is>
      </c>
      <c r="I226" t="n">
        <v>2.3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3278-2024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45317</v>
      </c>
      <c r="E227" s="1" t="n">
        <v>46314</v>
      </c>
      <c r="F227" t="inlineStr">
        <is>
          <t>DALARNAS LÄN</t>
        </is>
      </c>
      <c r="G227" t="inlineStr">
        <is>
          <t>FALUN</t>
        </is>
      </c>
      <c r="I227" t="n">
        <v>1.9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34003-2024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45523</v>
      </c>
      <c r="E228" s="1" t="n">
        <v>46314</v>
      </c>
      <c r="F228" t="inlineStr">
        <is>
          <t>DALARNAS LÄN</t>
        </is>
      </c>
      <c r="G228" t="inlineStr">
        <is>
          <t>FALUN</t>
        </is>
      </c>
      <c r="H228" t="inlineStr">
        <is>
          <t>Bergvik skog väst AB</t>
        </is>
      </c>
      <c r="I228" t="n">
        <v>1.1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34009-2024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45523</v>
      </c>
      <c r="E229" s="1" t="n">
        <v>46314</v>
      </c>
      <c r="F229" t="inlineStr">
        <is>
          <t>DALARNAS LÄN</t>
        </is>
      </c>
      <c r="G229" t="inlineStr">
        <is>
          <t>FALUN</t>
        </is>
      </c>
      <c r="H229" t="inlineStr">
        <is>
          <t>Bergvik skog väst AB</t>
        </is>
      </c>
      <c r="I229" t="n">
        <v>1.1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13237-2024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45386</v>
      </c>
      <c r="E230" s="1" t="n">
        <v>46314</v>
      </c>
      <c r="F230" t="inlineStr">
        <is>
          <t>DALARNAS LÄN</t>
        </is>
      </c>
      <c r="G230" t="inlineStr">
        <is>
          <t>FALUN</t>
        </is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5738-2025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45694</v>
      </c>
      <c r="E231" s="1" t="n">
        <v>46314</v>
      </c>
      <c r="F231" t="inlineStr">
        <is>
          <t>DALARNAS LÄN</t>
        </is>
      </c>
      <c r="G231" t="inlineStr">
        <is>
          <t>FALUN</t>
        </is>
      </c>
      <c r="I231" t="n">
        <v>1.2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51608-2024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45604</v>
      </c>
      <c r="E232" s="1" t="n">
        <v>46314</v>
      </c>
      <c r="F232" t="inlineStr">
        <is>
          <t>DALARNAS LÄN</t>
        </is>
      </c>
      <c r="G232" t="inlineStr">
        <is>
          <t>FALUN</t>
        </is>
      </c>
      <c r="H232" t="inlineStr">
        <is>
          <t>Bergvik skog väst AB</t>
        </is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24297-2024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45457</v>
      </c>
      <c r="E233" s="1" t="n">
        <v>46314</v>
      </c>
      <c r="F233" t="inlineStr">
        <is>
          <t>DALARNAS LÄN</t>
        </is>
      </c>
      <c r="G233" t="inlineStr">
        <is>
          <t>FALUN</t>
        </is>
      </c>
      <c r="I233" t="n">
        <v>0.4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46252-2022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44847</v>
      </c>
      <c r="E234" s="1" t="n">
        <v>46314</v>
      </c>
      <c r="F234" t="inlineStr">
        <is>
          <t>DALARNAS LÄN</t>
        </is>
      </c>
      <c r="G234" t="inlineStr">
        <is>
          <t>FALUN</t>
        </is>
      </c>
      <c r="I234" t="n">
        <v>1.7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58842-2023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45252</v>
      </c>
      <c r="E235" s="1" t="n">
        <v>46314</v>
      </c>
      <c r="F235" t="inlineStr">
        <is>
          <t>DALARNAS LÄN</t>
        </is>
      </c>
      <c r="G235" t="inlineStr">
        <is>
          <t>FALUN</t>
        </is>
      </c>
      <c r="I235" t="n">
        <v>3.3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5085-2024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45330</v>
      </c>
      <c r="E236" s="1" t="n">
        <v>46314</v>
      </c>
      <c r="F236" t="inlineStr">
        <is>
          <t>DALARNAS LÄN</t>
        </is>
      </c>
      <c r="G236" t="inlineStr">
        <is>
          <t>FALUN</t>
        </is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38143-2024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45545</v>
      </c>
      <c r="E237" s="1" t="n">
        <v>46314</v>
      </c>
      <c r="F237" t="inlineStr">
        <is>
          <t>DALARNAS LÄN</t>
        </is>
      </c>
      <c r="G237" t="inlineStr">
        <is>
          <t>FALUN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28275-2023</t>
        </is>
      </c>
      <c r="B238" t="inlineStr">
        <is>
          <t>avverkningsanmälan</t>
        </is>
      </c>
      <c r="C238" t="inlineStr">
        <is>
          <t>Avverkning för annat ändamål</t>
        </is>
      </c>
      <c r="D238" s="1" t="n">
        <v>45099</v>
      </c>
      <c r="E238" s="1" t="n">
        <v>46314</v>
      </c>
      <c r="F238" t="inlineStr">
        <is>
          <t>DALARNAS LÄN</t>
        </is>
      </c>
      <c r="G238" t="inlineStr">
        <is>
          <t>FALUN</t>
        </is>
      </c>
      <c r="I238" t="n">
        <v>0.5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61035-2021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44497</v>
      </c>
      <c r="E239" s="1" t="n">
        <v>46314</v>
      </c>
      <c r="F239" t="inlineStr">
        <is>
          <t>DALARNAS LÄN</t>
        </is>
      </c>
      <c r="G239" t="inlineStr">
        <is>
          <t>FALUN</t>
        </is>
      </c>
      <c r="H239" t="inlineStr">
        <is>
          <t>Kyrkan</t>
        </is>
      </c>
      <c r="I239" t="n">
        <v>13.8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74258-2021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44558</v>
      </c>
      <c r="E240" s="1" t="n">
        <v>46314</v>
      </c>
      <c r="F240" t="inlineStr">
        <is>
          <t>DALARNAS LÄN</t>
        </is>
      </c>
      <c r="G240" t="inlineStr">
        <is>
          <t>FALUN</t>
        </is>
      </c>
      <c r="I240" t="n">
        <v>1.4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41604-2023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45175</v>
      </c>
      <c r="E241" s="1" t="n">
        <v>46314</v>
      </c>
      <c r="F241" t="inlineStr">
        <is>
          <t>DALARNAS LÄN</t>
        </is>
      </c>
      <c r="G241" t="inlineStr">
        <is>
          <t>FALUN</t>
        </is>
      </c>
      <c r="I241" t="n">
        <v>1.6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43377-2022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44834</v>
      </c>
      <c r="E242" s="1" t="n">
        <v>46314</v>
      </c>
      <c r="F242" t="inlineStr">
        <is>
          <t>DALARNAS LÄN</t>
        </is>
      </c>
      <c r="G242" t="inlineStr">
        <is>
          <t>FALUN</t>
        </is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5680-2023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44960</v>
      </c>
      <c r="E243" s="1" t="n">
        <v>46314</v>
      </c>
      <c r="F243" t="inlineStr">
        <is>
          <t>DALARNAS LÄN</t>
        </is>
      </c>
      <c r="G243" t="inlineStr">
        <is>
          <t>FALUN</t>
        </is>
      </c>
      <c r="I243" t="n">
        <v>2.3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9716-2024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45362</v>
      </c>
      <c r="E244" s="1" t="n">
        <v>46314</v>
      </c>
      <c r="F244" t="inlineStr">
        <is>
          <t>DALARNAS LÄN</t>
        </is>
      </c>
      <c r="G244" t="inlineStr">
        <is>
          <t>FALUN</t>
        </is>
      </c>
      <c r="I244" t="n">
        <v>1.3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13565-2024</t>
        </is>
      </c>
      <c r="B245" t="inlineStr">
        <is>
          <t>avverkningsanmälan</t>
        </is>
      </c>
      <c r="C245" t="inlineStr">
        <is>
          <t>Avverkning för annat ändamål</t>
        </is>
      </c>
      <c r="D245" s="1" t="n">
        <v>45389</v>
      </c>
      <c r="E245" s="1" t="n">
        <v>46314</v>
      </c>
      <c r="F245" t="inlineStr">
        <is>
          <t>DALARNAS LÄN</t>
        </is>
      </c>
      <c r="G245" t="inlineStr">
        <is>
          <t>FALUN</t>
        </is>
      </c>
      <c r="I245" t="n">
        <v>0.4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35917-2023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45148</v>
      </c>
      <c r="E246" s="1" t="n">
        <v>46314</v>
      </c>
      <c r="F246" t="inlineStr">
        <is>
          <t>DALARNAS LÄN</t>
        </is>
      </c>
      <c r="G246" t="inlineStr">
        <is>
          <t>FALUN</t>
        </is>
      </c>
      <c r="H246" t="inlineStr">
        <is>
          <t>Bergvik skog väst AB</t>
        </is>
      </c>
      <c r="I246" t="n">
        <v>3.2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2973-2023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44945</v>
      </c>
      <c r="E247" s="1" t="n">
        <v>46314</v>
      </c>
      <c r="F247" t="inlineStr">
        <is>
          <t>DALARNAS LÄN</t>
        </is>
      </c>
      <c r="G247" t="inlineStr">
        <is>
          <t>FALUN</t>
        </is>
      </c>
      <c r="I247" t="n">
        <v>1.9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2556-2023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44943</v>
      </c>
      <c r="E248" s="1" t="n">
        <v>46314</v>
      </c>
      <c r="F248" t="inlineStr">
        <is>
          <t>DALARNAS LÄN</t>
        </is>
      </c>
      <c r="G248" t="inlineStr">
        <is>
          <t>FALUN</t>
        </is>
      </c>
      <c r="I248" t="n">
        <v>0.9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15318-2025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45747</v>
      </c>
      <c r="E249" s="1" t="n">
        <v>46314</v>
      </c>
      <c r="F249" t="inlineStr">
        <is>
          <t>DALARNAS LÄN</t>
        </is>
      </c>
      <c r="G249" t="inlineStr">
        <is>
          <t>FALUN</t>
        </is>
      </c>
      <c r="I249" t="n">
        <v>5.1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62156-2023</t>
        </is>
      </c>
      <c r="B250" t="inlineStr">
        <is>
          <t>avverkningsanmälan</t>
        </is>
      </c>
      <c r="C250" t="inlineStr">
        <is>
          <t>Avverkning för annat ändamål</t>
        </is>
      </c>
      <c r="D250" s="1" t="n">
        <v>45267</v>
      </c>
      <c r="E250" s="1" t="n">
        <v>46314</v>
      </c>
      <c r="F250" t="inlineStr">
        <is>
          <t>DALARNAS LÄN</t>
        </is>
      </c>
      <c r="G250" t="inlineStr">
        <is>
          <t>FALUN</t>
        </is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143-2025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45659</v>
      </c>
      <c r="E251" s="1" t="n">
        <v>46314</v>
      </c>
      <c r="F251" t="inlineStr">
        <is>
          <t>DALARNAS LÄN</t>
        </is>
      </c>
      <c r="G251" t="inlineStr">
        <is>
          <t>FALUN</t>
        </is>
      </c>
      <c r="I251" t="n">
        <v>2.6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43222-2023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45183</v>
      </c>
      <c r="E252" s="1" t="n">
        <v>46314</v>
      </c>
      <c r="F252" t="inlineStr">
        <is>
          <t>DALARNAS LÄN</t>
        </is>
      </c>
      <c r="G252" t="inlineStr">
        <is>
          <t>FALUN</t>
        </is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15193-2022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44658</v>
      </c>
      <c r="E253" s="1" t="n">
        <v>46314</v>
      </c>
      <c r="F253" t="inlineStr">
        <is>
          <t>DALARNAS LÄN</t>
        </is>
      </c>
      <c r="G253" t="inlineStr">
        <is>
          <t>FALUN</t>
        </is>
      </c>
      <c r="I253" t="n">
        <v>1.8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39918-2024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45553</v>
      </c>
      <c r="E254" s="1" t="n">
        <v>46314</v>
      </c>
      <c r="F254" t="inlineStr">
        <is>
          <t>DALARNAS LÄN</t>
        </is>
      </c>
      <c r="G254" t="inlineStr">
        <is>
          <t>FALUN</t>
        </is>
      </c>
      <c r="H254" t="inlineStr">
        <is>
          <t>Bergvik skog väst AB</t>
        </is>
      </c>
      <c r="I254" t="n">
        <v>1.8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39924-2024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45553</v>
      </c>
      <c r="E255" s="1" t="n">
        <v>46314</v>
      </c>
      <c r="F255" t="inlineStr">
        <is>
          <t>DALARNAS LÄN</t>
        </is>
      </c>
      <c r="G255" t="inlineStr">
        <is>
          <t>FALUN</t>
        </is>
      </c>
      <c r="H255" t="inlineStr">
        <is>
          <t>Bergvik skog väst AB</t>
        </is>
      </c>
      <c r="I255" t="n">
        <v>1.6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51233-2023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45219</v>
      </c>
      <c r="E256" s="1" t="n">
        <v>46314</v>
      </c>
      <c r="F256" t="inlineStr">
        <is>
          <t>DALARNAS LÄN</t>
        </is>
      </c>
      <c r="G256" t="inlineStr">
        <is>
          <t>FALUN</t>
        </is>
      </c>
      <c r="I256" t="n">
        <v>0.8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60088-2022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44909</v>
      </c>
      <c r="E257" s="1" t="n">
        <v>46314</v>
      </c>
      <c r="F257" t="inlineStr">
        <is>
          <t>DALARNAS LÄN</t>
        </is>
      </c>
      <c r="G257" t="inlineStr">
        <is>
          <t>FALUN</t>
        </is>
      </c>
      <c r="I257" t="n">
        <v>3.3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49986-2024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45597</v>
      </c>
      <c r="E258" s="1" t="n">
        <v>46314</v>
      </c>
      <c r="F258" t="inlineStr">
        <is>
          <t>DALARNAS LÄN</t>
        </is>
      </c>
      <c r="G258" t="inlineStr">
        <is>
          <t>FALUN</t>
        </is>
      </c>
      <c r="I258" t="n">
        <v>1.8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7656-2023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44972</v>
      </c>
      <c r="E259" s="1" t="n">
        <v>46314</v>
      </c>
      <c r="F259" t="inlineStr">
        <is>
          <t>DALARNAS LÄN</t>
        </is>
      </c>
      <c r="G259" t="inlineStr">
        <is>
          <t>FALUN</t>
        </is>
      </c>
      <c r="I259" t="n">
        <v>26.1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37337-2023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45156</v>
      </c>
      <c r="E260" s="1" t="n">
        <v>46314</v>
      </c>
      <c r="F260" t="inlineStr">
        <is>
          <t>DALARNAS LÄN</t>
        </is>
      </c>
      <c r="G260" t="inlineStr">
        <is>
          <t>FALUN</t>
        </is>
      </c>
      <c r="I260" t="n">
        <v>1.4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47631-2023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45203</v>
      </c>
      <c r="E261" s="1" t="n">
        <v>46314</v>
      </c>
      <c r="F261" t="inlineStr">
        <is>
          <t>DALARNAS LÄN</t>
        </is>
      </c>
      <c r="G261" t="inlineStr">
        <is>
          <t>FALUN</t>
        </is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42953-2022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44833</v>
      </c>
      <c r="E262" s="1" t="n">
        <v>46314</v>
      </c>
      <c r="F262" t="inlineStr">
        <is>
          <t>DALARNAS LÄN</t>
        </is>
      </c>
      <c r="G262" t="inlineStr">
        <is>
          <t>FALUN</t>
        </is>
      </c>
      <c r="I262" t="n">
        <v>4.3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35446-2024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45531</v>
      </c>
      <c r="E263" s="1" t="n">
        <v>46314</v>
      </c>
      <c r="F263" t="inlineStr">
        <is>
          <t>DALARNAS LÄN</t>
        </is>
      </c>
      <c r="G263" t="inlineStr">
        <is>
          <t>FALUN</t>
        </is>
      </c>
      <c r="I263" t="n">
        <v>0.7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15174-2024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45400</v>
      </c>
      <c r="E264" s="1" t="n">
        <v>46314</v>
      </c>
      <c r="F264" t="inlineStr">
        <is>
          <t>DALARNAS LÄN</t>
        </is>
      </c>
      <c r="G264" t="inlineStr">
        <is>
          <t>FALUN</t>
        </is>
      </c>
      <c r="I264" t="n">
        <v>1.3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37750-2023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45159</v>
      </c>
      <c r="E265" s="1" t="n">
        <v>46314</v>
      </c>
      <c r="F265" t="inlineStr">
        <is>
          <t>DALARNAS LÄN</t>
        </is>
      </c>
      <c r="G265" t="inlineStr">
        <is>
          <t>FALUN</t>
        </is>
      </c>
      <c r="I265" t="n">
        <v>20.2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55290-2022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44887</v>
      </c>
      <c r="E266" s="1" t="n">
        <v>46314</v>
      </c>
      <c r="F266" t="inlineStr">
        <is>
          <t>DALARNAS LÄN</t>
        </is>
      </c>
      <c r="G266" t="inlineStr">
        <is>
          <t>FALUN</t>
        </is>
      </c>
      <c r="I266" t="n">
        <v>4.7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2906-2022</t>
        </is>
      </c>
      <c r="B267" t="inlineStr">
        <is>
          <t>avverkningsanmälan</t>
        </is>
      </c>
      <c r="C267" t="inlineStr">
        <is>
          <t>Avverkning för annat ändamål</t>
        </is>
      </c>
      <c r="D267" s="1" t="n">
        <v>44581</v>
      </c>
      <c r="E267" s="1" t="n">
        <v>46314</v>
      </c>
      <c r="F267" t="inlineStr">
        <is>
          <t>DALARNAS LÄN</t>
        </is>
      </c>
      <c r="G267" t="inlineStr">
        <is>
          <t>FALUN</t>
        </is>
      </c>
      <c r="I267" t="n">
        <v>0.5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1509-2024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45306</v>
      </c>
      <c r="E268" s="1" t="n">
        <v>46314</v>
      </c>
      <c r="F268" t="inlineStr">
        <is>
          <t>DALARNAS LÄN</t>
        </is>
      </c>
      <c r="G268" t="inlineStr">
        <is>
          <t>FALUN</t>
        </is>
      </c>
      <c r="I268" t="n">
        <v>5.7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35941-2023</t>
        </is>
      </c>
      <c r="B269" t="inlineStr">
        <is>
          <t>avverkningsanmälan</t>
        </is>
      </c>
      <c r="C269" t="inlineStr">
        <is>
          <t>Avverkning för annat ändamål</t>
        </is>
      </c>
      <c r="D269" s="1" t="n">
        <v>45148</v>
      </c>
      <c r="E269" s="1" t="n">
        <v>46314</v>
      </c>
      <c r="F269" t="inlineStr">
        <is>
          <t>DALARNAS LÄN</t>
        </is>
      </c>
      <c r="G269" t="inlineStr">
        <is>
          <t>FALUN</t>
        </is>
      </c>
      <c r="I269" t="n">
        <v>0.2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53090-2024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45611</v>
      </c>
      <c r="E270" s="1" t="n">
        <v>46314</v>
      </c>
      <c r="F270" t="inlineStr">
        <is>
          <t>DALARNAS LÄN</t>
        </is>
      </c>
      <c r="G270" t="inlineStr">
        <is>
          <t>FALUN</t>
        </is>
      </c>
      <c r="H270" t="inlineStr">
        <is>
          <t>Bergvik skog väst AB</t>
        </is>
      </c>
      <c r="I270" t="n">
        <v>8.300000000000001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58336-2022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44901</v>
      </c>
      <c r="E271" s="1" t="n">
        <v>46314</v>
      </c>
      <c r="F271" t="inlineStr">
        <is>
          <t>DALARNAS LÄN</t>
        </is>
      </c>
      <c r="G271" t="inlineStr">
        <is>
          <t>FALUN</t>
        </is>
      </c>
      <c r="I271" t="n">
        <v>0.5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39824-2022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44819</v>
      </c>
      <c r="E272" s="1" t="n">
        <v>46314</v>
      </c>
      <c r="F272" t="inlineStr">
        <is>
          <t>DALARNAS LÄN</t>
        </is>
      </c>
      <c r="G272" t="inlineStr">
        <is>
          <t>FALUN</t>
        </is>
      </c>
      <c r="I272" t="n">
        <v>3.4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14538-2022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44655</v>
      </c>
      <c r="E273" s="1" t="n">
        <v>46314</v>
      </c>
      <c r="F273" t="inlineStr">
        <is>
          <t>DALARNAS LÄN</t>
        </is>
      </c>
      <c r="G273" t="inlineStr">
        <is>
          <t>FALUN</t>
        </is>
      </c>
      <c r="I273" t="n">
        <v>1.1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37709-2024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45541</v>
      </c>
      <c r="E274" s="1" t="n">
        <v>46314</v>
      </c>
      <c r="F274" t="inlineStr">
        <is>
          <t>DALARNAS LÄN</t>
        </is>
      </c>
      <c r="G274" t="inlineStr">
        <is>
          <t>FALUN</t>
        </is>
      </c>
      <c r="I274" t="n">
        <v>0.4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52026-2023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45223</v>
      </c>
      <c r="E275" s="1" t="n">
        <v>46314</v>
      </c>
      <c r="F275" t="inlineStr">
        <is>
          <t>DALARNAS LÄN</t>
        </is>
      </c>
      <c r="G275" t="inlineStr">
        <is>
          <t>FALUN</t>
        </is>
      </c>
      <c r="I275" t="n">
        <v>0.6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15121-2025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45744</v>
      </c>
      <c r="E276" s="1" t="n">
        <v>46314</v>
      </c>
      <c r="F276" t="inlineStr">
        <is>
          <t>DALARNAS LÄN</t>
        </is>
      </c>
      <c r="G276" t="inlineStr">
        <is>
          <t>FALUN</t>
        </is>
      </c>
      <c r="I276" t="n">
        <v>0.6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49639-2024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45596</v>
      </c>
      <c r="E277" s="1" t="n">
        <v>46314</v>
      </c>
      <c r="F277" t="inlineStr">
        <is>
          <t>DALARNAS LÄN</t>
        </is>
      </c>
      <c r="G277" t="inlineStr">
        <is>
          <t>FALUN</t>
        </is>
      </c>
      <c r="H277" t="inlineStr">
        <is>
          <t>Bergvik skog väst AB</t>
        </is>
      </c>
      <c r="I277" t="n">
        <v>3.6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2756-2025</t>
        </is>
      </c>
      <c r="B278" t="inlineStr">
        <is>
          <t>avverkningsanmälan</t>
        </is>
      </c>
      <c r="C278" t="inlineStr">
        <is>
          <t>Avverkning för annat ändamål</t>
        </is>
      </c>
      <c r="D278" s="1" t="n">
        <v>45677</v>
      </c>
      <c r="E278" s="1" t="n">
        <v>46314</v>
      </c>
      <c r="F278" t="inlineStr">
        <is>
          <t>DALARNAS LÄN</t>
        </is>
      </c>
      <c r="G278" t="inlineStr">
        <is>
          <t>FALUN</t>
        </is>
      </c>
      <c r="I278" t="n">
        <v>0.7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27506-2023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45097</v>
      </c>
      <c r="E279" s="1" t="n">
        <v>46314</v>
      </c>
      <c r="F279" t="inlineStr">
        <is>
          <t>DALARNAS LÄN</t>
        </is>
      </c>
      <c r="G279" t="inlineStr">
        <is>
          <t>FALUN</t>
        </is>
      </c>
      <c r="I279" t="n">
        <v>2.7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1839-2025</t>
        </is>
      </c>
      <c r="B280" t="inlineStr">
        <is>
          <t>avverkningsanmälan</t>
        </is>
      </c>
      <c r="C280" t="inlineStr">
        <is>
          <t>Avverkning för annat ändamål</t>
        </is>
      </c>
      <c r="D280" s="1" t="n">
        <v>45671</v>
      </c>
      <c r="E280" s="1" t="n">
        <v>46314</v>
      </c>
      <c r="F280" t="inlineStr">
        <is>
          <t>DALARNAS LÄN</t>
        </is>
      </c>
      <c r="G280" t="inlineStr">
        <is>
          <t>FALUN</t>
        </is>
      </c>
      <c r="I280" t="n">
        <v>1.9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23642-2024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45454</v>
      </c>
      <c r="E281" s="1" t="n">
        <v>46314</v>
      </c>
      <c r="F281" t="inlineStr">
        <is>
          <t>DALARNAS LÄN</t>
        </is>
      </c>
      <c r="G281" t="inlineStr">
        <is>
          <t>FALUN</t>
        </is>
      </c>
      <c r="I281" t="n">
        <v>1.3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51958-2024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45607</v>
      </c>
      <c r="E282" s="1" t="n">
        <v>46314</v>
      </c>
      <c r="F282" t="inlineStr">
        <is>
          <t>DALARNAS LÄN</t>
        </is>
      </c>
      <c r="G282" t="inlineStr">
        <is>
          <t>FALUN</t>
        </is>
      </c>
      <c r="H282" t="inlineStr">
        <is>
          <t>Bergvik skog väst AB</t>
        </is>
      </c>
      <c r="I282" t="n">
        <v>1.4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44597-2023</t>
        </is>
      </c>
      <c r="B283" t="inlineStr">
        <is>
          <t>avverkningsanmälan</t>
        </is>
      </c>
      <c r="C283" t="inlineStr">
        <is>
          <t>Avverkning för annat ändamål</t>
        </is>
      </c>
      <c r="D283" s="1" t="n">
        <v>45189</v>
      </c>
      <c r="E283" s="1" t="n">
        <v>46314</v>
      </c>
      <c r="F283" t="inlineStr">
        <is>
          <t>DALARNAS LÄN</t>
        </is>
      </c>
      <c r="G283" t="inlineStr">
        <is>
          <t>FALUN</t>
        </is>
      </c>
      <c r="I283" t="n">
        <v>0.8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35903-2023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45148</v>
      </c>
      <c r="E284" s="1" t="n">
        <v>46314</v>
      </c>
      <c r="F284" t="inlineStr">
        <is>
          <t>DALARNAS LÄN</t>
        </is>
      </c>
      <c r="G284" t="inlineStr">
        <is>
          <t>FALUN</t>
        </is>
      </c>
      <c r="H284" t="inlineStr">
        <is>
          <t>Bergvik skog väst AB</t>
        </is>
      </c>
      <c r="I284" t="n">
        <v>2.4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42327-2024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45562</v>
      </c>
      <c r="E285" s="1" t="n">
        <v>46314</v>
      </c>
      <c r="F285" t="inlineStr">
        <is>
          <t>DALARNAS LÄN</t>
        </is>
      </c>
      <c r="G285" t="inlineStr">
        <is>
          <t>FALUN</t>
        </is>
      </c>
      <c r="I285" t="n">
        <v>2.1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25722-2023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45090</v>
      </c>
      <c r="E286" s="1" t="n">
        <v>46314</v>
      </c>
      <c r="F286" t="inlineStr">
        <is>
          <t>DALARNAS LÄN</t>
        </is>
      </c>
      <c r="G286" t="inlineStr">
        <is>
          <t>FALUN</t>
        </is>
      </c>
      <c r="I286" t="n">
        <v>11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55917-2022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44889</v>
      </c>
      <c r="E287" s="1" t="n">
        <v>46314</v>
      </c>
      <c r="F287" t="inlineStr">
        <is>
          <t>DALARNAS LÄN</t>
        </is>
      </c>
      <c r="G287" t="inlineStr">
        <is>
          <t>FALUN</t>
        </is>
      </c>
      <c r="I287" t="n">
        <v>1.2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13636-2023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45006</v>
      </c>
      <c r="E288" s="1" t="n">
        <v>46314</v>
      </c>
      <c r="F288" t="inlineStr">
        <is>
          <t>DALARNAS LÄN</t>
        </is>
      </c>
      <c r="G288" t="inlineStr">
        <is>
          <t>FALUN</t>
        </is>
      </c>
      <c r="I288" t="n">
        <v>4.2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6223-2023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44964</v>
      </c>
      <c r="E289" s="1" t="n">
        <v>46314</v>
      </c>
      <c r="F289" t="inlineStr">
        <is>
          <t>DALARNAS LÄN</t>
        </is>
      </c>
      <c r="G289" t="inlineStr">
        <is>
          <t>FALUN</t>
        </is>
      </c>
      <c r="I289" t="n">
        <v>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19194-2023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45048</v>
      </c>
      <c r="E290" s="1" t="n">
        <v>46314</v>
      </c>
      <c r="F290" t="inlineStr">
        <is>
          <t>DALARNAS LÄN</t>
        </is>
      </c>
      <c r="G290" t="inlineStr">
        <is>
          <t>FALUN</t>
        </is>
      </c>
      <c r="H290" t="inlineStr">
        <is>
          <t>Bergvik skog väst AB</t>
        </is>
      </c>
      <c r="I290" t="n">
        <v>1.8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46560-2023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45198</v>
      </c>
      <c r="E291" s="1" t="n">
        <v>46314</v>
      </c>
      <c r="F291" t="inlineStr">
        <is>
          <t>DALARNAS LÄN</t>
        </is>
      </c>
      <c r="G291" t="inlineStr">
        <is>
          <t>FALUN</t>
        </is>
      </c>
      <c r="I291" t="n">
        <v>0.6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41144-2023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45173</v>
      </c>
      <c r="E292" s="1" t="n">
        <v>46314</v>
      </c>
      <c r="F292" t="inlineStr">
        <is>
          <t>DALARNAS LÄN</t>
        </is>
      </c>
      <c r="G292" t="inlineStr">
        <is>
          <t>FALUN</t>
        </is>
      </c>
      <c r="I292" t="n">
        <v>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22739-2022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44714</v>
      </c>
      <c r="E293" s="1" t="n">
        <v>46314</v>
      </c>
      <c r="F293" t="inlineStr">
        <is>
          <t>DALARNAS LÄN</t>
        </is>
      </c>
      <c r="G293" t="inlineStr">
        <is>
          <t>FALUN</t>
        </is>
      </c>
      <c r="H293" t="inlineStr">
        <is>
          <t>Kyrkan</t>
        </is>
      </c>
      <c r="I293" t="n">
        <v>1.3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52040-2023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45223</v>
      </c>
      <c r="E294" s="1" t="n">
        <v>46314</v>
      </c>
      <c r="F294" t="inlineStr">
        <is>
          <t>DALARNAS LÄN</t>
        </is>
      </c>
      <c r="G294" t="inlineStr">
        <is>
          <t>FALUN</t>
        </is>
      </c>
      <c r="I294" t="n">
        <v>0.6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52081-2023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45223</v>
      </c>
      <c r="E295" s="1" t="n">
        <v>46314</v>
      </c>
      <c r="F295" t="inlineStr">
        <is>
          <t>DALARNAS LÄN</t>
        </is>
      </c>
      <c r="G295" t="inlineStr">
        <is>
          <t>FALUN</t>
        </is>
      </c>
      <c r="I295" t="n">
        <v>3.7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1307-2025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45667</v>
      </c>
      <c r="E296" s="1" t="n">
        <v>46314</v>
      </c>
      <c r="F296" t="inlineStr">
        <is>
          <t>DALARNAS LÄN</t>
        </is>
      </c>
      <c r="G296" t="inlineStr">
        <is>
          <t>FALUN</t>
        </is>
      </c>
      <c r="I296" t="n">
        <v>2.5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8757-2024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45356</v>
      </c>
      <c r="E297" s="1" t="n">
        <v>46314</v>
      </c>
      <c r="F297" t="inlineStr">
        <is>
          <t>DALARNAS LÄN</t>
        </is>
      </c>
      <c r="G297" t="inlineStr">
        <is>
          <t>FALUN</t>
        </is>
      </c>
      <c r="I297" t="n">
        <v>23.3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16491-2025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45751</v>
      </c>
      <c r="E298" s="1" t="n">
        <v>46314</v>
      </c>
      <c r="F298" t="inlineStr">
        <is>
          <t>DALARNAS LÄN</t>
        </is>
      </c>
      <c r="G298" t="inlineStr">
        <is>
          <t>FALUN</t>
        </is>
      </c>
      <c r="H298" t="inlineStr">
        <is>
          <t>Övriga statliga verk och myndigheter</t>
        </is>
      </c>
      <c r="I298" t="n">
        <v>6.5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54537-2023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45233</v>
      </c>
      <c r="E299" s="1" t="n">
        <v>46314</v>
      </c>
      <c r="F299" t="inlineStr">
        <is>
          <t>DALARNAS LÄN</t>
        </is>
      </c>
      <c r="G299" t="inlineStr">
        <is>
          <t>FALUN</t>
        </is>
      </c>
      <c r="I299" t="n">
        <v>0.7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37998-2025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45881</v>
      </c>
      <c r="E300" s="1" t="n">
        <v>46314</v>
      </c>
      <c r="F300" t="inlineStr">
        <is>
          <t>DALARNAS LÄN</t>
        </is>
      </c>
      <c r="G300" t="inlineStr">
        <is>
          <t>FALUN</t>
        </is>
      </c>
      <c r="I300" t="n">
        <v>2.1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3336-2026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46041</v>
      </c>
      <c r="E301" s="1" t="n">
        <v>46314</v>
      </c>
      <c r="F301" t="inlineStr">
        <is>
          <t>DALARNAS LÄN</t>
        </is>
      </c>
      <c r="G301" t="inlineStr">
        <is>
          <t>FALUN</t>
        </is>
      </c>
      <c r="I301" t="n">
        <v>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3345-2026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46041</v>
      </c>
      <c r="E302" s="1" t="n">
        <v>46314</v>
      </c>
      <c r="F302" t="inlineStr">
        <is>
          <t>DALARNAS LÄN</t>
        </is>
      </c>
      <c r="G302" t="inlineStr">
        <is>
          <t>FALUN</t>
        </is>
      </c>
      <c r="I302" t="n">
        <v>5.7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2612-2026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46037</v>
      </c>
      <c r="E303" s="1" t="n">
        <v>46314</v>
      </c>
      <c r="F303" t="inlineStr">
        <is>
          <t>DALARNAS LÄN</t>
        </is>
      </c>
      <c r="G303" t="inlineStr">
        <is>
          <t>FALUN</t>
        </is>
      </c>
      <c r="H303" t="inlineStr">
        <is>
          <t>Bergvik skog väst AB</t>
        </is>
      </c>
      <c r="I303" t="n">
        <v>6.3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3132-2025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45678</v>
      </c>
      <c r="E304" s="1" t="n">
        <v>46314</v>
      </c>
      <c r="F304" t="inlineStr">
        <is>
          <t>DALARNAS LÄN</t>
        </is>
      </c>
      <c r="G304" t="inlineStr">
        <is>
          <t>FALUN</t>
        </is>
      </c>
      <c r="I304" t="n">
        <v>1.7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4887-2024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45329</v>
      </c>
      <c r="E305" s="1" t="n">
        <v>46314</v>
      </c>
      <c r="F305" t="inlineStr">
        <is>
          <t>DALARNAS LÄN</t>
        </is>
      </c>
      <c r="G305" t="inlineStr">
        <is>
          <t>FALUN</t>
        </is>
      </c>
      <c r="I305" t="n">
        <v>9.699999999999999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10084-2026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46073</v>
      </c>
      <c r="E306" s="1" t="n">
        <v>46314</v>
      </c>
      <c r="F306" t="inlineStr">
        <is>
          <t>DALARNAS LÄN</t>
        </is>
      </c>
      <c r="G306" t="inlineStr">
        <is>
          <t>FALUN</t>
        </is>
      </c>
      <c r="H306" t="inlineStr">
        <is>
          <t>Bergvik skog väst AB</t>
        </is>
      </c>
      <c r="I306" t="n">
        <v>1.6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37061-2025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45874</v>
      </c>
      <c r="E307" s="1" t="n">
        <v>46314</v>
      </c>
      <c r="F307" t="inlineStr">
        <is>
          <t>DALARNAS LÄN</t>
        </is>
      </c>
      <c r="G307" t="inlineStr">
        <is>
          <t>FALUN</t>
        </is>
      </c>
      <c r="I307" t="n">
        <v>2.7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105-2026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46024</v>
      </c>
      <c r="E308" s="1" t="n">
        <v>46314</v>
      </c>
      <c r="F308" t="inlineStr">
        <is>
          <t>DALARNAS LÄN</t>
        </is>
      </c>
      <c r="G308" t="inlineStr">
        <is>
          <t>FALUN</t>
        </is>
      </c>
      <c r="I308" t="n">
        <v>1.6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53067-2024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45611</v>
      </c>
      <c r="E309" s="1" t="n">
        <v>46314</v>
      </c>
      <c r="F309" t="inlineStr">
        <is>
          <t>DALARNAS LÄN</t>
        </is>
      </c>
      <c r="G309" t="inlineStr">
        <is>
          <t>FALUN</t>
        </is>
      </c>
      <c r="I309" t="n">
        <v>0.9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2595-2026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46037</v>
      </c>
      <c r="E310" s="1" t="n">
        <v>46314</v>
      </c>
      <c r="F310" t="inlineStr">
        <is>
          <t>DALARNAS LÄN</t>
        </is>
      </c>
      <c r="G310" t="inlineStr">
        <is>
          <t>FALUN</t>
        </is>
      </c>
      <c r="I310" t="n">
        <v>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53643-2024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45614</v>
      </c>
      <c r="E311" s="1" t="n">
        <v>46314</v>
      </c>
      <c r="F311" t="inlineStr">
        <is>
          <t>DALARNAS LÄN</t>
        </is>
      </c>
      <c r="G311" t="inlineStr">
        <is>
          <t>FALUN</t>
        </is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41961-2022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44830</v>
      </c>
      <c r="E312" s="1" t="n">
        <v>46314</v>
      </c>
      <c r="F312" t="inlineStr">
        <is>
          <t>DALARNAS LÄN</t>
        </is>
      </c>
      <c r="G312" t="inlineStr">
        <is>
          <t>FALUN</t>
        </is>
      </c>
      <c r="I312" t="n">
        <v>3.1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20198-2026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46139</v>
      </c>
      <c r="E313" s="1" t="n">
        <v>46314</v>
      </c>
      <c r="F313" t="inlineStr">
        <is>
          <t>DALARNAS LÄN</t>
        </is>
      </c>
      <c r="G313" t="inlineStr">
        <is>
          <t>FALUN</t>
        </is>
      </c>
      <c r="I313" t="n">
        <v>3.7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23512-2025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45792</v>
      </c>
      <c r="E314" s="1" t="n">
        <v>46314</v>
      </c>
      <c r="F314" t="inlineStr">
        <is>
          <t>DALARNAS LÄN</t>
        </is>
      </c>
      <c r="G314" t="inlineStr">
        <is>
          <t>FALUN</t>
        </is>
      </c>
      <c r="H314" t="inlineStr">
        <is>
          <t>Bergvik skog väst AB</t>
        </is>
      </c>
      <c r="I314" t="n">
        <v>7.1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3444-2026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46042</v>
      </c>
      <c r="E315" s="1" t="n">
        <v>46314</v>
      </c>
      <c r="F315" t="inlineStr">
        <is>
          <t>DALARNAS LÄN</t>
        </is>
      </c>
      <c r="G315" t="inlineStr">
        <is>
          <t>FALUN</t>
        </is>
      </c>
      <c r="I315" t="n">
        <v>6.6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38748-2025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45887</v>
      </c>
      <c r="E316" s="1" t="n">
        <v>46314</v>
      </c>
      <c r="F316" t="inlineStr">
        <is>
          <t>DALARNAS LÄN</t>
        </is>
      </c>
      <c r="G316" t="inlineStr">
        <is>
          <t>FALUN</t>
        </is>
      </c>
      <c r="H316" t="inlineStr">
        <is>
          <t>Bergvik skog väst AB</t>
        </is>
      </c>
      <c r="I316" t="n">
        <v>4.8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2380-2025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45673</v>
      </c>
      <c r="E317" s="1" t="n">
        <v>46314</v>
      </c>
      <c r="F317" t="inlineStr">
        <is>
          <t>DALARNAS LÄN</t>
        </is>
      </c>
      <c r="G317" t="inlineStr">
        <is>
          <t>FALUN</t>
        </is>
      </c>
      <c r="I317" t="n">
        <v>8.4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1422-2026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46031</v>
      </c>
      <c r="E318" s="1" t="n">
        <v>46314</v>
      </c>
      <c r="F318" t="inlineStr">
        <is>
          <t>DALARNAS LÄN</t>
        </is>
      </c>
      <c r="G318" t="inlineStr">
        <is>
          <t>FALUN</t>
        </is>
      </c>
      <c r="I318" t="n">
        <v>25.5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46561-2023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45198</v>
      </c>
      <c r="E319" s="1" t="n">
        <v>46314</v>
      </c>
      <c r="F319" t="inlineStr">
        <is>
          <t>DALARNAS LÄN</t>
        </is>
      </c>
      <c r="G319" t="inlineStr">
        <is>
          <t>FALUN</t>
        </is>
      </c>
      <c r="I319" t="n">
        <v>1.8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56474-2024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45625</v>
      </c>
      <c r="E320" s="1" t="n">
        <v>46314</v>
      </c>
      <c r="F320" t="inlineStr">
        <is>
          <t>DALARNAS LÄN</t>
        </is>
      </c>
      <c r="G320" t="inlineStr">
        <is>
          <t>FALUN</t>
        </is>
      </c>
      <c r="H320" t="inlineStr">
        <is>
          <t>Bergvik skog väst AB</t>
        </is>
      </c>
      <c r="I320" t="n">
        <v>4.7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7948-2026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46063</v>
      </c>
      <c r="E321" s="1" t="n">
        <v>46314</v>
      </c>
      <c r="F321" t="inlineStr">
        <is>
          <t>DALARNAS LÄN</t>
        </is>
      </c>
      <c r="G321" t="inlineStr">
        <is>
          <t>FALUN</t>
        </is>
      </c>
      <c r="I321" t="n">
        <v>0.9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2213-2026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46036</v>
      </c>
      <c r="E322" s="1" t="n">
        <v>46314</v>
      </c>
      <c r="F322" t="inlineStr">
        <is>
          <t>DALARNAS LÄN</t>
        </is>
      </c>
      <c r="G322" t="inlineStr">
        <is>
          <t>FALUN</t>
        </is>
      </c>
      <c r="I322" t="n">
        <v>2.6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4012-2026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46044</v>
      </c>
      <c r="E323" s="1" t="n">
        <v>46314</v>
      </c>
      <c r="F323" t="inlineStr">
        <is>
          <t>DALARNAS LÄN</t>
        </is>
      </c>
      <c r="G323" t="inlineStr">
        <is>
          <t>FALUN</t>
        </is>
      </c>
      <c r="I323" t="n">
        <v>3.2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49645-2024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45596</v>
      </c>
      <c r="E324" s="1" t="n">
        <v>46314</v>
      </c>
      <c r="F324" t="inlineStr">
        <is>
          <t>DALARNAS LÄN</t>
        </is>
      </c>
      <c r="G324" t="inlineStr">
        <is>
          <t>FALUN</t>
        </is>
      </c>
      <c r="H324" t="inlineStr">
        <is>
          <t>Bergvik skog väst AB</t>
        </is>
      </c>
      <c r="I324" t="n">
        <v>1.5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5767-2026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46051</v>
      </c>
      <c r="E325" s="1" t="n">
        <v>46314</v>
      </c>
      <c r="F325" t="inlineStr">
        <is>
          <t>DALARNAS LÄN</t>
        </is>
      </c>
      <c r="G325" t="inlineStr">
        <is>
          <t>FALUN</t>
        </is>
      </c>
      <c r="I325" t="n">
        <v>2.4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52271-2025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45953</v>
      </c>
      <c r="E326" s="1" t="n">
        <v>46314</v>
      </c>
      <c r="F326" t="inlineStr">
        <is>
          <t>DALARNAS LÄN</t>
        </is>
      </c>
      <c r="G326" t="inlineStr">
        <is>
          <t>FALUN</t>
        </is>
      </c>
      <c r="I326" t="n">
        <v>7.9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4915-2026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46045</v>
      </c>
      <c r="E327" s="1" t="n">
        <v>46314</v>
      </c>
      <c r="F327" t="inlineStr">
        <is>
          <t>DALARNAS LÄN</t>
        </is>
      </c>
      <c r="G327" t="inlineStr">
        <is>
          <t>FALUN</t>
        </is>
      </c>
      <c r="I327" t="n">
        <v>1.6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2600-2026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46037</v>
      </c>
      <c r="E328" s="1" t="n">
        <v>46314</v>
      </c>
      <c r="F328" t="inlineStr">
        <is>
          <t>DALARNAS LÄN</t>
        </is>
      </c>
      <c r="G328" t="inlineStr">
        <is>
          <t>FALUN</t>
        </is>
      </c>
      <c r="I328" t="n">
        <v>3.2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17905-2026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46122</v>
      </c>
      <c r="E329" s="1" t="n">
        <v>46314</v>
      </c>
      <c r="F329" t="inlineStr">
        <is>
          <t>DALARNAS LÄN</t>
        </is>
      </c>
      <c r="G329" t="inlineStr">
        <is>
          <t>FALUN</t>
        </is>
      </c>
      <c r="I329" t="n">
        <v>0.9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43236-2024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45567</v>
      </c>
      <c r="E330" s="1" t="n">
        <v>46314</v>
      </c>
      <c r="F330" t="inlineStr">
        <is>
          <t>DALARNAS LÄN</t>
        </is>
      </c>
      <c r="G330" t="inlineStr">
        <is>
          <t>FALUN</t>
        </is>
      </c>
      <c r="I330" t="n">
        <v>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5397-2024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45331</v>
      </c>
      <c r="E331" s="1" t="n">
        <v>46314</v>
      </c>
      <c r="F331" t="inlineStr">
        <is>
          <t>DALARNAS LÄN</t>
        </is>
      </c>
      <c r="G331" t="inlineStr">
        <is>
          <t>FALUN</t>
        </is>
      </c>
      <c r="I331" t="n">
        <v>7.8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12100-2026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46086</v>
      </c>
      <c r="E332" s="1" t="n">
        <v>46314</v>
      </c>
      <c r="F332" t="inlineStr">
        <is>
          <t>DALARNAS LÄN</t>
        </is>
      </c>
      <c r="G332" t="inlineStr">
        <is>
          <t>FALUN</t>
        </is>
      </c>
      <c r="H332" t="inlineStr">
        <is>
          <t>Bergvik skog väst AB</t>
        </is>
      </c>
      <c r="I332" t="n">
        <v>2.5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34507-2022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44792</v>
      </c>
      <c r="E333" s="1" t="n">
        <v>46314</v>
      </c>
      <c r="F333" t="inlineStr">
        <is>
          <t>DALARNAS LÄN</t>
        </is>
      </c>
      <c r="G333" t="inlineStr">
        <is>
          <t>FALUN</t>
        </is>
      </c>
      <c r="I333" t="n">
        <v>1.6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30804-2025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45831</v>
      </c>
      <c r="E334" s="1" t="n">
        <v>46314</v>
      </c>
      <c r="F334" t="inlineStr">
        <is>
          <t>DALARNAS LÄN</t>
        </is>
      </c>
      <c r="G334" t="inlineStr">
        <is>
          <t>FALUN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40308-2025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45895</v>
      </c>
      <c r="E335" s="1" t="n">
        <v>46314</v>
      </c>
      <c r="F335" t="inlineStr">
        <is>
          <t>DALARNAS LÄN</t>
        </is>
      </c>
      <c r="G335" t="inlineStr">
        <is>
          <t>FALUN</t>
        </is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2464-2026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46037</v>
      </c>
      <c r="E336" s="1" t="n">
        <v>46314</v>
      </c>
      <c r="F336" t="inlineStr">
        <is>
          <t>DALARNAS LÄN</t>
        </is>
      </c>
      <c r="G336" t="inlineStr">
        <is>
          <t>FALUN</t>
        </is>
      </c>
      <c r="I336" t="n">
        <v>1.5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20384-2026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46139</v>
      </c>
      <c r="E337" s="1" t="n">
        <v>46314</v>
      </c>
      <c r="F337" t="inlineStr">
        <is>
          <t>DALARNAS LÄN</t>
        </is>
      </c>
      <c r="G337" t="inlineStr">
        <is>
          <t>FALUN</t>
        </is>
      </c>
      <c r="H337" t="inlineStr">
        <is>
          <t>Bergvik skog väst AB</t>
        </is>
      </c>
      <c r="I337" t="n">
        <v>5.1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11316-2026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46080</v>
      </c>
      <c r="E338" s="1" t="n">
        <v>46314</v>
      </c>
      <c r="F338" t="inlineStr">
        <is>
          <t>DALARNAS LÄN</t>
        </is>
      </c>
      <c r="G338" t="inlineStr">
        <is>
          <t>FALUN</t>
        </is>
      </c>
      <c r="H338" t="inlineStr">
        <is>
          <t>Bergvik skog väst AB</t>
        </is>
      </c>
      <c r="I338" t="n">
        <v>2.6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53062-2024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45611</v>
      </c>
      <c r="E339" s="1" t="n">
        <v>46314</v>
      </c>
      <c r="F339" t="inlineStr">
        <is>
          <t>DALARNAS LÄN</t>
        </is>
      </c>
      <c r="G339" t="inlineStr">
        <is>
          <t>FALUN</t>
        </is>
      </c>
      <c r="H339" t="inlineStr">
        <is>
          <t>Bergvik skog väst AB</t>
        </is>
      </c>
      <c r="I339" t="n">
        <v>1.4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40585-2025</t>
        </is>
      </c>
      <c r="B340" t="inlineStr">
        <is>
          <t>avverkningsanmälan</t>
        </is>
      </c>
      <c r="C340" t="inlineStr">
        <is>
          <t>Avverkning för annat ändamål</t>
        </is>
      </c>
      <c r="D340" s="1" t="n">
        <v>45896</v>
      </c>
      <c r="E340" s="1" t="n">
        <v>46314</v>
      </c>
      <c r="F340" t="inlineStr">
        <is>
          <t>DALARNAS LÄN</t>
        </is>
      </c>
      <c r="G340" t="inlineStr">
        <is>
          <t>FALUN</t>
        </is>
      </c>
      <c r="I340" t="n">
        <v>0.7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29740-2025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45825</v>
      </c>
      <c r="E341" s="1" t="n">
        <v>46314</v>
      </c>
      <c r="F341" t="inlineStr">
        <is>
          <t>DALARNAS LÄN</t>
        </is>
      </c>
      <c r="G341" t="inlineStr">
        <is>
          <t>FALUN</t>
        </is>
      </c>
      <c r="I341" t="n">
        <v>4.7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19976-2026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46136</v>
      </c>
      <c r="E342" s="1" t="n">
        <v>46314</v>
      </c>
      <c r="F342" t="inlineStr">
        <is>
          <t>DALARNAS LÄN</t>
        </is>
      </c>
      <c r="G342" t="inlineStr">
        <is>
          <t>FALUN</t>
        </is>
      </c>
      <c r="I342" t="n">
        <v>40.2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7916-2023</t>
        </is>
      </c>
      <c r="B343" t="inlineStr">
        <is>
          <t>avverkningsanmälan</t>
        </is>
      </c>
      <c r="C343" t="inlineStr">
        <is>
          <t>Avverkning för annat ändamål</t>
        </is>
      </c>
      <c r="D343" s="1" t="n">
        <v>44973</v>
      </c>
      <c r="E343" s="1" t="n">
        <v>46314</v>
      </c>
      <c r="F343" t="inlineStr">
        <is>
          <t>DALARNAS LÄN</t>
        </is>
      </c>
      <c r="G343" t="inlineStr">
        <is>
          <t>FALUN</t>
        </is>
      </c>
      <c r="I343" t="n">
        <v>22.8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19031-2026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46131</v>
      </c>
      <c r="E344" s="1" t="n">
        <v>46314</v>
      </c>
      <c r="F344" t="inlineStr">
        <is>
          <t>DALARNAS LÄN</t>
        </is>
      </c>
      <c r="G344" t="inlineStr">
        <is>
          <t>FALUN</t>
        </is>
      </c>
      <c r="I344" t="n">
        <v>1.1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63723-2023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45276</v>
      </c>
      <c r="E345" s="1" t="n">
        <v>46314</v>
      </c>
      <c r="F345" t="inlineStr">
        <is>
          <t>DALARNAS LÄN</t>
        </is>
      </c>
      <c r="G345" t="inlineStr">
        <is>
          <t>FALUN</t>
        </is>
      </c>
      <c r="I345" t="n">
        <v>1.5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39639-2025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45890</v>
      </c>
      <c r="E346" s="1" t="n">
        <v>46314</v>
      </c>
      <c r="F346" t="inlineStr">
        <is>
          <t>DALARNAS LÄN</t>
        </is>
      </c>
      <c r="G346" t="inlineStr">
        <is>
          <t>FALUN</t>
        </is>
      </c>
      <c r="H346" t="inlineStr">
        <is>
          <t>Bergvik skog väst AB</t>
        </is>
      </c>
      <c r="I346" t="n">
        <v>5.6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50184-2022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44865</v>
      </c>
      <c r="E347" s="1" t="n">
        <v>46314</v>
      </c>
      <c r="F347" t="inlineStr">
        <is>
          <t>DALARNAS LÄN</t>
        </is>
      </c>
      <c r="G347" t="inlineStr">
        <is>
          <t>FALUN</t>
        </is>
      </c>
      <c r="I347" t="n">
        <v>1.3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40459-2025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45895</v>
      </c>
      <c r="E348" s="1" t="n">
        <v>46314</v>
      </c>
      <c r="F348" t="inlineStr">
        <is>
          <t>DALARNAS LÄN</t>
        </is>
      </c>
      <c r="G348" t="inlineStr">
        <is>
          <t>FALUN</t>
        </is>
      </c>
      <c r="I348" t="n">
        <v>1.2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52989-2024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45611</v>
      </c>
      <c r="E349" s="1" t="n">
        <v>46314</v>
      </c>
      <c r="F349" t="inlineStr">
        <is>
          <t>DALARNAS LÄN</t>
        </is>
      </c>
      <c r="G349" t="inlineStr">
        <is>
          <t>FALUN</t>
        </is>
      </c>
      <c r="H349" t="inlineStr">
        <is>
          <t>Bergvik skog väst AB</t>
        </is>
      </c>
      <c r="I349" t="n">
        <v>1.2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24467-2025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45798</v>
      </c>
      <c r="E350" s="1" t="n">
        <v>46314</v>
      </c>
      <c r="F350" t="inlineStr">
        <is>
          <t>DALARNAS LÄN</t>
        </is>
      </c>
      <c r="G350" t="inlineStr">
        <is>
          <t>FALUN</t>
        </is>
      </c>
      <c r="I350" t="n">
        <v>1.7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31077-2023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45113</v>
      </c>
      <c r="E351" s="1" t="n">
        <v>46314</v>
      </c>
      <c r="F351" t="inlineStr">
        <is>
          <t>DALARNAS LÄN</t>
        </is>
      </c>
      <c r="G351" t="inlineStr">
        <is>
          <t>FALUN</t>
        </is>
      </c>
      <c r="I351" t="n">
        <v>0.9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17349-2026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46119</v>
      </c>
      <c r="E352" s="1" t="n">
        <v>46314</v>
      </c>
      <c r="F352" t="inlineStr">
        <is>
          <t>DALARNAS LÄN</t>
        </is>
      </c>
      <c r="G352" t="inlineStr">
        <is>
          <t>FALUN</t>
        </is>
      </c>
      <c r="H352" t="inlineStr">
        <is>
          <t>Bergvik skog väst AB</t>
        </is>
      </c>
      <c r="I352" t="n">
        <v>4.9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40593-2025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45896</v>
      </c>
      <c r="E353" s="1" t="n">
        <v>46314</v>
      </c>
      <c r="F353" t="inlineStr">
        <is>
          <t>DALARNAS LÄN</t>
        </is>
      </c>
      <c r="G353" t="inlineStr">
        <is>
          <t>FALUN</t>
        </is>
      </c>
      <c r="I353" t="n">
        <v>1.5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40775-2025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45897</v>
      </c>
      <c r="E354" s="1" t="n">
        <v>46314</v>
      </c>
      <c r="F354" t="inlineStr">
        <is>
          <t>DALARNAS LÄN</t>
        </is>
      </c>
      <c r="G354" t="inlineStr">
        <is>
          <t>FALUN</t>
        </is>
      </c>
      <c r="H354" t="inlineStr">
        <is>
          <t>Bergvik skog väst AB</t>
        </is>
      </c>
      <c r="I354" t="n">
        <v>28.2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43736-2024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45569</v>
      </c>
      <c r="E355" s="1" t="n">
        <v>46314</v>
      </c>
      <c r="F355" t="inlineStr">
        <is>
          <t>DALARNAS LÄN</t>
        </is>
      </c>
      <c r="G355" t="inlineStr">
        <is>
          <t>FALUN</t>
        </is>
      </c>
      <c r="I355" t="n">
        <v>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8368-2026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46064</v>
      </c>
      <c r="E356" s="1" t="n">
        <v>46314</v>
      </c>
      <c r="F356" t="inlineStr">
        <is>
          <t>DALARNAS LÄN</t>
        </is>
      </c>
      <c r="G356" t="inlineStr">
        <is>
          <t>FALUN</t>
        </is>
      </c>
      <c r="I356" t="n">
        <v>1.7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40582-2025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45896</v>
      </c>
      <c r="E357" s="1" t="n">
        <v>46314</v>
      </c>
      <c r="F357" t="inlineStr">
        <is>
          <t>DALARNAS LÄN</t>
        </is>
      </c>
      <c r="G357" t="inlineStr">
        <is>
          <t>FALUN</t>
        </is>
      </c>
      <c r="I357" t="n">
        <v>1.7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14484-2024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45394</v>
      </c>
      <c r="E358" s="1" t="n">
        <v>46314</v>
      </c>
      <c r="F358" t="inlineStr">
        <is>
          <t>DALARNAS LÄN</t>
        </is>
      </c>
      <c r="G358" t="inlineStr">
        <is>
          <t>FALUN</t>
        </is>
      </c>
      <c r="I358" t="n">
        <v>1.5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44-2026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46014</v>
      </c>
      <c r="E359" s="1" t="n">
        <v>46314</v>
      </c>
      <c r="F359" t="inlineStr">
        <is>
          <t>DALARNAS LÄN</t>
        </is>
      </c>
      <c r="G359" t="inlineStr">
        <is>
          <t>FALUN</t>
        </is>
      </c>
      <c r="I359" t="n">
        <v>1.8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20197-2026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46139</v>
      </c>
      <c r="E360" s="1" t="n">
        <v>46314</v>
      </c>
      <c r="F360" t="inlineStr">
        <is>
          <t>DALARNAS LÄN</t>
        </is>
      </c>
      <c r="G360" t="inlineStr">
        <is>
          <t>FALUN</t>
        </is>
      </c>
      <c r="I360" t="n">
        <v>0.8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6539-2026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46056</v>
      </c>
      <c r="E361" s="1" t="n">
        <v>46314</v>
      </c>
      <c r="F361" t="inlineStr">
        <is>
          <t>DALARNAS LÄN</t>
        </is>
      </c>
      <c r="G361" t="inlineStr">
        <is>
          <t>FALUN</t>
        </is>
      </c>
      <c r="I361" t="n">
        <v>3.3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16236-2026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46111</v>
      </c>
      <c r="E362" s="1" t="n">
        <v>46314</v>
      </c>
      <c r="F362" t="inlineStr">
        <is>
          <t>DALARNAS LÄN</t>
        </is>
      </c>
      <c r="G362" t="inlineStr">
        <is>
          <t>FALUN</t>
        </is>
      </c>
      <c r="I362" t="n">
        <v>14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1303-2026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46031</v>
      </c>
      <c r="E363" s="1" t="n">
        <v>46314</v>
      </c>
      <c r="F363" t="inlineStr">
        <is>
          <t>DALARNAS LÄN</t>
        </is>
      </c>
      <c r="G363" t="inlineStr">
        <is>
          <t>FALUN</t>
        </is>
      </c>
      <c r="I363" t="n">
        <v>3.5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9587-2026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46071</v>
      </c>
      <c r="E364" s="1" t="n">
        <v>46314</v>
      </c>
      <c r="F364" t="inlineStr">
        <is>
          <t>DALARNAS LÄN</t>
        </is>
      </c>
      <c r="G364" t="inlineStr">
        <is>
          <t>FALUN</t>
        </is>
      </c>
      <c r="H364" t="inlineStr">
        <is>
          <t>Bergvik skog väst AB</t>
        </is>
      </c>
      <c r="I364" t="n">
        <v>4.7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19579-2026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46134</v>
      </c>
      <c r="E365" s="1" t="n">
        <v>46314</v>
      </c>
      <c r="F365" t="inlineStr">
        <is>
          <t>DALARNAS LÄN</t>
        </is>
      </c>
      <c r="G365" t="inlineStr">
        <is>
          <t>FALUN</t>
        </is>
      </c>
      <c r="I365" t="n">
        <v>2.3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12366-2026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46089</v>
      </c>
      <c r="E366" s="1" t="n">
        <v>46314</v>
      </c>
      <c r="F366" t="inlineStr">
        <is>
          <t>DALARNAS LÄN</t>
        </is>
      </c>
      <c r="G366" t="inlineStr">
        <is>
          <t>FALUN</t>
        </is>
      </c>
      <c r="I366" t="n">
        <v>1.9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28249-2023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45099</v>
      </c>
      <c r="E367" s="1" t="n">
        <v>46314</v>
      </c>
      <c r="F367" t="inlineStr">
        <is>
          <t>DALARNAS LÄN</t>
        </is>
      </c>
      <c r="G367" t="inlineStr">
        <is>
          <t>FALUN</t>
        </is>
      </c>
      <c r="H367" t="inlineStr">
        <is>
          <t>Bergvik skog väst AB</t>
        </is>
      </c>
      <c r="I367" t="n">
        <v>0.9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32753-2025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45838</v>
      </c>
      <c r="E368" s="1" t="n">
        <v>46314</v>
      </c>
      <c r="F368" t="inlineStr">
        <is>
          <t>DALARNAS LÄN</t>
        </is>
      </c>
      <c r="G368" t="inlineStr">
        <is>
          <t>FALUN</t>
        </is>
      </c>
      <c r="I368" t="n">
        <v>1.9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30593-2025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45831</v>
      </c>
      <c r="E369" s="1" t="n">
        <v>46314</v>
      </c>
      <c r="F369" t="inlineStr">
        <is>
          <t>DALARNAS LÄN</t>
        </is>
      </c>
      <c r="G369" t="inlineStr">
        <is>
          <t>FALUN</t>
        </is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20633-2026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46141</v>
      </c>
      <c r="E370" s="1" t="n">
        <v>46314</v>
      </c>
      <c r="F370" t="inlineStr">
        <is>
          <t>DALARNAS LÄN</t>
        </is>
      </c>
      <c r="G370" t="inlineStr">
        <is>
          <t>FALUN</t>
        </is>
      </c>
      <c r="H370" t="inlineStr">
        <is>
          <t>Bergvik skog väst AB</t>
        </is>
      </c>
      <c r="I370" t="n">
        <v>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20657-2026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46141</v>
      </c>
      <c r="E371" s="1" t="n">
        <v>46314</v>
      </c>
      <c r="F371" t="inlineStr">
        <is>
          <t>DALARNAS LÄN</t>
        </is>
      </c>
      <c r="G371" t="inlineStr">
        <is>
          <t>FALUN</t>
        </is>
      </c>
      <c r="I371" t="n">
        <v>5.9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1697-2025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45670</v>
      </c>
      <c r="E372" s="1" t="n">
        <v>46314</v>
      </c>
      <c r="F372" t="inlineStr">
        <is>
          <t>DALARNAS LÄN</t>
        </is>
      </c>
      <c r="G372" t="inlineStr">
        <is>
          <t>FALUN</t>
        </is>
      </c>
      <c r="I372" t="n">
        <v>13.5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15672-2026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46106</v>
      </c>
      <c r="E373" s="1" t="n">
        <v>46314</v>
      </c>
      <c r="F373" t="inlineStr">
        <is>
          <t>DALARNAS LÄN</t>
        </is>
      </c>
      <c r="G373" t="inlineStr">
        <is>
          <t>FALUN</t>
        </is>
      </c>
      <c r="I373" t="n">
        <v>5.7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2288-2026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46036</v>
      </c>
      <c r="E374" s="1" t="n">
        <v>46314</v>
      </c>
      <c r="F374" t="inlineStr">
        <is>
          <t>DALARNAS LÄN</t>
        </is>
      </c>
      <c r="G374" t="inlineStr">
        <is>
          <t>FALUN</t>
        </is>
      </c>
      <c r="I374" t="n">
        <v>2.5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5762-2026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46051</v>
      </c>
      <c r="E375" s="1" t="n">
        <v>46314</v>
      </c>
      <c r="F375" t="inlineStr">
        <is>
          <t>DALARNAS LÄN</t>
        </is>
      </c>
      <c r="G375" t="inlineStr">
        <is>
          <t>FALUN</t>
        </is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64521-2023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45281</v>
      </c>
      <c r="E376" s="1" t="n">
        <v>46314</v>
      </c>
      <c r="F376" t="inlineStr">
        <is>
          <t>DALARNAS LÄN</t>
        </is>
      </c>
      <c r="G376" t="inlineStr">
        <is>
          <t>FALUN</t>
        </is>
      </c>
      <c r="I376" t="n">
        <v>1.7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4508-2026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46045</v>
      </c>
      <c r="E377" s="1" t="n">
        <v>46314</v>
      </c>
      <c r="F377" t="inlineStr">
        <is>
          <t>DALARNAS LÄN</t>
        </is>
      </c>
      <c r="G377" t="inlineStr">
        <is>
          <t>FALUN</t>
        </is>
      </c>
      <c r="I377" t="n">
        <v>1.8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13514-2026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46094</v>
      </c>
      <c r="E378" s="1" t="n">
        <v>46314</v>
      </c>
      <c r="F378" t="inlineStr">
        <is>
          <t>DALARNAS LÄN</t>
        </is>
      </c>
      <c r="G378" t="inlineStr">
        <is>
          <t>FALUN</t>
        </is>
      </c>
      <c r="H378" t="inlineStr">
        <is>
          <t>Bergvik skog väst AB</t>
        </is>
      </c>
      <c r="I378" t="n">
        <v>17.2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39187-2025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45888</v>
      </c>
      <c r="E379" s="1" t="n">
        <v>46314</v>
      </c>
      <c r="F379" t="inlineStr">
        <is>
          <t>DALARNAS LÄN</t>
        </is>
      </c>
      <c r="G379" t="inlineStr">
        <is>
          <t>FALUN</t>
        </is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16542-2026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46112</v>
      </c>
      <c r="E380" s="1" t="n">
        <v>46314</v>
      </c>
      <c r="F380" t="inlineStr">
        <is>
          <t>DALARNAS LÄN</t>
        </is>
      </c>
      <c r="G380" t="inlineStr">
        <is>
          <t>FALUN</t>
        </is>
      </c>
      <c r="I380" t="n">
        <v>1.5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8590-2026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46065</v>
      </c>
      <c r="E381" s="1" t="n">
        <v>46314</v>
      </c>
      <c r="F381" t="inlineStr">
        <is>
          <t>DALARNAS LÄN</t>
        </is>
      </c>
      <c r="G381" t="inlineStr">
        <is>
          <t>FALUN</t>
        </is>
      </c>
      <c r="I381" t="n">
        <v>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3100-2026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46041</v>
      </c>
      <c r="E382" s="1" t="n">
        <v>46314</v>
      </c>
      <c r="F382" t="inlineStr">
        <is>
          <t>DALARNAS LÄN</t>
        </is>
      </c>
      <c r="G382" t="inlineStr">
        <is>
          <t>FALUN</t>
        </is>
      </c>
      <c r="I382" t="n">
        <v>2.6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15535-2023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45020</v>
      </c>
      <c r="E383" s="1" t="n">
        <v>46314</v>
      </c>
      <c r="F383" t="inlineStr">
        <is>
          <t>DALARNAS LÄN</t>
        </is>
      </c>
      <c r="G383" t="inlineStr">
        <is>
          <t>FALUN</t>
        </is>
      </c>
      <c r="I383" t="n">
        <v>3.6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10717-2026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46078</v>
      </c>
      <c r="E384" s="1" t="n">
        <v>46314</v>
      </c>
      <c r="F384" t="inlineStr">
        <is>
          <t>DALARNAS LÄN</t>
        </is>
      </c>
      <c r="G384" t="inlineStr">
        <is>
          <t>FALUN</t>
        </is>
      </c>
      <c r="I384" t="n">
        <v>1.4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6541-2026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46056</v>
      </c>
      <c r="E385" s="1" t="n">
        <v>46314</v>
      </c>
      <c r="F385" t="inlineStr">
        <is>
          <t>DALARNAS LÄN</t>
        </is>
      </c>
      <c r="G385" t="inlineStr">
        <is>
          <t>FALUN</t>
        </is>
      </c>
      <c r="I385" t="n">
        <v>7.8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12232-2026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46087</v>
      </c>
      <c r="E386" s="1" t="n">
        <v>46314</v>
      </c>
      <c r="F386" t="inlineStr">
        <is>
          <t>DALARNAS LÄN</t>
        </is>
      </c>
      <c r="G386" t="inlineStr">
        <is>
          <t>FALUN</t>
        </is>
      </c>
      <c r="I386" t="n">
        <v>7.5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15147-2026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46104</v>
      </c>
      <c r="E387" s="1" t="n">
        <v>46314</v>
      </c>
      <c r="F387" t="inlineStr">
        <is>
          <t>DALARNAS LÄN</t>
        </is>
      </c>
      <c r="G387" t="inlineStr">
        <is>
          <t>FALUN</t>
        </is>
      </c>
      <c r="H387" t="inlineStr">
        <is>
          <t>Allmännings- och besparingsskogar</t>
        </is>
      </c>
      <c r="I387" t="n">
        <v>7.8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3589-2026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46042</v>
      </c>
      <c r="E388" s="1" t="n">
        <v>46314</v>
      </c>
      <c r="F388" t="inlineStr">
        <is>
          <t>DALARNAS LÄN</t>
        </is>
      </c>
      <c r="G388" t="inlineStr">
        <is>
          <t>FALUN</t>
        </is>
      </c>
      <c r="I388" t="n">
        <v>8.6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6889-2026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46057</v>
      </c>
      <c r="E389" s="1" t="n">
        <v>46314</v>
      </c>
      <c r="F389" t="inlineStr">
        <is>
          <t>DALARNAS LÄN</t>
        </is>
      </c>
      <c r="G389" t="inlineStr">
        <is>
          <t>FALUN</t>
        </is>
      </c>
      <c r="I389" t="n">
        <v>5.9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13103-2026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46093</v>
      </c>
      <c r="E390" s="1" t="n">
        <v>46314</v>
      </c>
      <c r="F390" t="inlineStr">
        <is>
          <t>DALARNAS LÄN</t>
        </is>
      </c>
      <c r="G390" t="inlineStr">
        <is>
          <t>FALUN</t>
        </is>
      </c>
      <c r="I390" t="n">
        <v>1.1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4904-2026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46048</v>
      </c>
      <c r="E391" s="1" t="n">
        <v>46314</v>
      </c>
      <c r="F391" t="inlineStr">
        <is>
          <t>DALARNAS LÄN</t>
        </is>
      </c>
      <c r="G391" t="inlineStr">
        <is>
          <t>FALUN</t>
        </is>
      </c>
      <c r="I391" t="n">
        <v>1.7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8435-2025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45709</v>
      </c>
      <c r="E392" s="1" t="n">
        <v>46314</v>
      </c>
      <c r="F392" t="inlineStr">
        <is>
          <t>DALARNAS LÄN</t>
        </is>
      </c>
      <c r="G392" t="inlineStr">
        <is>
          <t>FALUN</t>
        </is>
      </c>
      <c r="I392" t="n">
        <v>4.1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64077-2025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46021</v>
      </c>
      <c r="E393" s="1" t="n">
        <v>46314</v>
      </c>
      <c r="F393" t="inlineStr">
        <is>
          <t>DALARNAS LÄN</t>
        </is>
      </c>
      <c r="G393" t="inlineStr">
        <is>
          <t>FALUN</t>
        </is>
      </c>
      <c r="I393" t="n">
        <v>6.9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2742-2026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46038</v>
      </c>
      <c r="E394" s="1" t="n">
        <v>46314</v>
      </c>
      <c r="F394" t="inlineStr">
        <is>
          <t>DALARNAS LÄN</t>
        </is>
      </c>
      <c r="G394" t="inlineStr">
        <is>
          <t>FALUN</t>
        </is>
      </c>
      <c r="I394" t="n">
        <v>1.8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14009-2026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46098</v>
      </c>
      <c r="E395" s="1" t="n">
        <v>46314</v>
      </c>
      <c r="F395" t="inlineStr">
        <is>
          <t>DALARNAS LÄN</t>
        </is>
      </c>
      <c r="G395" t="inlineStr">
        <is>
          <t>FALUN</t>
        </is>
      </c>
      <c r="I395" t="n">
        <v>5.4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12740-2026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46091</v>
      </c>
      <c r="E396" s="1" t="n">
        <v>46314</v>
      </c>
      <c r="F396" t="inlineStr">
        <is>
          <t>DALARNAS LÄN</t>
        </is>
      </c>
      <c r="G396" t="inlineStr">
        <is>
          <t>FALUN</t>
        </is>
      </c>
      <c r="I396" t="n">
        <v>7.9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5501-2026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46050</v>
      </c>
      <c r="E397" s="1" t="n">
        <v>46314</v>
      </c>
      <c r="F397" t="inlineStr">
        <is>
          <t>DALARNAS LÄN</t>
        </is>
      </c>
      <c r="G397" t="inlineStr">
        <is>
          <t>FALUN</t>
        </is>
      </c>
      <c r="I397" t="n">
        <v>1.6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18666-2026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46128</v>
      </c>
      <c r="E398" s="1" t="n">
        <v>46314</v>
      </c>
      <c r="F398" t="inlineStr">
        <is>
          <t>DALARNAS LÄN</t>
        </is>
      </c>
      <c r="G398" t="inlineStr">
        <is>
          <t>FALUN</t>
        </is>
      </c>
      <c r="H398" t="inlineStr">
        <is>
          <t>Bergvik skog väst AB</t>
        </is>
      </c>
      <c r="I398" t="n">
        <v>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34103-2024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45523</v>
      </c>
      <c r="E399" s="1" t="n">
        <v>46314</v>
      </c>
      <c r="F399" t="inlineStr">
        <is>
          <t>DALARNAS LÄN</t>
        </is>
      </c>
      <c r="G399" t="inlineStr">
        <is>
          <t>FALUN</t>
        </is>
      </c>
      <c r="I399" t="n">
        <v>2.3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17313-2026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46119</v>
      </c>
      <c r="E400" s="1" t="n">
        <v>46314</v>
      </c>
      <c r="F400" t="inlineStr">
        <is>
          <t>DALARNAS LÄN</t>
        </is>
      </c>
      <c r="G400" t="inlineStr">
        <is>
          <t>FALUN</t>
        </is>
      </c>
      <c r="I400" t="n">
        <v>1.7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1627-2026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46034</v>
      </c>
      <c r="E401" s="1" t="n">
        <v>46314</v>
      </c>
      <c r="F401" t="inlineStr">
        <is>
          <t>DALARNAS LÄN</t>
        </is>
      </c>
      <c r="G401" t="inlineStr">
        <is>
          <t>FALUN</t>
        </is>
      </c>
      <c r="I401" t="n">
        <v>11.6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1628-2026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46034</v>
      </c>
      <c r="E402" s="1" t="n">
        <v>46314</v>
      </c>
      <c r="F402" t="inlineStr">
        <is>
          <t>DALARNAS LÄN</t>
        </is>
      </c>
      <c r="G402" t="inlineStr">
        <is>
          <t>FALUN</t>
        </is>
      </c>
      <c r="I402" t="n">
        <v>11.6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2611-2026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46037</v>
      </c>
      <c r="E403" s="1" t="n">
        <v>46314</v>
      </c>
      <c r="F403" t="inlineStr">
        <is>
          <t>DALARNAS LÄN</t>
        </is>
      </c>
      <c r="G403" t="inlineStr">
        <is>
          <t>FALUN</t>
        </is>
      </c>
      <c r="H403" t="inlineStr">
        <is>
          <t>Bergvik skog väst AB</t>
        </is>
      </c>
      <c r="I403" t="n">
        <v>26.2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14473-2025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45741</v>
      </c>
      <c r="E404" s="1" t="n">
        <v>46314</v>
      </c>
      <c r="F404" t="inlineStr">
        <is>
          <t>DALARNAS LÄN</t>
        </is>
      </c>
      <c r="G404" t="inlineStr">
        <is>
          <t>FALUN</t>
        </is>
      </c>
      <c r="I404" t="n">
        <v>2.5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2367-2026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46036</v>
      </c>
      <c r="E405" s="1" t="n">
        <v>46314</v>
      </c>
      <c r="F405" t="inlineStr">
        <is>
          <t>DALARNAS LÄN</t>
        </is>
      </c>
      <c r="G405" t="inlineStr">
        <is>
          <t>FALUN</t>
        </is>
      </c>
      <c r="I405" t="n">
        <v>1.3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15330-2026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46105</v>
      </c>
      <c r="E406" s="1" t="n">
        <v>46314</v>
      </c>
      <c r="F406" t="inlineStr">
        <is>
          <t>DALARNAS LÄN</t>
        </is>
      </c>
      <c r="G406" t="inlineStr">
        <is>
          <t>FALUN</t>
        </is>
      </c>
      <c r="H406" t="inlineStr">
        <is>
          <t>Bergvik skog väst AB</t>
        </is>
      </c>
      <c r="I406" t="n">
        <v>5.3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10462-2026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46077</v>
      </c>
      <c r="E407" s="1" t="n">
        <v>46314</v>
      </c>
      <c r="F407" t="inlineStr">
        <is>
          <t>DALARNAS LÄN</t>
        </is>
      </c>
      <c r="G407" t="inlineStr">
        <is>
          <t>FALUN</t>
        </is>
      </c>
      <c r="I407" t="n">
        <v>2.3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20402-2026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46140</v>
      </c>
      <c r="E408" s="1" t="n">
        <v>46314</v>
      </c>
      <c r="F408" t="inlineStr">
        <is>
          <t>DALARNAS LÄN</t>
        </is>
      </c>
      <c r="G408" t="inlineStr">
        <is>
          <t>FALUN</t>
        </is>
      </c>
      <c r="I408" t="n">
        <v>1.4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2284-2026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46036</v>
      </c>
      <c r="E409" s="1" t="n">
        <v>46314</v>
      </c>
      <c r="F409" t="inlineStr">
        <is>
          <t>DALARNAS LÄN</t>
        </is>
      </c>
      <c r="G409" t="inlineStr">
        <is>
          <t>FALUN</t>
        </is>
      </c>
      <c r="I409" t="n">
        <v>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2557-2026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46037</v>
      </c>
      <c r="E410" s="1" t="n">
        <v>46314</v>
      </c>
      <c r="F410" t="inlineStr">
        <is>
          <t>DALARNAS LÄN</t>
        </is>
      </c>
      <c r="G410" t="inlineStr">
        <is>
          <t>FALUN</t>
        </is>
      </c>
      <c r="I410" t="n">
        <v>17.4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41371-2025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45900</v>
      </c>
      <c r="E411" s="1" t="n">
        <v>46314</v>
      </c>
      <c r="F411" t="inlineStr">
        <is>
          <t>DALARNAS LÄN</t>
        </is>
      </c>
      <c r="G411" t="inlineStr">
        <is>
          <t>FALUN</t>
        </is>
      </c>
      <c r="I411" t="n">
        <v>0.8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20223-2026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46139</v>
      </c>
      <c r="E412" s="1" t="n">
        <v>46314</v>
      </c>
      <c r="F412" t="inlineStr">
        <is>
          <t>DALARNAS LÄN</t>
        </is>
      </c>
      <c r="G412" t="inlineStr">
        <is>
          <t>FALUN</t>
        </is>
      </c>
      <c r="I412" t="n">
        <v>58.1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4739-2026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46048</v>
      </c>
      <c r="E413" s="1" t="n">
        <v>46314</v>
      </c>
      <c r="F413" t="inlineStr">
        <is>
          <t>DALARNAS LÄN</t>
        </is>
      </c>
      <c r="G413" t="inlineStr">
        <is>
          <t>FALUN</t>
        </is>
      </c>
      <c r="I413" t="n">
        <v>3.3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5546-2026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46050</v>
      </c>
      <c r="E414" s="1" t="n">
        <v>46314</v>
      </c>
      <c r="F414" t="inlineStr">
        <is>
          <t>DALARNAS LÄN</t>
        </is>
      </c>
      <c r="G414" t="inlineStr">
        <is>
          <t>FALUN</t>
        </is>
      </c>
      <c r="I414" t="n">
        <v>7.7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20403-2026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46140</v>
      </c>
      <c r="E415" s="1" t="n">
        <v>46314</v>
      </c>
      <c r="F415" t="inlineStr">
        <is>
          <t>DALARNAS LÄN</t>
        </is>
      </c>
      <c r="G415" t="inlineStr">
        <is>
          <t>FALUN</t>
        </is>
      </c>
      <c r="H415" t="inlineStr">
        <is>
          <t>Bergvik skog väst AB</t>
        </is>
      </c>
      <c r="I415" t="n">
        <v>25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20765-2026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46141</v>
      </c>
      <c r="E416" s="1" t="n">
        <v>46314</v>
      </c>
      <c r="F416" t="inlineStr">
        <is>
          <t>DALARNAS LÄN</t>
        </is>
      </c>
      <c r="G416" t="inlineStr">
        <is>
          <t>FALUN</t>
        </is>
      </c>
      <c r="H416" t="inlineStr">
        <is>
          <t>Bergvik skog väst AB</t>
        </is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8122-2026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46063</v>
      </c>
      <c r="E417" s="1" t="n">
        <v>46314</v>
      </c>
      <c r="F417" t="inlineStr">
        <is>
          <t>DALARNAS LÄN</t>
        </is>
      </c>
      <c r="G417" t="inlineStr">
        <is>
          <t>FALUN</t>
        </is>
      </c>
      <c r="I417" t="n">
        <v>6.4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13073-2026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46093</v>
      </c>
      <c r="E418" s="1" t="n">
        <v>46314</v>
      </c>
      <c r="F418" t="inlineStr">
        <is>
          <t>DALARNAS LÄN</t>
        </is>
      </c>
      <c r="G418" t="inlineStr">
        <is>
          <t>FALUN</t>
        </is>
      </c>
      <c r="H418" t="inlineStr">
        <is>
          <t>Allmännings- och besparingsskogar</t>
        </is>
      </c>
      <c r="I418" t="n">
        <v>0.8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9037-2026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46069</v>
      </c>
      <c r="E419" s="1" t="n">
        <v>46314</v>
      </c>
      <c r="F419" t="inlineStr">
        <is>
          <t>DALARNAS LÄN</t>
        </is>
      </c>
      <c r="G419" t="inlineStr">
        <is>
          <t>FALUN</t>
        </is>
      </c>
      <c r="H419" t="inlineStr">
        <is>
          <t>Bergvik skog väst AB</t>
        </is>
      </c>
      <c r="I419" t="n">
        <v>27.8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9131-2026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46069</v>
      </c>
      <c r="E420" s="1" t="n">
        <v>46314</v>
      </c>
      <c r="F420" t="inlineStr">
        <is>
          <t>DALARNAS LÄN</t>
        </is>
      </c>
      <c r="G420" t="inlineStr">
        <is>
          <t>FALUN</t>
        </is>
      </c>
      <c r="I420" t="n">
        <v>2.1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12231-2026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46087</v>
      </c>
      <c r="E421" s="1" t="n">
        <v>46314</v>
      </c>
      <c r="F421" t="inlineStr">
        <is>
          <t>DALARNAS LÄN</t>
        </is>
      </c>
      <c r="G421" t="inlineStr">
        <is>
          <t>FALUN</t>
        </is>
      </c>
      <c r="H421" t="inlineStr">
        <is>
          <t>Bergvik skog väst AB</t>
        </is>
      </c>
      <c r="I421" t="n">
        <v>1.3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283-2026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46027</v>
      </c>
      <c r="E422" s="1" t="n">
        <v>46314</v>
      </c>
      <c r="F422" t="inlineStr">
        <is>
          <t>DALARNAS LÄN</t>
        </is>
      </c>
      <c r="G422" t="inlineStr">
        <is>
          <t>FALUN</t>
        </is>
      </c>
      <c r="I422" t="n">
        <v>1.1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4932-2026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46045</v>
      </c>
      <c r="E423" s="1" t="n">
        <v>46314</v>
      </c>
      <c r="F423" t="inlineStr">
        <is>
          <t>DALARNAS LÄN</t>
        </is>
      </c>
      <c r="G423" t="inlineStr">
        <is>
          <t>FALUN</t>
        </is>
      </c>
      <c r="I423" t="n">
        <v>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43300-2025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45910</v>
      </c>
      <c r="E424" s="1" t="n">
        <v>46314</v>
      </c>
      <c r="F424" t="inlineStr">
        <is>
          <t>DALARNAS LÄN</t>
        </is>
      </c>
      <c r="G424" t="inlineStr">
        <is>
          <t>FALUN</t>
        </is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41974-2025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45903</v>
      </c>
      <c r="E425" s="1" t="n">
        <v>46314</v>
      </c>
      <c r="F425" t="inlineStr">
        <is>
          <t>DALARNAS LÄN</t>
        </is>
      </c>
      <c r="G425" t="inlineStr">
        <is>
          <t>FALUN</t>
        </is>
      </c>
      <c r="H425" t="inlineStr">
        <is>
          <t>Bergvik skog väst AB</t>
        </is>
      </c>
      <c r="I425" t="n">
        <v>6.2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42436-2024</t>
        </is>
      </c>
      <c r="B426" t="inlineStr">
        <is>
          <t>avverkningsanmälan</t>
        </is>
      </c>
      <c r="C426" t="inlineStr">
        <is>
          <t>Avverkning för annat ändamål</t>
        </is>
      </c>
      <c r="D426" s="1" t="n">
        <v>45565</v>
      </c>
      <c r="E426" s="1" t="n">
        <v>46314</v>
      </c>
      <c r="F426" t="inlineStr">
        <is>
          <t>DALARNAS LÄN</t>
        </is>
      </c>
      <c r="G426" t="inlineStr">
        <is>
          <t>FALUN</t>
        </is>
      </c>
      <c r="H426" t="inlineStr">
        <is>
          <t>Bergvik skog väst AB</t>
        </is>
      </c>
      <c r="I426" t="n">
        <v>1.7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51914-2024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45607</v>
      </c>
      <c r="E427" s="1" t="n">
        <v>46314</v>
      </c>
      <c r="F427" t="inlineStr">
        <is>
          <t>DALARNAS LÄN</t>
        </is>
      </c>
      <c r="G427" t="inlineStr">
        <is>
          <t>FALUN</t>
        </is>
      </c>
      <c r="H427" t="inlineStr">
        <is>
          <t>Bergvik skog väst AB</t>
        </is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6010-2025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45695</v>
      </c>
      <c r="E428" s="1" t="n">
        <v>46314</v>
      </c>
      <c r="F428" t="inlineStr">
        <is>
          <t>DALARNAS LÄN</t>
        </is>
      </c>
      <c r="G428" t="inlineStr">
        <is>
          <t>FALUN</t>
        </is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58133-2024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45632</v>
      </c>
      <c r="E429" s="1" t="n">
        <v>46314</v>
      </c>
      <c r="F429" t="inlineStr">
        <is>
          <t>DALARNAS LÄN</t>
        </is>
      </c>
      <c r="G429" t="inlineStr">
        <is>
          <t>FALUN</t>
        </is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6453-2026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46055</v>
      </c>
      <c r="E430" s="1" t="n">
        <v>46314</v>
      </c>
      <c r="F430" t="inlineStr">
        <is>
          <t>DALARNAS LÄN</t>
        </is>
      </c>
      <c r="G430" t="inlineStr">
        <is>
          <t>FALUN</t>
        </is>
      </c>
      <c r="H430" t="inlineStr">
        <is>
          <t>Bergvik skog väst AB</t>
        </is>
      </c>
      <c r="I430" t="n">
        <v>2.6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4834-2024</t>
        </is>
      </c>
      <c r="B431" t="inlineStr">
        <is>
          <t>avverkningsanmälan</t>
        </is>
      </c>
      <c r="C431" t="inlineStr">
        <is>
          <t>Avverkning för annat ändamål</t>
        </is>
      </c>
      <c r="D431" s="1" t="n">
        <v>45329</v>
      </c>
      <c r="E431" s="1" t="n">
        <v>46314</v>
      </c>
      <c r="F431" t="inlineStr">
        <is>
          <t>DALARNAS LÄN</t>
        </is>
      </c>
      <c r="G431" t="inlineStr">
        <is>
          <t>FALUN</t>
        </is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20215-2026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46139</v>
      </c>
      <c r="E432" s="1" t="n">
        <v>46314</v>
      </c>
      <c r="F432" t="inlineStr">
        <is>
          <t>DALARNAS LÄN</t>
        </is>
      </c>
      <c r="G432" t="inlineStr">
        <is>
          <t>FALUN</t>
        </is>
      </c>
      <c r="I432" t="n">
        <v>5.9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35807-2022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44802</v>
      </c>
      <c r="E433" s="1" t="n">
        <v>46314</v>
      </c>
      <c r="F433" t="inlineStr">
        <is>
          <t>DALARNAS LÄN</t>
        </is>
      </c>
      <c r="G433" t="inlineStr">
        <is>
          <t>FALUN</t>
        </is>
      </c>
      <c r="I433" t="n">
        <v>1.4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43092-2025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45909</v>
      </c>
      <c r="E434" s="1" t="n">
        <v>46314</v>
      </c>
      <c r="F434" t="inlineStr">
        <is>
          <t>DALARNAS LÄN</t>
        </is>
      </c>
      <c r="G434" t="inlineStr">
        <is>
          <t>FALUN</t>
        </is>
      </c>
      <c r="H434" t="inlineStr">
        <is>
          <t>Bergvik skog väst AB</t>
        </is>
      </c>
      <c r="I434" t="n">
        <v>24.3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51135-2024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45603</v>
      </c>
      <c r="E435" s="1" t="n">
        <v>46314</v>
      </c>
      <c r="F435" t="inlineStr">
        <is>
          <t>DALARNAS LÄN</t>
        </is>
      </c>
      <c r="G435" t="inlineStr">
        <is>
          <t>FALUN</t>
        </is>
      </c>
      <c r="H435" t="inlineStr">
        <is>
          <t>Bergvik skog väst AB</t>
        </is>
      </c>
      <c r="I435" t="n">
        <v>1.3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11681-2026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46084</v>
      </c>
      <c r="E436" s="1" t="n">
        <v>46314</v>
      </c>
      <c r="F436" t="inlineStr">
        <is>
          <t>DALARNAS LÄN</t>
        </is>
      </c>
      <c r="G436" t="inlineStr">
        <is>
          <t>FALUN</t>
        </is>
      </c>
      <c r="H436" t="inlineStr">
        <is>
          <t>Bergvik skog väst AB</t>
        </is>
      </c>
      <c r="I436" t="n">
        <v>3.9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2936-2026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46037</v>
      </c>
      <c r="E437" s="1" t="n">
        <v>46314</v>
      </c>
      <c r="F437" t="inlineStr">
        <is>
          <t>DALARNAS LÄN</t>
        </is>
      </c>
      <c r="G437" t="inlineStr">
        <is>
          <t>FALUN</t>
        </is>
      </c>
      <c r="I437" t="n">
        <v>2.5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64103-2025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46021</v>
      </c>
      <c r="E438" s="1" t="n">
        <v>46314</v>
      </c>
      <c r="F438" t="inlineStr">
        <is>
          <t>DALARNAS LÄN</t>
        </is>
      </c>
      <c r="G438" t="inlineStr">
        <is>
          <t>FALUN</t>
        </is>
      </c>
      <c r="I438" t="n">
        <v>4.9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20435-2026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46140</v>
      </c>
      <c r="E439" s="1" t="n">
        <v>46314</v>
      </c>
      <c r="F439" t="inlineStr">
        <is>
          <t>DALARNAS LÄN</t>
        </is>
      </c>
      <c r="G439" t="inlineStr">
        <is>
          <t>FALUN</t>
        </is>
      </c>
      <c r="H439" t="inlineStr">
        <is>
          <t>Bergvik skog väst AB</t>
        </is>
      </c>
      <c r="I439" t="n">
        <v>1.8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43508-2025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45911</v>
      </c>
      <c r="E440" s="1" t="n">
        <v>46314</v>
      </c>
      <c r="F440" t="inlineStr">
        <is>
          <t>DALARNAS LÄN</t>
        </is>
      </c>
      <c r="G440" t="inlineStr">
        <is>
          <t>FALUN</t>
        </is>
      </c>
      <c r="H440" t="inlineStr">
        <is>
          <t>Bergvik skog väst AB</t>
        </is>
      </c>
      <c r="I440" t="n">
        <v>8.300000000000001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6794-2026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46057</v>
      </c>
      <c r="E441" s="1" t="n">
        <v>46314</v>
      </c>
      <c r="F441" t="inlineStr">
        <is>
          <t>DALARNAS LÄN</t>
        </is>
      </c>
      <c r="G441" t="inlineStr">
        <is>
          <t>FALUN</t>
        </is>
      </c>
      <c r="I441" t="n">
        <v>1.9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20511-2026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46140</v>
      </c>
      <c r="E442" s="1" t="n">
        <v>46314</v>
      </c>
      <c r="F442" t="inlineStr">
        <is>
          <t>DALARNAS LÄN</t>
        </is>
      </c>
      <c r="G442" t="inlineStr">
        <is>
          <t>FALUN</t>
        </is>
      </c>
      <c r="H442" t="inlineStr">
        <is>
          <t>Bergvik skog väst AB</t>
        </is>
      </c>
      <c r="I442" t="n">
        <v>47.3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7962-2026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46063</v>
      </c>
      <c r="E443" s="1" t="n">
        <v>46314</v>
      </c>
      <c r="F443" t="inlineStr">
        <is>
          <t>DALARNAS LÄN</t>
        </is>
      </c>
      <c r="G443" t="inlineStr">
        <is>
          <t>FALUN</t>
        </is>
      </c>
      <c r="I443" t="n">
        <v>2.3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5871-2026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46052</v>
      </c>
      <c r="E444" s="1" t="n">
        <v>46314</v>
      </c>
      <c r="F444" t="inlineStr">
        <is>
          <t>DALARNAS LÄN</t>
        </is>
      </c>
      <c r="G444" t="inlineStr">
        <is>
          <t>FALUN</t>
        </is>
      </c>
      <c r="I444" t="n">
        <v>12.2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2588-2026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46037</v>
      </c>
      <c r="E445" s="1" t="n">
        <v>46314</v>
      </c>
      <c r="F445" t="inlineStr">
        <is>
          <t>DALARNAS LÄN</t>
        </is>
      </c>
      <c r="G445" t="inlineStr">
        <is>
          <t>FALUN</t>
        </is>
      </c>
      <c r="I445" t="n">
        <v>4.6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43576-2025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45911</v>
      </c>
      <c r="E446" s="1" t="n">
        <v>46314</v>
      </c>
      <c r="F446" t="inlineStr">
        <is>
          <t>DALARNAS LÄN</t>
        </is>
      </c>
      <c r="G446" t="inlineStr">
        <is>
          <t>FALUN</t>
        </is>
      </c>
      <c r="H446" t="inlineStr">
        <is>
          <t>Bergvik skog väst AB</t>
        </is>
      </c>
      <c r="I446" t="n">
        <v>0.9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6667-2026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46056</v>
      </c>
      <c r="E447" s="1" t="n">
        <v>46314</v>
      </c>
      <c r="F447" t="inlineStr">
        <is>
          <t>DALARNAS LÄN</t>
        </is>
      </c>
      <c r="G447" t="inlineStr">
        <is>
          <t>FALUN</t>
        </is>
      </c>
      <c r="I447" t="n">
        <v>1.9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43545-2025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45911</v>
      </c>
      <c r="E448" s="1" t="n">
        <v>46314</v>
      </c>
      <c r="F448" t="inlineStr">
        <is>
          <t>DALARNAS LÄN</t>
        </is>
      </c>
      <c r="G448" t="inlineStr">
        <is>
          <t>FALUN</t>
        </is>
      </c>
      <c r="H448" t="inlineStr">
        <is>
          <t>Bergvik skog väst AB</t>
        </is>
      </c>
      <c r="I448" t="n">
        <v>1.8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331-2026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46027</v>
      </c>
      <c r="E449" s="1" t="n">
        <v>46314</v>
      </c>
      <c r="F449" t="inlineStr">
        <is>
          <t>DALARNAS LÄN</t>
        </is>
      </c>
      <c r="G449" t="inlineStr">
        <is>
          <t>FALUN</t>
        </is>
      </c>
      <c r="I449" t="n">
        <v>1.2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20444-2026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46140</v>
      </c>
      <c r="E450" s="1" t="n">
        <v>46314</v>
      </c>
      <c r="F450" t="inlineStr">
        <is>
          <t>DALARNAS LÄN</t>
        </is>
      </c>
      <c r="G450" t="inlineStr">
        <is>
          <t>FALUN</t>
        </is>
      </c>
      <c r="I450" t="n">
        <v>11.8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20830-2026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46142</v>
      </c>
      <c r="E451" s="1" t="n">
        <v>46314</v>
      </c>
      <c r="F451" t="inlineStr">
        <is>
          <t>DALARNAS LÄN</t>
        </is>
      </c>
      <c r="G451" t="inlineStr">
        <is>
          <t>FALUN</t>
        </is>
      </c>
      <c r="I451" t="n">
        <v>2.2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43257-2025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45910</v>
      </c>
      <c r="E452" s="1" t="n">
        <v>46314</v>
      </c>
      <c r="F452" t="inlineStr">
        <is>
          <t>DALARNAS LÄN</t>
        </is>
      </c>
      <c r="G452" t="inlineStr">
        <is>
          <t>FALUN</t>
        </is>
      </c>
      <c r="H452" t="inlineStr">
        <is>
          <t>Bergvik skog väst AB</t>
        </is>
      </c>
      <c r="I452" t="n">
        <v>5.6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20936-2026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46142</v>
      </c>
      <c r="E453" s="1" t="n">
        <v>46314</v>
      </c>
      <c r="F453" t="inlineStr">
        <is>
          <t>DALARNAS LÄN</t>
        </is>
      </c>
      <c r="G453" t="inlineStr">
        <is>
          <t>FALUN</t>
        </is>
      </c>
      <c r="I453" t="n">
        <v>45.9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43202-2025</t>
        </is>
      </c>
      <c r="B454" t="inlineStr">
        <is>
          <t>avverkningsanmälan</t>
        </is>
      </c>
      <c r="C454" t="inlineStr">
        <is>
          <t>Avverkning för annat ändamål</t>
        </is>
      </c>
      <c r="D454" s="1" t="n">
        <v>45910</v>
      </c>
      <c r="E454" s="1" t="n">
        <v>46314</v>
      </c>
      <c r="F454" t="inlineStr">
        <is>
          <t>DALARNAS LÄN</t>
        </is>
      </c>
      <c r="G454" t="inlineStr">
        <is>
          <t>FALUN</t>
        </is>
      </c>
      <c r="I454" t="n">
        <v>0.4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20891-2026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46142</v>
      </c>
      <c r="E455" s="1" t="n">
        <v>46314</v>
      </c>
      <c r="F455" t="inlineStr">
        <is>
          <t>DALARNAS LÄN</t>
        </is>
      </c>
      <c r="G455" t="inlineStr">
        <is>
          <t>FALUN</t>
        </is>
      </c>
      <c r="I455" t="n">
        <v>3.5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43856-2025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45912</v>
      </c>
      <c r="E456" s="1" t="n">
        <v>46314</v>
      </c>
      <c r="F456" t="inlineStr">
        <is>
          <t>DALARNAS LÄN</t>
        </is>
      </c>
      <c r="G456" t="inlineStr">
        <is>
          <t>FALUN</t>
        </is>
      </c>
      <c r="I456" t="n">
        <v>2.1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24131-2022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44725</v>
      </c>
      <c r="E457" s="1" t="n">
        <v>46314</v>
      </c>
      <c r="F457" t="inlineStr">
        <is>
          <t>DALARNAS LÄN</t>
        </is>
      </c>
      <c r="G457" t="inlineStr">
        <is>
          <t>FALUN</t>
        </is>
      </c>
      <c r="H457" t="inlineStr">
        <is>
          <t>Kyrkan</t>
        </is>
      </c>
      <c r="I457" t="n">
        <v>1.8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20890-2026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46142</v>
      </c>
      <c r="E458" s="1" t="n">
        <v>46314</v>
      </c>
      <c r="F458" t="inlineStr">
        <is>
          <t>DALARNAS LÄN</t>
        </is>
      </c>
      <c r="G458" t="inlineStr">
        <is>
          <t>FALUN</t>
        </is>
      </c>
      <c r="I458" t="n">
        <v>15.7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43917-2025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45914</v>
      </c>
      <c r="E459" s="1" t="n">
        <v>46314</v>
      </c>
      <c r="F459" t="inlineStr">
        <is>
          <t>DALARNAS LÄN</t>
        </is>
      </c>
      <c r="G459" t="inlineStr">
        <is>
          <t>FALUN</t>
        </is>
      </c>
      <c r="I459" t="n">
        <v>0.6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20889-2026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46142</v>
      </c>
      <c r="E460" s="1" t="n">
        <v>46314</v>
      </c>
      <c r="F460" t="inlineStr">
        <is>
          <t>DALARNAS LÄN</t>
        </is>
      </c>
      <c r="G460" t="inlineStr">
        <is>
          <t>FALUN</t>
        </is>
      </c>
      <c r="I460" t="n">
        <v>1.3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20960-2026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46142</v>
      </c>
      <c r="E461" s="1" t="n">
        <v>46314</v>
      </c>
      <c r="F461" t="inlineStr">
        <is>
          <t>DALARNAS LÄN</t>
        </is>
      </c>
      <c r="G461" t="inlineStr">
        <is>
          <t>FALUN</t>
        </is>
      </c>
      <c r="H461" t="inlineStr">
        <is>
          <t>Bergvik skog väst AB</t>
        </is>
      </c>
      <c r="I461" t="n">
        <v>6.2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20961-2026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46142</v>
      </c>
      <c r="E462" s="1" t="n">
        <v>46314</v>
      </c>
      <c r="F462" t="inlineStr">
        <is>
          <t>DALARNAS LÄN</t>
        </is>
      </c>
      <c r="G462" t="inlineStr">
        <is>
          <t>FALUN</t>
        </is>
      </c>
      <c r="H462" t="inlineStr">
        <is>
          <t>Bergvik skog väst AB</t>
        </is>
      </c>
      <c r="I462" t="n">
        <v>1.9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18708-2026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46128</v>
      </c>
      <c r="E463" s="1" t="n">
        <v>46314</v>
      </c>
      <c r="F463" t="inlineStr">
        <is>
          <t>DALARNAS LÄN</t>
        </is>
      </c>
      <c r="G463" t="inlineStr">
        <is>
          <t>FALUN</t>
        </is>
      </c>
      <c r="I463" t="n">
        <v>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33611-2024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45520</v>
      </c>
      <c r="E464" s="1" t="n">
        <v>46314</v>
      </c>
      <c r="F464" t="inlineStr">
        <is>
          <t>DALARNAS LÄN</t>
        </is>
      </c>
      <c r="G464" t="inlineStr">
        <is>
          <t>FALUN</t>
        </is>
      </c>
      <c r="I464" t="n">
        <v>11.2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20831-2026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46142</v>
      </c>
      <c r="E465" s="1" t="n">
        <v>46314</v>
      </c>
      <c r="F465" t="inlineStr">
        <is>
          <t>DALARNAS LÄN</t>
        </is>
      </c>
      <c r="G465" t="inlineStr">
        <is>
          <t>FALUN</t>
        </is>
      </c>
      <c r="I465" t="n">
        <v>1.7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21129-2026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46146</v>
      </c>
      <c r="E466" s="1" t="n">
        <v>46314</v>
      </c>
      <c r="F466" t="inlineStr">
        <is>
          <t>DALARNAS LÄN</t>
        </is>
      </c>
      <c r="G466" t="inlineStr">
        <is>
          <t>FALUN</t>
        </is>
      </c>
      <c r="H466" t="inlineStr">
        <is>
          <t>Bergvik skog väst AB</t>
        </is>
      </c>
      <c r="I466" t="n">
        <v>0.6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21107-2026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46146</v>
      </c>
      <c r="E467" s="1" t="n">
        <v>46314</v>
      </c>
      <c r="F467" t="inlineStr">
        <is>
          <t>DALARNAS LÄN</t>
        </is>
      </c>
      <c r="G467" t="inlineStr">
        <is>
          <t>FALUN</t>
        </is>
      </c>
      <c r="H467" t="inlineStr">
        <is>
          <t>Bergvik skog väst AB</t>
        </is>
      </c>
      <c r="I467" t="n">
        <v>57.6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21121-2026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46146</v>
      </c>
      <c r="E468" s="1" t="n">
        <v>46314</v>
      </c>
      <c r="F468" t="inlineStr">
        <is>
          <t>DALARNAS LÄN</t>
        </is>
      </c>
      <c r="G468" t="inlineStr">
        <is>
          <t>FALUN</t>
        </is>
      </c>
      <c r="I468" t="n">
        <v>1.2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21124-2026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46146</v>
      </c>
      <c r="E469" s="1" t="n">
        <v>46314</v>
      </c>
      <c r="F469" t="inlineStr">
        <is>
          <t>DALARNAS LÄN</t>
        </is>
      </c>
      <c r="G469" t="inlineStr">
        <is>
          <t>FALUN</t>
        </is>
      </c>
      <c r="I469" t="n">
        <v>11.6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21127-2026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46146</v>
      </c>
      <c r="E470" s="1" t="n">
        <v>46314</v>
      </c>
      <c r="F470" t="inlineStr">
        <is>
          <t>DALARNAS LÄN</t>
        </is>
      </c>
      <c r="G470" t="inlineStr">
        <is>
          <t>FALUN</t>
        </is>
      </c>
      <c r="I470" t="n">
        <v>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56279-2023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45241</v>
      </c>
      <c r="E471" s="1" t="n">
        <v>46314</v>
      </c>
      <c r="F471" t="inlineStr">
        <is>
          <t>DALARNAS LÄN</t>
        </is>
      </c>
      <c r="G471" t="inlineStr">
        <is>
          <t>FALUN</t>
        </is>
      </c>
      <c r="H471" t="inlineStr">
        <is>
          <t>Bergvik skog väst AB</t>
        </is>
      </c>
      <c r="I471" t="n">
        <v>1.4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21155-2026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46146</v>
      </c>
      <c r="E472" s="1" t="n">
        <v>46314</v>
      </c>
      <c r="F472" t="inlineStr">
        <is>
          <t>DALARNAS LÄN</t>
        </is>
      </c>
      <c r="G472" t="inlineStr">
        <is>
          <t>FALUN</t>
        </is>
      </c>
      <c r="I472" t="n">
        <v>5.6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58819-2023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45252</v>
      </c>
      <c r="E473" s="1" t="n">
        <v>46314</v>
      </c>
      <c r="F473" t="inlineStr">
        <is>
          <t>DALARNAS LÄN</t>
        </is>
      </c>
      <c r="G473" t="inlineStr">
        <is>
          <t>FALUN</t>
        </is>
      </c>
      <c r="I473" t="n">
        <v>1.1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8212-2026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46064</v>
      </c>
      <c r="E474" s="1" t="n">
        <v>46314</v>
      </c>
      <c r="F474" t="inlineStr">
        <is>
          <t>DALARNAS LÄN</t>
        </is>
      </c>
      <c r="G474" t="inlineStr">
        <is>
          <t>FALUN</t>
        </is>
      </c>
      <c r="H474" t="inlineStr">
        <is>
          <t>Bergvik skog väst AB</t>
        </is>
      </c>
      <c r="I474" t="n">
        <v>2.7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141-2025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45659</v>
      </c>
      <c r="E475" s="1" t="n">
        <v>46314</v>
      </c>
      <c r="F475" t="inlineStr">
        <is>
          <t>DALARNAS LÄN</t>
        </is>
      </c>
      <c r="G475" t="inlineStr">
        <is>
          <t>FALUN</t>
        </is>
      </c>
      <c r="I475" t="n">
        <v>1.9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44863-2025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45918</v>
      </c>
      <c r="E476" s="1" t="n">
        <v>46314</v>
      </c>
      <c r="F476" t="inlineStr">
        <is>
          <t>DALARNAS LÄN</t>
        </is>
      </c>
      <c r="G476" t="inlineStr">
        <is>
          <t>FALUN</t>
        </is>
      </c>
      <c r="H476" t="inlineStr">
        <is>
          <t>Bergvik skog väst AB</t>
        </is>
      </c>
      <c r="I476" t="n">
        <v>23.6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12616-2026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46090</v>
      </c>
      <c r="E477" s="1" t="n">
        <v>46314</v>
      </c>
      <c r="F477" t="inlineStr">
        <is>
          <t>DALARNAS LÄN</t>
        </is>
      </c>
      <c r="G477" t="inlineStr">
        <is>
          <t>FALUN</t>
        </is>
      </c>
      <c r="I477" t="n">
        <v>2.9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21130-2026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46146</v>
      </c>
      <c r="E478" s="1" t="n">
        <v>46314</v>
      </c>
      <c r="F478" t="inlineStr">
        <is>
          <t>DALARNAS LÄN</t>
        </is>
      </c>
      <c r="G478" t="inlineStr">
        <is>
          <t>FALUN</t>
        </is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21346-2026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46147</v>
      </c>
      <c r="E479" s="1" t="n">
        <v>46314</v>
      </c>
      <c r="F479" t="inlineStr">
        <is>
          <t>DALARNAS LÄN</t>
        </is>
      </c>
      <c r="G479" t="inlineStr">
        <is>
          <t>FALUN</t>
        </is>
      </c>
      <c r="I479" t="n">
        <v>2.5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6613-2026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46056</v>
      </c>
      <c r="E480" s="1" t="n">
        <v>46314</v>
      </c>
      <c r="F480" t="inlineStr">
        <is>
          <t>DALARNAS LÄN</t>
        </is>
      </c>
      <c r="G480" t="inlineStr">
        <is>
          <t>FALUN</t>
        </is>
      </c>
      <c r="I480" t="n">
        <v>4.9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4-2026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46023</v>
      </c>
      <c r="E481" s="1" t="n">
        <v>46314</v>
      </c>
      <c r="F481" t="inlineStr">
        <is>
          <t>DALARNAS LÄN</t>
        </is>
      </c>
      <c r="G481" t="inlineStr">
        <is>
          <t>FALUN</t>
        </is>
      </c>
      <c r="I481" t="n">
        <v>1.8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2019-2026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46035</v>
      </c>
      <c r="E482" s="1" t="n">
        <v>46314</v>
      </c>
      <c r="F482" t="inlineStr">
        <is>
          <t>DALARNAS LÄN</t>
        </is>
      </c>
      <c r="G482" t="inlineStr">
        <is>
          <t>FALUN</t>
        </is>
      </c>
      <c r="I482" t="n">
        <v>1.5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21110-2026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46146</v>
      </c>
      <c r="E483" s="1" t="n">
        <v>46314</v>
      </c>
      <c r="F483" t="inlineStr">
        <is>
          <t>DALARNAS LÄN</t>
        </is>
      </c>
      <c r="G483" t="inlineStr">
        <is>
          <t>FALUN</t>
        </is>
      </c>
      <c r="I483" t="n">
        <v>2.4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21306-2026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46147</v>
      </c>
      <c r="E484" s="1" t="n">
        <v>46314</v>
      </c>
      <c r="F484" t="inlineStr">
        <is>
          <t>DALARNAS LÄN</t>
        </is>
      </c>
      <c r="G484" t="inlineStr">
        <is>
          <t>FALUN</t>
        </is>
      </c>
      <c r="I484" t="n">
        <v>1.2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21076-2026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46146</v>
      </c>
      <c r="E485" s="1" t="n">
        <v>46314</v>
      </c>
      <c r="F485" t="inlineStr">
        <is>
          <t>DALARNAS LÄN</t>
        </is>
      </c>
      <c r="G485" t="inlineStr">
        <is>
          <t>FALUN</t>
        </is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21212-2026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46146</v>
      </c>
      <c r="E486" s="1" t="n">
        <v>46314</v>
      </c>
      <c r="F486" t="inlineStr">
        <is>
          <t>DALARNAS LÄN</t>
        </is>
      </c>
      <c r="G486" t="inlineStr">
        <is>
          <t>FALUN</t>
        </is>
      </c>
      <c r="I486" t="n">
        <v>2.2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45584-2025</t>
        </is>
      </c>
      <c r="B487" t="inlineStr">
        <is>
          <t>avverkningsanmälan</t>
        </is>
      </c>
      <c r="C487" t="inlineStr">
        <is>
          <t>Avverkning för att bevara och utveckla /försöksver</t>
        </is>
      </c>
      <c r="D487" s="1" t="n">
        <v>45922</v>
      </c>
      <c r="E487" s="1" t="n">
        <v>46314</v>
      </c>
      <c r="F487" t="inlineStr">
        <is>
          <t>DALARNAS LÄN</t>
        </is>
      </c>
      <c r="G487" t="inlineStr">
        <is>
          <t>FALUN</t>
        </is>
      </c>
      <c r="H487" t="inlineStr">
        <is>
          <t>Bergvik skog väst AB</t>
        </is>
      </c>
      <c r="I487" t="n">
        <v>1.2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41664-2022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44827</v>
      </c>
      <c r="E488" s="1" t="n">
        <v>46314</v>
      </c>
      <c r="F488" t="inlineStr">
        <is>
          <t>DALARNAS LÄN</t>
        </is>
      </c>
      <c r="G488" t="inlineStr">
        <is>
          <t>FALUN</t>
        </is>
      </c>
      <c r="I488" t="n">
        <v>3.1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17932-2026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46122</v>
      </c>
      <c r="E489" s="1" t="n">
        <v>46314</v>
      </c>
      <c r="F489" t="inlineStr">
        <is>
          <t>DALARNAS LÄN</t>
        </is>
      </c>
      <c r="G489" t="inlineStr">
        <is>
          <t>FALUN</t>
        </is>
      </c>
      <c r="H489" t="inlineStr">
        <is>
          <t>Bergvik skog väst AB</t>
        </is>
      </c>
      <c r="I489" t="n">
        <v>2.1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3083-2026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46040</v>
      </c>
      <c r="E490" s="1" t="n">
        <v>46314</v>
      </c>
      <c r="F490" t="inlineStr">
        <is>
          <t>DALARNAS LÄN</t>
        </is>
      </c>
      <c r="G490" t="inlineStr">
        <is>
          <t>FALUN</t>
        </is>
      </c>
      <c r="I490" t="n">
        <v>2.3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21041-2026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46146</v>
      </c>
      <c r="E491" s="1" t="n">
        <v>46314</v>
      </c>
      <c r="F491" t="inlineStr">
        <is>
          <t>DALARNAS LÄN</t>
        </is>
      </c>
      <c r="G491" t="inlineStr">
        <is>
          <t>FALUN</t>
        </is>
      </c>
      <c r="I491" t="n">
        <v>3.8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21077-2026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46146</v>
      </c>
      <c r="E492" s="1" t="n">
        <v>46314</v>
      </c>
      <c r="F492" t="inlineStr">
        <is>
          <t>DALARNAS LÄN</t>
        </is>
      </c>
      <c r="G492" t="inlineStr">
        <is>
          <t>FALUN</t>
        </is>
      </c>
      <c r="I492" t="n">
        <v>3.5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4980-2026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46049</v>
      </c>
      <c r="E493" s="1" t="n">
        <v>46314</v>
      </c>
      <c r="F493" t="inlineStr">
        <is>
          <t>DALARNAS LÄN</t>
        </is>
      </c>
      <c r="G493" t="inlineStr">
        <is>
          <t>FALUN</t>
        </is>
      </c>
      <c r="I493" t="n">
        <v>1.5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19426-2025</t>
        </is>
      </c>
      <c r="B494" t="inlineStr">
        <is>
          <t>avverkningsanmälan</t>
        </is>
      </c>
      <c r="C494" t="inlineStr">
        <is>
          <t>Avverkning för annat ändamål</t>
        </is>
      </c>
      <c r="D494" s="1" t="n">
        <v>45769</v>
      </c>
      <c r="E494" s="1" t="n">
        <v>46314</v>
      </c>
      <c r="F494" t="inlineStr">
        <is>
          <t>DALARNAS LÄN</t>
        </is>
      </c>
      <c r="G494" t="inlineStr">
        <is>
          <t>FALUN</t>
        </is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6455-2026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46055</v>
      </c>
      <c r="E495" s="1" t="n">
        <v>46314</v>
      </c>
      <c r="F495" t="inlineStr">
        <is>
          <t>DALARNAS LÄN</t>
        </is>
      </c>
      <c r="G495" t="inlineStr">
        <is>
          <t>FALUN</t>
        </is>
      </c>
      <c r="I495" t="n">
        <v>4.2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21415-2026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46148</v>
      </c>
      <c r="E496" s="1" t="n">
        <v>46314</v>
      </c>
      <c r="F496" t="inlineStr">
        <is>
          <t>DALARNAS LÄN</t>
        </is>
      </c>
      <c r="G496" t="inlineStr">
        <is>
          <t>FALUN</t>
        </is>
      </c>
      <c r="I496" t="n">
        <v>0.6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21441-2026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46148</v>
      </c>
      <c r="E497" s="1" t="n">
        <v>46314</v>
      </c>
      <c r="F497" t="inlineStr">
        <is>
          <t>DALARNAS LÄN</t>
        </is>
      </c>
      <c r="G497" t="inlineStr">
        <is>
          <t>FALUN</t>
        </is>
      </c>
      <c r="I497" t="n">
        <v>1.7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43005-2022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44833</v>
      </c>
      <c r="E498" s="1" t="n">
        <v>46314</v>
      </c>
      <c r="F498" t="inlineStr">
        <is>
          <t>DALARNAS LÄN</t>
        </is>
      </c>
      <c r="G498" t="inlineStr">
        <is>
          <t>FALUN</t>
        </is>
      </c>
      <c r="I498" t="n">
        <v>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21701-2026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46149</v>
      </c>
      <c r="E499" s="1" t="n">
        <v>46314</v>
      </c>
      <c r="F499" t="inlineStr">
        <is>
          <t>DALARNAS LÄN</t>
        </is>
      </c>
      <c r="G499" t="inlineStr">
        <is>
          <t>FALUN</t>
        </is>
      </c>
      <c r="H499" t="inlineStr">
        <is>
          <t>Bergvik skog väst AB</t>
        </is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21561-2026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46148</v>
      </c>
      <c r="E500" s="1" t="n">
        <v>46314</v>
      </c>
      <c r="F500" t="inlineStr">
        <is>
          <t>DALARNAS LÄN</t>
        </is>
      </c>
      <c r="G500" t="inlineStr">
        <is>
          <t>FALUN</t>
        </is>
      </c>
      <c r="H500" t="inlineStr">
        <is>
          <t>Bergvik skog väst AB</t>
        </is>
      </c>
      <c r="I500" t="n">
        <v>1.2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46364-2025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45925</v>
      </c>
      <c r="E501" s="1" t="n">
        <v>46314</v>
      </c>
      <c r="F501" t="inlineStr">
        <is>
          <t>DALARNAS LÄN</t>
        </is>
      </c>
      <c r="G501" t="inlineStr">
        <is>
          <t>FALUN</t>
        </is>
      </c>
      <c r="I501" t="n">
        <v>2.5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15816-2025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45748</v>
      </c>
      <c r="E502" s="1" t="n">
        <v>46314</v>
      </c>
      <c r="F502" t="inlineStr">
        <is>
          <t>DALARNAS LÄN</t>
        </is>
      </c>
      <c r="G502" t="inlineStr">
        <is>
          <t>FALUN</t>
        </is>
      </c>
      <c r="I502" t="n">
        <v>3.3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21516-2026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46148</v>
      </c>
      <c r="E503" s="1" t="n">
        <v>46314</v>
      </c>
      <c r="F503" t="inlineStr">
        <is>
          <t>DALARNAS LÄN</t>
        </is>
      </c>
      <c r="G503" t="inlineStr">
        <is>
          <t>FALUN</t>
        </is>
      </c>
      <c r="I503" t="n">
        <v>3.5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21635-2026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46149</v>
      </c>
      <c r="E504" s="1" t="n">
        <v>46314</v>
      </c>
      <c r="F504" t="inlineStr">
        <is>
          <t>DALARNAS LÄN</t>
        </is>
      </c>
      <c r="G504" t="inlineStr">
        <is>
          <t>FALUN</t>
        </is>
      </c>
      <c r="I504" t="n">
        <v>1.1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21414-2026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46148</v>
      </c>
      <c r="E505" s="1" t="n">
        <v>46314</v>
      </c>
      <c r="F505" t="inlineStr">
        <is>
          <t>DALARNAS LÄN</t>
        </is>
      </c>
      <c r="G505" t="inlineStr">
        <is>
          <t>FALUN</t>
        </is>
      </c>
      <c r="I505" t="n">
        <v>4.6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21410-2026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46148</v>
      </c>
      <c r="E506" s="1" t="n">
        <v>46314</v>
      </c>
      <c r="F506" t="inlineStr">
        <is>
          <t>DALARNAS LÄN</t>
        </is>
      </c>
      <c r="G506" t="inlineStr">
        <is>
          <t>FALUN</t>
        </is>
      </c>
      <c r="H506" t="inlineStr">
        <is>
          <t>Bergvik skog väst AB</t>
        </is>
      </c>
      <c r="I506" t="n">
        <v>6.9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21460-2026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46148</v>
      </c>
      <c r="E507" s="1" t="n">
        <v>46314</v>
      </c>
      <c r="F507" t="inlineStr">
        <is>
          <t>DALARNAS LÄN</t>
        </is>
      </c>
      <c r="G507" t="inlineStr">
        <is>
          <t>FALUN</t>
        </is>
      </c>
      <c r="I507" t="n">
        <v>1.6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21636-2026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46149</v>
      </c>
      <c r="E508" s="1" t="n">
        <v>46314</v>
      </c>
      <c r="F508" t="inlineStr">
        <is>
          <t>DALARNAS LÄN</t>
        </is>
      </c>
      <c r="G508" t="inlineStr">
        <is>
          <t>FALUN</t>
        </is>
      </c>
      <c r="H508" t="inlineStr">
        <is>
          <t>Bergvik skog väst AB</t>
        </is>
      </c>
      <c r="I508" t="n">
        <v>7.7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21824-2026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46150</v>
      </c>
      <c r="E509" s="1" t="n">
        <v>46314</v>
      </c>
      <c r="F509" t="inlineStr">
        <is>
          <t>DALARNAS LÄN</t>
        </is>
      </c>
      <c r="G509" t="inlineStr">
        <is>
          <t>FALUN</t>
        </is>
      </c>
      <c r="I509" t="n">
        <v>10.7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21825-2026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46150</v>
      </c>
      <c r="E510" s="1" t="n">
        <v>46314</v>
      </c>
      <c r="F510" t="inlineStr">
        <is>
          <t>DALARNAS LÄN</t>
        </is>
      </c>
      <c r="G510" t="inlineStr">
        <is>
          <t>FALUN</t>
        </is>
      </c>
      <c r="I510" t="n">
        <v>1.1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63383-2023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45274</v>
      </c>
      <c r="E511" s="1" t="n">
        <v>46314</v>
      </c>
      <c r="F511" t="inlineStr">
        <is>
          <t>DALARNAS LÄN</t>
        </is>
      </c>
      <c r="G511" t="inlineStr">
        <is>
          <t>FALUN</t>
        </is>
      </c>
      <c r="I511" t="n">
        <v>0.4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10268-2024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45365</v>
      </c>
      <c r="E512" s="1" t="n">
        <v>46314</v>
      </c>
      <c r="F512" t="inlineStr">
        <is>
          <t>DALARNAS LÄN</t>
        </is>
      </c>
      <c r="G512" t="inlineStr">
        <is>
          <t>FALUN</t>
        </is>
      </c>
      <c r="I512" t="n">
        <v>1.8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36411-2025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45868</v>
      </c>
      <c r="E513" s="1" t="n">
        <v>46314</v>
      </c>
      <c r="F513" t="inlineStr">
        <is>
          <t>DALARNAS LÄN</t>
        </is>
      </c>
      <c r="G513" t="inlineStr">
        <is>
          <t>FALUN</t>
        </is>
      </c>
      <c r="I513" t="n">
        <v>10.7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12260-2026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46087</v>
      </c>
      <c r="E514" s="1" t="n">
        <v>46314</v>
      </c>
      <c r="F514" t="inlineStr">
        <is>
          <t>DALARNAS LÄN</t>
        </is>
      </c>
      <c r="G514" t="inlineStr">
        <is>
          <t>FALUN</t>
        </is>
      </c>
      <c r="I514" t="n">
        <v>23.9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22114-2026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46153</v>
      </c>
      <c r="E515" s="1" t="n">
        <v>46314</v>
      </c>
      <c r="F515" t="inlineStr">
        <is>
          <t>DALARNAS LÄN</t>
        </is>
      </c>
      <c r="G515" t="inlineStr">
        <is>
          <t>FALUN</t>
        </is>
      </c>
      <c r="H515" t="inlineStr">
        <is>
          <t>Bergvik skog väst AB</t>
        </is>
      </c>
      <c r="I515" t="n">
        <v>1.5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22069-2026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46153</v>
      </c>
      <c r="E516" s="1" t="n">
        <v>46314</v>
      </c>
      <c r="F516" t="inlineStr">
        <is>
          <t>DALARNAS LÄN</t>
        </is>
      </c>
      <c r="G516" t="inlineStr">
        <is>
          <t>FALUN</t>
        </is>
      </c>
      <c r="I516" t="n">
        <v>1.2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17549-2026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46120</v>
      </c>
      <c r="E517" s="1" t="n">
        <v>46314</v>
      </c>
      <c r="F517" t="inlineStr">
        <is>
          <t>DALARNAS LÄN</t>
        </is>
      </c>
      <c r="G517" t="inlineStr">
        <is>
          <t>FALUN</t>
        </is>
      </c>
      <c r="I517" t="n">
        <v>2.1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2502-2026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46037</v>
      </c>
      <c r="E518" s="1" t="n">
        <v>46314</v>
      </c>
      <c r="F518" t="inlineStr">
        <is>
          <t>DALARNAS LÄN</t>
        </is>
      </c>
      <c r="G518" t="inlineStr">
        <is>
          <t>FALUN</t>
        </is>
      </c>
      <c r="I518" t="n">
        <v>3.1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21873-2026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46150</v>
      </c>
      <c r="E519" s="1" t="n">
        <v>46314</v>
      </c>
      <c r="F519" t="inlineStr">
        <is>
          <t>DALARNAS LÄN</t>
        </is>
      </c>
      <c r="G519" t="inlineStr">
        <is>
          <t>FALUN</t>
        </is>
      </c>
      <c r="I519" t="n">
        <v>3.6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2028-2026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46035</v>
      </c>
      <c r="E520" s="1" t="n">
        <v>46314</v>
      </c>
      <c r="F520" t="inlineStr">
        <is>
          <t>DALARNAS LÄN</t>
        </is>
      </c>
      <c r="G520" t="inlineStr">
        <is>
          <t>FALUN</t>
        </is>
      </c>
      <c r="I520" t="n">
        <v>3.2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21795-2026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46150</v>
      </c>
      <c r="E521" s="1" t="n">
        <v>46314</v>
      </c>
      <c r="F521" t="inlineStr">
        <is>
          <t>DALARNAS LÄN</t>
        </is>
      </c>
      <c r="G521" t="inlineStr">
        <is>
          <t>FALUN</t>
        </is>
      </c>
      <c r="H521" t="inlineStr">
        <is>
          <t>Bergvik skog väst AB</t>
        </is>
      </c>
      <c r="I521" t="n">
        <v>2.7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1959-2026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46035</v>
      </c>
      <c r="E522" s="1" t="n">
        <v>46314</v>
      </c>
      <c r="F522" t="inlineStr">
        <is>
          <t>DALARNAS LÄN</t>
        </is>
      </c>
      <c r="G522" t="inlineStr">
        <is>
          <t>FALUN</t>
        </is>
      </c>
      <c r="I522" t="n">
        <v>0.9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11295-2026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46080</v>
      </c>
      <c r="E523" s="1" t="n">
        <v>46314</v>
      </c>
      <c r="F523" t="inlineStr">
        <is>
          <t>DALARNAS LÄN</t>
        </is>
      </c>
      <c r="G523" t="inlineStr">
        <is>
          <t>FALUN</t>
        </is>
      </c>
      <c r="I523" t="n">
        <v>2.5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47407-2025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45930</v>
      </c>
      <c r="E524" s="1" t="n">
        <v>46314</v>
      </c>
      <c r="F524" t="inlineStr">
        <is>
          <t>DALARNAS LÄN</t>
        </is>
      </c>
      <c r="G524" t="inlineStr">
        <is>
          <t>FALUN</t>
        </is>
      </c>
      <c r="H524" t="inlineStr">
        <is>
          <t>Bergvik skog väst AB</t>
        </is>
      </c>
      <c r="I524" t="n">
        <v>2.8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10864-2026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46078</v>
      </c>
      <c r="E525" s="1" t="n">
        <v>46314</v>
      </c>
      <c r="F525" t="inlineStr">
        <is>
          <t>DALARNAS LÄN</t>
        </is>
      </c>
      <c r="G525" t="inlineStr">
        <is>
          <t>FALUN</t>
        </is>
      </c>
      <c r="H525" t="inlineStr">
        <is>
          <t>Bergvik skog väst AB</t>
        </is>
      </c>
      <c r="I525" t="n">
        <v>2.1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47403-2025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45930</v>
      </c>
      <c r="E526" s="1" t="n">
        <v>46314</v>
      </c>
      <c r="F526" t="inlineStr">
        <is>
          <t>DALARNAS LÄN</t>
        </is>
      </c>
      <c r="G526" t="inlineStr">
        <is>
          <t>FALUN</t>
        </is>
      </c>
      <c r="H526" t="inlineStr">
        <is>
          <t>Bergvik skog väst AB</t>
        </is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47838-2025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45931</v>
      </c>
      <c r="E527" s="1" t="n">
        <v>46314</v>
      </c>
      <c r="F527" t="inlineStr">
        <is>
          <t>DALARNAS LÄN</t>
        </is>
      </c>
      <c r="G527" t="inlineStr">
        <is>
          <t>FALUN</t>
        </is>
      </c>
      <c r="I527" t="n">
        <v>5.3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6577-2026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46056</v>
      </c>
      <c r="E528" s="1" t="n">
        <v>46314</v>
      </c>
      <c r="F528" t="inlineStr">
        <is>
          <t>DALARNAS LÄN</t>
        </is>
      </c>
      <c r="G528" t="inlineStr">
        <is>
          <t>FALUN</t>
        </is>
      </c>
      <c r="I528" t="n">
        <v>1.5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21782-2026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46150</v>
      </c>
      <c r="E529" s="1" t="n">
        <v>46314</v>
      </c>
      <c r="F529" t="inlineStr">
        <is>
          <t>DALARNAS LÄN</t>
        </is>
      </c>
      <c r="G529" t="inlineStr">
        <is>
          <t>FALUN</t>
        </is>
      </c>
      <c r="I529" t="n">
        <v>1.3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21822-2026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46150</v>
      </c>
      <c r="E530" s="1" t="n">
        <v>46314</v>
      </c>
      <c r="F530" t="inlineStr">
        <is>
          <t>DALARNAS LÄN</t>
        </is>
      </c>
      <c r="G530" t="inlineStr">
        <is>
          <t>FALUN</t>
        </is>
      </c>
      <c r="I530" t="n">
        <v>0.4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2511-2026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46037</v>
      </c>
      <c r="E531" s="1" t="n">
        <v>46314</v>
      </c>
      <c r="F531" t="inlineStr">
        <is>
          <t>DALARNAS LÄN</t>
        </is>
      </c>
      <c r="G531" t="inlineStr">
        <is>
          <t>FALUN</t>
        </is>
      </c>
      <c r="I531" t="n">
        <v>23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1135-2026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46030</v>
      </c>
      <c r="E532" s="1" t="n">
        <v>46314</v>
      </c>
      <c r="F532" t="inlineStr">
        <is>
          <t>DALARNAS LÄN</t>
        </is>
      </c>
      <c r="G532" t="inlineStr">
        <is>
          <t>FALUN</t>
        </is>
      </c>
      <c r="I532" t="n">
        <v>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1178-2026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46031</v>
      </c>
      <c r="E533" s="1" t="n">
        <v>46314</v>
      </c>
      <c r="F533" t="inlineStr">
        <is>
          <t>DALARNAS LÄN</t>
        </is>
      </c>
      <c r="G533" t="inlineStr">
        <is>
          <t>FALUN</t>
        </is>
      </c>
      <c r="I533" t="n">
        <v>2.8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21896-2026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46150</v>
      </c>
      <c r="E534" s="1" t="n">
        <v>46314</v>
      </c>
      <c r="F534" t="inlineStr">
        <is>
          <t>DALARNAS LÄN</t>
        </is>
      </c>
      <c r="G534" t="inlineStr">
        <is>
          <t>FALUN</t>
        </is>
      </c>
      <c r="I534" t="n">
        <v>0.8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22204-2026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46153</v>
      </c>
      <c r="E535" s="1" t="n">
        <v>46314</v>
      </c>
      <c r="F535" t="inlineStr">
        <is>
          <t>DALARNAS LÄN</t>
        </is>
      </c>
      <c r="G535" t="inlineStr">
        <is>
          <t>FALUN</t>
        </is>
      </c>
      <c r="H535" t="inlineStr">
        <is>
          <t>Bergvik skog väst AB</t>
        </is>
      </c>
      <c r="I535" t="n">
        <v>0.8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8588-2026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46065</v>
      </c>
      <c r="E536" s="1" t="n">
        <v>46314</v>
      </c>
      <c r="F536" t="inlineStr">
        <is>
          <t>DALARNAS LÄN</t>
        </is>
      </c>
      <c r="G536" t="inlineStr">
        <is>
          <t>FALUN</t>
        </is>
      </c>
      <c r="H536" t="inlineStr">
        <is>
          <t>Allmännings- och besparingsskogar</t>
        </is>
      </c>
      <c r="I536" t="n">
        <v>17.4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8598-2026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46065</v>
      </c>
      <c r="E537" s="1" t="n">
        <v>46314</v>
      </c>
      <c r="F537" t="inlineStr">
        <is>
          <t>DALARNAS LÄN</t>
        </is>
      </c>
      <c r="G537" t="inlineStr">
        <is>
          <t>FALUN</t>
        </is>
      </c>
      <c r="I537" t="n">
        <v>1.1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21895-2026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46150</v>
      </c>
      <c r="E538" s="1" t="n">
        <v>46314</v>
      </c>
      <c r="F538" t="inlineStr">
        <is>
          <t>DALARNAS LÄN</t>
        </is>
      </c>
      <c r="G538" t="inlineStr">
        <is>
          <t>FALUN</t>
        </is>
      </c>
      <c r="I538" t="n">
        <v>6.3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21936-2026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46150</v>
      </c>
      <c r="E539" s="1" t="n">
        <v>46314</v>
      </c>
      <c r="F539" t="inlineStr">
        <is>
          <t>DALARNAS LÄN</t>
        </is>
      </c>
      <c r="G539" t="inlineStr">
        <is>
          <t>FALUN</t>
        </is>
      </c>
      <c r="I539" t="n">
        <v>2.8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22174-2026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46153</v>
      </c>
      <c r="E540" s="1" t="n">
        <v>46314</v>
      </c>
      <c r="F540" t="inlineStr">
        <is>
          <t>DALARNAS LÄN</t>
        </is>
      </c>
      <c r="G540" t="inlineStr">
        <is>
          <t>FALUN</t>
        </is>
      </c>
      <c r="H540" t="inlineStr">
        <is>
          <t>Bergvik skog väst AB</t>
        </is>
      </c>
      <c r="I540" t="n">
        <v>0.9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47945-2025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45932</v>
      </c>
      <c r="E541" s="1" t="n">
        <v>46314</v>
      </c>
      <c r="F541" t="inlineStr">
        <is>
          <t>DALARNAS LÄN</t>
        </is>
      </c>
      <c r="G541" t="inlineStr">
        <is>
          <t>FALUN</t>
        </is>
      </c>
      <c r="I541" t="n">
        <v>1.9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22188-2026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46153</v>
      </c>
      <c r="E542" s="1" t="n">
        <v>46314</v>
      </c>
      <c r="F542" t="inlineStr">
        <is>
          <t>DALARNAS LÄN</t>
        </is>
      </c>
      <c r="G542" t="inlineStr">
        <is>
          <t>FALUN</t>
        </is>
      </c>
      <c r="H542" t="inlineStr">
        <is>
          <t>Bergvik skog väst AB</t>
        </is>
      </c>
      <c r="I542" t="n">
        <v>6.8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22056-2026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46153</v>
      </c>
      <c r="E543" s="1" t="n">
        <v>46314</v>
      </c>
      <c r="F543" t="inlineStr">
        <is>
          <t>DALARNAS LÄN</t>
        </is>
      </c>
      <c r="G543" t="inlineStr">
        <is>
          <t>FALUN</t>
        </is>
      </c>
      <c r="I543" t="n">
        <v>3.1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21970-2026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46153</v>
      </c>
      <c r="E544" s="1" t="n">
        <v>46314</v>
      </c>
      <c r="F544" t="inlineStr">
        <is>
          <t>DALARNAS LÄN</t>
        </is>
      </c>
      <c r="G544" t="inlineStr">
        <is>
          <t>FALUN</t>
        </is>
      </c>
      <c r="I544" t="n">
        <v>3.3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6953-2026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46056</v>
      </c>
      <c r="E545" s="1" t="n">
        <v>46314</v>
      </c>
      <c r="F545" t="inlineStr">
        <is>
          <t>DALARNAS LÄN</t>
        </is>
      </c>
      <c r="G545" t="inlineStr">
        <is>
          <t>FALUN</t>
        </is>
      </c>
      <c r="H545" t="inlineStr">
        <is>
          <t>Allmännings- och besparingsskogar</t>
        </is>
      </c>
      <c r="I545" t="n">
        <v>2.4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16655-2026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46112</v>
      </c>
      <c r="E546" s="1" t="n">
        <v>46314</v>
      </c>
      <c r="F546" t="inlineStr">
        <is>
          <t>DALARNAS LÄN</t>
        </is>
      </c>
      <c r="G546" t="inlineStr">
        <is>
          <t>FALUN</t>
        </is>
      </c>
      <c r="I546" t="n">
        <v>4.7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294-2026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46027</v>
      </c>
      <c r="E547" s="1" t="n">
        <v>46314</v>
      </c>
      <c r="F547" t="inlineStr">
        <is>
          <t>DALARNAS LÄN</t>
        </is>
      </c>
      <c r="G547" t="inlineStr">
        <is>
          <t>FALUN</t>
        </is>
      </c>
      <c r="I547" t="n">
        <v>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1436-2026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46032</v>
      </c>
      <c r="E548" s="1" t="n">
        <v>46314</v>
      </c>
      <c r="F548" t="inlineStr">
        <is>
          <t>DALARNAS LÄN</t>
        </is>
      </c>
      <c r="G548" t="inlineStr">
        <is>
          <t>FALUN</t>
        </is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3585-2026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46042</v>
      </c>
      <c r="E549" s="1" t="n">
        <v>46314</v>
      </c>
      <c r="F549" t="inlineStr">
        <is>
          <t>DALARNAS LÄN</t>
        </is>
      </c>
      <c r="G549" t="inlineStr">
        <is>
          <t>FALUN</t>
        </is>
      </c>
      <c r="I549" t="n">
        <v>2.6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3651-2026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46043</v>
      </c>
      <c r="E550" s="1" t="n">
        <v>46314</v>
      </c>
      <c r="F550" t="inlineStr">
        <is>
          <t>DALARNAS LÄN</t>
        </is>
      </c>
      <c r="G550" t="inlineStr">
        <is>
          <t>FALUN</t>
        </is>
      </c>
      <c r="I550" t="n">
        <v>2.5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65056-2023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45287</v>
      </c>
      <c r="E551" s="1" t="n">
        <v>46314</v>
      </c>
      <c r="F551" t="inlineStr">
        <is>
          <t>DALARNAS LÄN</t>
        </is>
      </c>
      <c r="G551" t="inlineStr">
        <is>
          <t>FALUN</t>
        </is>
      </c>
      <c r="I551" t="n">
        <v>7.2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21829-2026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46150</v>
      </c>
      <c r="E552" s="1" t="n">
        <v>46314</v>
      </c>
      <c r="F552" t="inlineStr">
        <is>
          <t>DALARNAS LÄN</t>
        </is>
      </c>
      <c r="G552" t="inlineStr">
        <is>
          <t>FALUN</t>
        </is>
      </c>
      <c r="I552" t="n">
        <v>0.9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21830-2026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46150</v>
      </c>
      <c r="E553" s="1" t="n">
        <v>46314</v>
      </c>
      <c r="F553" t="inlineStr">
        <is>
          <t>DALARNAS LÄN</t>
        </is>
      </c>
      <c r="G553" t="inlineStr">
        <is>
          <t>FALUN</t>
        </is>
      </c>
      <c r="I553" t="n">
        <v>0.9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48866-2025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45937</v>
      </c>
      <c r="E554" s="1" t="n">
        <v>46314</v>
      </c>
      <c r="F554" t="inlineStr">
        <is>
          <t>DALARNAS LÄN</t>
        </is>
      </c>
      <c r="G554" t="inlineStr">
        <is>
          <t>FALUN</t>
        </is>
      </c>
      <c r="I554" t="n">
        <v>4.9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9774-2026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46072</v>
      </c>
      <c r="E555" s="1" t="n">
        <v>46314</v>
      </c>
      <c r="F555" t="inlineStr">
        <is>
          <t>DALARNAS LÄN</t>
        </is>
      </c>
      <c r="G555" t="inlineStr">
        <is>
          <t>FALUN</t>
        </is>
      </c>
      <c r="I555" t="n">
        <v>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9841-2026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46072</v>
      </c>
      <c r="E556" s="1" t="n">
        <v>46314</v>
      </c>
      <c r="F556" t="inlineStr">
        <is>
          <t>DALARNAS LÄN</t>
        </is>
      </c>
      <c r="G556" t="inlineStr">
        <is>
          <t>FALUN</t>
        </is>
      </c>
      <c r="I556" t="n">
        <v>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14411-2026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46100</v>
      </c>
      <c r="E557" s="1" t="n">
        <v>46314</v>
      </c>
      <c r="F557" t="inlineStr">
        <is>
          <t>DALARNAS LÄN</t>
        </is>
      </c>
      <c r="G557" t="inlineStr">
        <is>
          <t>FALUN</t>
        </is>
      </c>
      <c r="H557" t="inlineStr">
        <is>
          <t>Bergvik skog väst AB</t>
        </is>
      </c>
      <c r="I557" t="n">
        <v>14.5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13812-2026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46098</v>
      </c>
      <c r="E558" s="1" t="n">
        <v>46314</v>
      </c>
      <c r="F558" t="inlineStr">
        <is>
          <t>DALARNAS LÄN</t>
        </is>
      </c>
      <c r="G558" t="inlineStr">
        <is>
          <t>FALUN</t>
        </is>
      </c>
      <c r="I558" t="n">
        <v>4.8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13237-2026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46093</v>
      </c>
      <c r="E559" s="1" t="n">
        <v>46314</v>
      </c>
      <c r="F559" t="inlineStr">
        <is>
          <t>DALARNAS LÄN</t>
        </is>
      </c>
      <c r="G559" t="inlineStr">
        <is>
          <t>FALUN</t>
        </is>
      </c>
      <c r="H559" t="inlineStr">
        <is>
          <t>Bergvik skog väst AB</t>
        </is>
      </c>
      <c r="I559" t="n">
        <v>0.9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21837-2026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46150</v>
      </c>
      <c r="E560" s="1" t="n">
        <v>46314</v>
      </c>
      <c r="F560" t="inlineStr">
        <is>
          <t>DALARNAS LÄN</t>
        </is>
      </c>
      <c r="G560" t="inlineStr">
        <is>
          <t>FALUN</t>
        </is>
      </c>
      <c r="I560" t="n">
        <v>0.9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21823-2026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46150</v>
      </c>
      <c r="E561" s="1" t="n">
        <v>46314</v>
      </c>
      <c r="F561" t="inlineStr">
        <is>
          <t>DALARNAS LÄN</t>
        </is>
      </c>
      <c r="G561" t="inlineStr">
        <is>
          <t>FALUN</t>
        </is>
      </c>
      <c r="I561" t="n">
        <v>0.9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21834-2026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46150</v>
      </c>
      <c r="E562" s="1" t="n">
        <v>46314</v>
      </c>
      <c r="F562" t="inlineStr">
        <is>
          <t>DALARNAS LÄN</t>
        </is>
      </c>
      <c r="G562" t="inlineStr">
        <is>
          <t>FALUN</t>
        </is>
      </c>
      <c r="I562" t="n">
        <v>0.5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39914-2024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45553</v>
      </c>
      <c r="E563" s="1" t="n">
        <v>46314</v>
      </c>
      <c r="F563" t="inlineStr">
        <is>
          <t>DALARNAS LÄN</t>
        </is>
      </c>
      <c r="G563" t="inlineStr">
        <is>
          <t>FALUN</t>
        </is>
      </c>
      <c r="H563" t="inlineStr">
        <is>
          <t>Bergvik skog väst AB</t>
        </is>
      </c>
      <c r="I563" t="n">
        <v>4.1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49134-2025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45937</v>
      </c>
      <c r="E564" s="1" t="n">
        <v>46314</v>
      </c>
      <c r="F564" t="inlineStr">
        <is>
          <t>DALARNAS LÄN</t>
        </is>
      </c>
      <c r="G564" t="inlineStr">
        <is>
          <t>FALUN</t>
        </is>
      </c>
      <c r="I564" t="n">
        <v>2.3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6070-2023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44964</v>
      </c>
      <c r="E565" s="1" t="n">
        <v>46314</v>
      </c>
      <c r="F565" t="inlineStr">
        <is>
          <t>DALARNAS LÄN</t>
        </is>
      </c>
      <c r="G565" t="inlineStr">
        <is>
          <t>FALUN</t>
        </is>
      </c>
      <c r="I565" t="n">
        <v>1.1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49150-2025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45938</v>
      </c>
      <c r="E566" s="1" t="n">
        <v>46314</v>
      </c>
      <c r="F566" t="inlineStr">
        <is>
          <t>DALARNAS LÄN</t>
        </is>
      </c>
      <c r="G566" t="inlineStr">
        <is>
          <t>FALUN</t>
        </is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21972-2026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46153</v>
      </c>
      <c r="E567" s="1" t="n">
        <v>46314</v>
      </c>
      <c r="F567" t="inlineStr">
        <is>
          <t>DALARNAS LÄN</t>
        </is>
      </c>
      <c r="G567" t="inlineStr">
        <is>
          <t>FALUN</t>
        </is>
      </c>
      <c r="I567" t="n">
        <v>13.9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2235-2026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46036</v>
      </c>
      <c r="E568" s="1" t="n">
        <v>46314</v>
      </c>
      <c r="F568" t="inlineStr">
        <is>
          <t>DALARNAS LÄN</t>
        </is>
      </c>
      <c r="G568" t="inlineStr">
        <is>
          <t>FALUN</t>
        </is>
      </c>
      <c r="I568" t="n">
        <v>3.6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49891-2025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45940</v>
      </c>
      <c r="E569" s="1" t="n">
        <v>46314</v>
      </c>
      <c r="F569" t="inlineStr">
        <is>
          <t>DALARNAS LÄN</t>
        </is>
      </c>
      <c r="G569" t="inlineStr">
        <is>
          <t>FALUN</t>
        </is>
      </c>
      <c r="I569" t="n">
        <v>1.1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49905-2025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45940</v>
      </c>
      <c r="E570" s="1" t="n">
        <v>46314</v>
      </c>
      <c r="F570" t="inlineStr">
        <is>
          <t>DALARNAS LÄN</t>
        </is>
      </c>
      <c r="G570" t="inlineStr">
        <is>
          <t>FALUN</t>
        </is>
      </c>
      <c r="I570" t="n">
        <v>1.1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4614-2026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46048</v>
      </c>
      <c r="E571" s="1" t="n">
        <v>46314</v>
      </c>
      <c r="F571" t="inlineStr">
        <is>
          <t>DALARNAS LÄN</t>
        </is>
      </c>
      <c r="G571" t="inlineStr">
        <is>
          <t>FALUN</t>
        </is>
      </c>
      <c r="I571" t="n">
        <v>2.9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49877-2025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45940</v>
      </c>
      <c r="E572" s="1" t="n">
        <v>46314</v>
      </c>
      <c r="F572" t="inlineStr">
        <is>
          <t>DALARNAS LÄN</t>
        </is>
      </c>
      <c r="G572" t="inlineStr">
        <is>
          <t>FALUN</t>
        </is>
      </c>
      <c r="I572" t="n">
        <v>1.2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50630-2025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45945</v>
      </c>
      <c r="E573" s="1" t="n">
        <v>46314</v>
      </c>
      <c r="F573" t="inlineStr">
        <is>
          <t>DALARNAS LÄN</t>
        </is>
      </c>
      <c r="G573" t="inlineStr">
        <is>
          <t>FALUN</t>
        </is>
      </c>
      <c r="I573" t="n">
        <v>0.6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22505-2026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46155</v>
      </c>
      <c r="E574" s="1" t="n">
        <v>46314</v>
      </c>
      <c r="F574" t="inlineStr">
        <is>
          <t>DALARNAS LÄN</t>
        </is>
      </c>
      <c r="G574" t="inlineStr">
        <is>
          <t>FALUN</t>
        </is>
      </c>
      <c r="H574" t="inlineStr">
        <is>
          <t>Bergvik skog väst AB</t>
        </is>
      </c>
      <c r="I574" t="n">
        <v>2.4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22565-2026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46155</v>
      </c>
      <c r="E575" s="1" t="n">
        <v>46314</v>
      </c>
      <c r="F575" t="inlineStr">
        <is>
          <t>DALARNAS LÄN</t>
        </is>
      </c>
      <c r="G575" t="inlineStr">
        <is>
          <t>FALUN</t>
        </is>
      </c>
      <c r="H575" t="inlineStr">
        <is>
          <t>Bergvik skog väst AB</t>
        </is>
      </c>
      <c r="I575" t="n">
        <v>0.6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22365-2026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46154</v>
      </c>
      <c r="E576" s="1" t="n">
        <v>46314</v>
      </c>
      <c r="F576" t="inlineStr">
        <is>
          <t>DALARNAS LÄN</t>
        </is>
      </c>
      <c r="G576" t="inlineStr">
        <is>
          <t>FALUN</t>
        </is>
      </c>
      <c r="I576" t="n">
        <v>5.3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22374-2026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46154</v>
      </c>
      <c r="E577" s="1" t="n">
        <v>46314</v>
      </c>
      <c r="F577" t="inlineStr">
        <is>
          <t>DALARNAS LÄN</t>
        </is>
      </c>
      <c r="G577" t="inlineStr">
        <is>
          <t>FALUN</t>
        </is>
      </c>
      <c r="I577" t="n">
        <v>3.4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50300-2025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45944</v>
      </c>
      <c r="E578" s="1" t="n">
        <v>46314</v>
      </c>
      <c r="F578" t="inlineStr">
        <is>
          <t>DALARNAS LÄN</t>
        </is>
      </c>
      <c r="G578" t="inlineStr">
        <is>
          <t>FALUN</t>
        </is>
      </c>
      <c r="H578" t="inlineStr">
        <is>
          <t>Bergvik skog väst AB</t>
        </is>
      </c>
      <c r="I578" t="n">
        <v>13.2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17132-2026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46114</v>
      </c>
      <c r="E579" s="1" t="n">
        <v>46314</v>
      </c>
      <c r="F579" t="inlineStr">
        <is>
          <t>DALARNAS LÄN</t>
        </is>
      </c>
      <c r="G579" t="inlineStr">
        <is>
          <t>FALUN</t>
        </is>
      </c>
      <c r="I579" t="n">
        <v>20.1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17213-2026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46119</v>
      </c>
      <c r="E580" s="1" t="n">
        <v>46314</v>
      </c>
      <c r="F580" t="inlineStr">
        <is>
          <t>DALARNAS LÄN</t>
        </is>
      </c>
      <c r="G580" t="inlineStr">
        <is>
          <t>FALUN</t>
        </is>
      </c>
      <c r="I580" t="n">
        <v>4.9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22634-2026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46155</v>
      </c>
      <c r="E581" s="1" t="n">
        <v>46314</v>
      </c>
      <c r="F581" t="inlineStr">
        <is>
          <t>DALARNAS LÄN</t>
        </is>
      </c>
      <c r="G581" t="inlineStr">
        <is>
          <t>FALUN</t>
        </is>
      </c>
      <c r="I581" t="n">
        <v>2.3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27495-2022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44742</v>
      </c>
      <c r="E582" s="1" t="n">
        <v>46314</v>
      </c>
      <c r="F582" t="inlineStr">
        <is>
          <t>DALARNAS LÄN</t>
        </is>
      </c>
      <c r="G582" t="inlineStr">
        <is>
          <t>FALUN</t>
        </is>
      </c>
      <c r="H582" t="inlineStr">
        <is>
          <t>Kyrkan</t>
        </is>
      </c>
      <c r="I582" t="n">
        <v>1.7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26615-2022</t>
        </is>
      </c>
      <c r="B583" t="inlineStr">
        <is>
          <t>avverkningsanmälan</t>
        </is>
      </c>
      <c r="C583" t="inlineStr">
        <is>
          <t>Avverkning för annat ändamål</t>
        </is>
      </c>
      <c r="D583" s="1" t="n">
        <v>44739</v>
      </c>
      <c r="E583" s="1" t="n">
        <v>46314</v>
      </c>
      <c r="F583" t="inlineStr">
        <is>
          <t>DALARNAS LÄN</t>
        </is>
      </c>
      <c r="G583" t="inlineStr">
        <is>
          <t>FALUN</t>
        </is>
      </c>
      <c r="I583" t="n">
        <v>1.3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33931-2024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45523</v>
      </c>
      <c r="E584" s="1" t="n">
        <v>46314</v>
      </c>
      <c r="F584" t="inlineStr">
        <is>
          <t>DALARNAS LÄN</t>
        </is>
      </c>
      <c r="G584" t="inlineStr">
        <is>
          <t>FALUN</t>
        </is>
      </c>
      <c r="I584" t="n">
        <v>0.5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33998-2024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45523</v>
      </c>
      <c r="E585" s="1" t="n">
        <v>46314</v>
      </c>
      <c r="F585" t="inlineStr">
        <is>
          <t>DALARNAS LÄN</t>
        </is>
      </c>
      <c r="G585" t="inlineStr">
        <is>
          <t>FALUN</t>
        </is>
      </c>
      <c r="H585" t="inlineStr">
        <is>
          <t>Bergvik skog väst AB</t>
        </is>
      </c>
      <c r="I585" t="n">
        <v>0.8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22382-2026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46154</v>
      </c>
      <c r="E586" s="1" t="n">
        <v>46314</v>
      </c>
      <c r="F586" t="inlineStr">
        <is>
          <t>DALARNAS LÄN</t>
        </is>
      </c>
      <c r="G586" t="inlineStr">
        <is>
          <t>FALUN</t>
        </is>
      </c>
      <c r="I586" t="n">
        <v>0.7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51306-2025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45950</v>
      </c>
      <c r="E587" s="1" t="n">
        <v>46314</v>
      </c>
      <c r="F587" t="inlineStr">
        <is>
          <t>DALARNAS LÄN</t>
        </is>
      </c>
      <c r="G587" t="inlineStr">
        <is>
          <t>FALUN</t>
        </is>
      </c>
      <c r="I587" t="n">
        <v>6.7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2711-2026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46037</v>
      </c>
      <c r="E588" s="1" t="n">
        <v>46314</v>
      </c>
      <c r="F588" t="inlineStr">
        <is>
          <t>DALARNAS LÄN</t>
        </is>
      </c>
      <c r="G588" t="inlineStr">
        <is>
          <t>FALUN</t>
        </is>
      </c>
      <c r="I588" t="n">
        <v>1.8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22658-2026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46155</v>
      </c>
      <c r="E589" s="1" t="n">
        <v>46314</v>
      </c>
      <c r="F589" t="inlineStr">
        <is>
          <t>DALARNAS LÄN</t>
        </is>
      </c>
      <c r="G589" t="inlineStr">
        <is>
          <t>FALUN</t>
        </is>
      </c>
      <c r="I589" t="n">
        <v>10.2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19717-2026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46134</v>
      </c>
      <c r="E590" s="1" t="n">
        <v>46314</v>
      </c>
      <c r="F590" t="inlineStr">
        <is>
          <t>DALARNAS LÄN</t>
        </is>
      </c>
      <c r="G590" t="inlineStr">
        <is>
          <t>FALUN</t>
        </is>
      </c>
      <c r="I590" t="n">
        <v>3.1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3078-2026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46040</v>
      </c>
      <c r="E591" s="1" t="n">
        <v>46314</v>
      </c>
      <c r="F591" t="inlineStr">
        <is>
          <t>DALARNAS LÄN</t>
        </is>
      </c>
      <c r="G591" t="inlineStr">
        <is>
          <t>FALUN</t>
        </is>
      </c>
      <c r="I591" t="n">
        <v>3.8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22477-2026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46155</v>
      </c>
      <c r="E592" s="1" t="n">
        <v>46314</v>
      </c>
      <c r="F592" t="inlineStr">
        <is>
          <t>DALARNAS LÄN</t>
        </is>
      </c>
      <c r="G592" t="inlineStr">
        <is>
          <t>FALUN</t>
        </is>
      </c>
      <c r="I592" t="n">
        <v>2.1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1467-2026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46033</v>
      </c>
      <c r="E593" s="1" t="n">
        <v>46314</v>
      </c>
      <c r="F593" t="inlineStr">
        <is>
          <t>DALARNAS LÄN</t>
        </is>
      </c>
      <c r="G593" t="inlineStr">
        <is>
          <t>FALUN</t>
        </is>
      </c>
      <c r="I593" t="n">
        <v>1.1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22397-2026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46154</v>
      </c>
      <c r="E594" s="1" t="n">
        <v>46314</v>
      </c>
      <c r="F594" t="inlineStr">
        <is>
          <t>DALARNAS LÄN</t>
        </is>
      </c>
      <c r="G594" t="inlineStr">
        <is>
          <t>FALUN</t>
        </is>
      </c>
      <c r="H594" t="inlineStr">
        <is>
          <t>Bergvik skog väst AB</t>
        </is>
      </c>
      <c r="I594" t="n">
        <v>2.3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22614-2026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46155</v>
      </c>
      <c r="E595" s="1" t="n">
        <v>46314</v>
      </c>
      <c r="F595" t="inlineStr">
        <is>
          <t>DALARNAS LÄN</t>
        </is>
      </c>
      <c r="G595" t="inlineStr">
        <is>
          <t>FALUN</t>
        </is>
      </c>
      <c r="I595" t="n">
        <v>4.1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22617-2026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46155</v>
      </c>
      <c r="E596" s="1" t="n">
        <v>46314</v>
      </c>
      <c r="F596" t="inlineStr">
        <is>
          <t>DALARNAS LÄN</t>
        </is>
      </c>
      <c r="G596" t="inlineStr">
        <is>
          <t>FALUN</t>
        </is>
      </c>
      <c r="I596" t="n">
        <v>3.9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22622-2026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46155</v>
      </c>
      <c r="E597" s="1" t="n">
        <v>46314</v>
      </c>
      <c r="F597" t="inlineStr">
        <is>
          <t>DALARNAS LÄN</t>
        </is>
      </c>
      <c r="G597" t="inlineStr">
        <is>
          <t>FALUN</t>
        </is>
      </c>
      <c r="I597" t="n">
        <v>0.7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22295-2026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46154</v>
      </c>
      <c r="E598" s="1" t="n">
        <v>46314</v>
      </c>
      <c r="F598" t="inlineStr">
        <is>
          <t>DALARNAS LÄN</t>
        </is>
      </c>
      <c r="G598" t="inlineStr">
        <is>
          <t>FALUN</t>
        </is>
      </c>
      <c r="I598" t="n">
        <v>4.2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22368-2026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46154</v>
      </c>
      <c r="E599" s="1" t="n">
        <v>46314</v>
      </c>
      <c r="F599" t="inlineStr">
        <is>
          <t>DALARNAS LÄN</t>
        </is>
      </c>
      <c r="G599" t="inlineStr">
        <is>
          <t>FALUN</t>
        </is>
      </c>
      <c r="I599" t="n">
        <v>0.8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52460-2025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45954</v>
      </c>
      <c r="E600" s="1" t="n">
        <v>46314</v>
      </c>
      <c r="F600" t="inlineStr">
        <is>
          <t>DALARNAS LÄN</t>
        </is>
      </c>
      <c r="G600" t="inlineStr">
        <is>
          <t>FALUN</t>
        </is>
      </c>
      <c r="H600" t="inlineStr">
        <is>
          <t>Bergvik skog väst AB</t>
        </is>
      </c>
      <c r="I600" t="n">
        <v>6.1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22616-2026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46155</v>
      </c>
      <c r="E601" s="1" t="n">
        <v>46314</v>
      </c>
      <c r="F601" t="inlineStr">
        <is>
          <t>DALARNAS LÄN</t>
        </is>
      </c>
      <c r="G601" t="inlineStr">
        <is>
          <t>FALUN</t>
        </is>
      </c>
      <c r="I601" t="n">
        <v>3.7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52752-2025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45957</v>
      </c>
      <c r="E602" s="1" t="n">
        <v>46314</v>
      </c>
      <c r="F602" t="inlineStr">
        <is>
          <t>DALARNAS LÄN</t>
        </is>
      </c>
      <c r="G602" t="inlineStr">
        <is>
          <t>FALUN</t>
        </is>
      </c>
      <c r="I602" t="n">
        <v>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22430-2026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46154</v>
      </c>
      <c r="E603" s="1" t="n">
        <v>46314</v>
      </c>
      <c r="F603" t="inlineStr">
        <is>
          <t>DALARNAS LÄN</t>
        </is>
      </c>
      <c r="G603" t="inlineStr">
        <is>
          <t>FALUN</t>
        </is>
      </c>
      <c r="I603" t="n">
        <v>1.2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17888-2026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46122</v>
      </c>
      <c r="E604" s="1" t="n">
        <v>46314</v>
      </c>
      <c r="F604" t="inlineStr">
        <is>
          <t>DALARNAS LÄN</t>
        </is>
      </c>
      <c r="G604" t="inlineStr">
        <is>
          <t>FALUN</t>
        </is>
      </c>
      <c r="I604" t="n">
        <v>6.3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14658-2026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46101</v>
      </c>
      <c r="E605" s="1" t="n">
        <v>46314</v>
      </c>
      <c r="F605" t="inlineStr">
        <is>
          <t>DALARNAS LÄN</t>
        </is>
      </c>
      <c r="G605" t="inlineStr">
        <is>
          <t>FALUN</t>
        </is>
      </c>
      <c r="I605" t="n">
        <v>4.1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6789-2026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46057</v>
      </c>
      <c r="E606" s="1" t="n">
        <v>46314</v>
      </c>
      <c r="F606" t="inlineStr">
        <is>
          <t>DALARNAS LÄN</t>
        </is>
      </c>
      <c r="G606" t="inlineStr">
        <is>
          <t>FALUN</t>
        </is>
      </c>
      <c r="I606" t="n">
        <v>1.9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16454-2026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46112</v>
      </c>
      <c r="E607" s="1" t="n">
        <v>46314</v>
      </c>
      <c r="F607" t="inlineStr">
        <is>
          <t>DALARNAS LÄN</t>
        </is>
      </c>
      <c r="G607" t="inlineStr">
        <is>
          <t>FALUN</t>
        </is>
      </c>
      <c r="I607" t="n">
        <v>6.8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52836-2025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45957</v>
      </c>
      <c r="E608" s="1" t="n">
        <v>46314</v>
      </c>
      <c r="F608" t="inlineStr">
        <is>
          <t>DALARNAS LÄN</t>
        </is>
      </c>
      <c r="G608" t="inlineStr">
        <is>
          <t>FALUN</t>
        </is>
      </c>
      <c r="I608" t="n">
        <v>1.4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22624-2026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46155</v>
      </c>
      <c r="E609" s="1" t="n">
        <v>46314</v>
      </c>
      <c r="F609" t="inlineStr">
        <is>
          <t>DALARNAS LÄN</t>
        </is>
      </c>
      <c r="G609" t="inlineStr">
        <is>
          <t>FALUN</t>
        </is>
      </c>
      <c r="I609" t="n">
        <v>1.1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22299-2026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46154</v>
      </c>
      <c r="E610" s="1" t="n">
        <v>46314</v>
      </c>
      <c r="F610" t="inlineStr">
        <is>
          <t>DALARNAS LÄN</t>
        </is>
      </c>
      <c r="G610" t="inlineStr">
        <is>
          <t>FALUN</t>
        </is>
      </c>
      <c r="I610" t="n">
        <v>1.1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22322-2026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46154</v>
      </c>
      <c r="E611" s="1" t="n">
        <v>46314</v>
      </c>
      <c r="F611" t="inlineStr">
        <is>
          <t>DALARNAS LÄN</t>
        </is>
      </c>
      <c r="G611" t="inlineStr">
        <is>
          <t>FALUN</t>
        </is>
      </c>
      <c r="I611" t="n">
        <v>7.1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14511-2026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46100</v>
      </c>
      <c r="E612" s="1" t="n">
        <v>46314</v>
      </c>
      <c r="F612" t="inlineStr">
        <is>
          <t>DALARNAS LÄN</t>
        </is>
      </c>
      <c r="G612" t="inlineStr">
        <is>
          <t>FALUN</t>
        </is>
      </c>
      <c r="I612" t="n">
        <v>3.7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16334-2023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45028</v>
      </c>
      <c r="E613" s="1" t="n">
        <v>46314</v>
      </c>
      <c r="F613" t="inlineStr">
        <is>
          <t>DALARNAS LÄN</t>
        </is>
      </c>
      <c r="G613" t="inlineStr">
        <is>
          <t>FALUN</t>
        </is>
      </c>
      <c r="I613" t="n">
        <v>1.4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15999-2024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45405</v>
      </c>
      <c r="E614" s="1" t="n">
        <v>46314</v>
      </c>
      <c r="F614" t="inlineStr">
        <is>
          <t>DALARNAS LÄN</t>
        </is>
      </c>
      <c r="G614" t="inlineStr">
        <is>
          <t>FALUN</t>
        </is>
      </c>
      <c r="I614" t="n">
        <v>1.6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15714-2026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46107</v>
      </c>
      <c r="E615" s="1" t="n">
        <v>46314</v>
      </c>
      <c r="F615" t="inlineStr">
        <is>
          <t>DALARNAS LÄN</t>
        </is>
      </c>
      <c r="G615" t="inlineStr">
        <is>
          <t>FALUN</t>
        </is>
      </c>
      <c r="I615" t="n">
        <v>6.3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52605-2025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45954</v>
      </c>
      <c r="E616" s="1" t="n">
        <v>46314</v>
      </c>
      <c r="F616" t="inlineStr">
        <is>
          <t>DALARNAS LÄN</t>
        </is>
      </c>
      <c r="G616" t="inlineStr">
        <is>
          <t>FALUN</t>
        </is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53202-2025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45958</v>
      </c>
      <c r="E617" s="1" t="n">
        <v>46314</v>
      </c>
      <c r="F617" t="inlineStr">
        <is>
          <t>DALARNAS LÄN</t>
        </is>
      </c>
      <c r="G617" t="inlineStr">
        <is>
          <t>FALUN</t>
        </is>
      </c>
      <c r="I617" t="n">
        <v>0.5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17507-2025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45757</v>
      </c>
      <c r="E618" s="1" t="n">
        <v>46314</v>
      </c>
      <c r="F618" t="inlineStr">
        <is>
          <t>DALARNAS LÄN</t>
        </is>
      </c>
      <c r="G618" t="inlineStr">
        <is>
          <t>FALUN</t>
        </is>
      </c>
      <c r="H618" t="inlineStr">
        <is>
          <t>Bergvik skog väst AB</t>
        </is>
      </c>
      <c r="I618" t="n">
        <v>11.2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18714-2026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46128</v>
      </c>
      <c r="E619" s="1" t="n">
        <v>46314</v>
      </c>
      <c r="F619" t="inlineStr">
        <is>
          <t>DALARNAS LÄN</t>
        </is>
      </c>
      <c r="G619" t="inlineStr">
        <is>
          <t>FALUN</t>
        </is>
      </c>
      <c r="H619" t="inlineStr">
        <is>
          <t>Bergvik skog väst AB</t>
        </is>
      </c>
      <c r="I619" t="n">
        <v>3.1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22694-2026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46156</v>
      </c>
      <c r="E620" s="1" t="n">
        <v>46314</v>
      </c>
      <c r="F620" t="inlineStr">
        <is>
          <t>DALARNAS LÄN</t>
        </is>
      </c>
      <c r="G620" t="inlineStr">
        <is>
          <t>FALUN</t>
        </is>
      </c>
      <c r="I620" t="n">
        <v>10.2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22715-2026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46156</v>
      </c>
      <c r="E621" s="1" t="n">
        <v>46314</v>
      </c>
      <c r="F621" t="inlineStr">
        <is>
          <t>DALARNAS LÄN</t>
        </is>
      </c>
      <c r="G621" t="inlineStr">
        <is>
          <t>FALUN</t>
        </is>
      </c>
      <c r="H621" t="inlineStr">
        <is>
          <t>Bergvik skog väst AB</t>
        </is>
      </c>
      <c r="I621" t="n">
        <v>1.1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22696-2026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46156</v>
      </c>
      <c r="E622" s="1" t="n">
        <v>46314</v>
      </c>
      <c r="F622" t="inlineStr">
        <is>
          <t>DALARNAS LÄN</t>
        </is>
      </c>
      <c r="G622" t="inlineStr">
        <is>
          <t>FALUN</t>
        </is>
      </c>
      <c r="I622" t="n">
        <v>0.5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22907-2026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46160</v>
      </c>
      <c r="E623" s="1" t="n">
        <v>46314</v>
      </c>
      <c r="F623" t="inlineStr">
        <is>
          <t>DALARNAS LÄN</t>
        </is>
      </c>
      <c r="G623" t="inlineStr">
        <is>
          <t>FALUN</t>
        </is>
      </c>
      <c r="I623" t="n">
        <v>1.3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25894-2025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45804</v>
      </c>
      <c r="E624" s="1" t="n">
        <v>46314</v>
      </c>
      <c r="F624" t="inlineStr">
        <is>
          <t>DALARNAS LÄN</t>
        </is>
      </c>
      <c r="G624" t="inlineStr">
        <is>
          <t>FALUN</t>
        </is>
      </c>
      <c r="H624" t="inlineStr">
        <is>
          <t>Bergvik skog väst AB</t>
        </is>
      </c>
      <c r="I624" t="n">
        <v>17.5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53996-2025</t>
        </is>
      </c>
      <c r="B625" t="inlineStr">
        <is>
          <t>avverkningsanmälan</t>
        </is>
      </c>
      <c r="C625" t="inlineStr">
        <is>
          <t>Avverkning för att bevara och utveckla /försöksver</t>
        </is>
      </c>
      <c r="D625" s="1" t="n">
        <v>45961</v>
      </c>
      <c r="E625" s="1" t="n">
        <v>46314</v>
      </c>
      <c r="F625" t="inlineStr">
        <is>
          <t>DALARNAS LÄN</t>
        </is>
      </c>
      <c r="G625" t="inlineStr">
        <is>
          <t>FALUN</t>
        </is>
      </c>
      <c r="H625" t="inlineStr">
        <is>
          <t>Bergvik skog väst AB</t>
        </is>
      </c>
      <c r="I625" t="n">
        <v>4.8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6747-2026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46056</v>
      </c>
      <c r="E626" s="1" t="n">
        <v>46314</v>
      </c>
      <c r="F626" t="inlineStr">
        <is>
          <t>DALARNAS LÄN</t>
        </is>
      </c>
      <c r="G626" t="inlineStr">
        <is>
          <t>FALUN</t>
        </is>
      </c>
      <c r="I626" t="n">
        <v>1.3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11712-2026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46084</v>
      </c>
      <c r="E627" s="1" t="n">
        <v>46314</v>
      </c>
      <c r="F627" t="inlineStr">
        <is>
          <t>DALARNAS LÄN</t>
        </is>
      </c>
      <c r="G627" t="inlineStr">
        <is>
          <t>FALUN</t>
        </is>
      </c>
      <c r="H627" t="inlineStr">
        <is>
          <t>Bergvik skog väst AB</t>
        </is>
      </c>
      <c r="I627" t="n">
        <v>5.9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58322-2023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45250</v>
      </c>
      <c r="E628" s="1" t="n">
        <v>46314</v>
      </c>
      <c r="F628" t="inlineStr">
        <is>
          <t>DALARNAS LÄN</t>
        </is>
      </c>
      <c r="G628" t="inlineStr">
        <is>
          <t>FALUN</t>
        </is>
      </c>
      <c r="I628" t="n">
        <v>0.4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54335-2025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45965</v>
      </c>
      <c r="E629" s="1" t="n">
        <v>46314</v>
      </c>
      <c r="F629" t="inlineStr">
        <is>
          <t>DALARNAS LÄN</t>
        </is>
      </c>
      <c r="G629" t="inlineStr">
        <is>
          <t>FALUN</t>
        </is>
      </c>
      <c r="I629" t="n">
        <v>1.2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23156-2026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46161</v>
      </c>
      <c r="E630" s="1" t="n">
        <v>46314</v>
      </c>
      <c r="F630" t="inlineStr">
        <is>
          <t>DALARNAS LÄN</t>
        </is>
      </c>
      <c r="G630" t="inlineStr">
        <is>
          <t>FALUN</t>
        </is>
      </c>
      <c r="H630" t="inlineStr">
        <is>
          <t>Bergvik skog väst AB</t>
        </is>
      </c>
      <c r="I630" t="n">
        <v>8.1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23158-2026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46161</v>
      </c>
      <c r="E631" s="1" t="n">
        <v>46314</v>
      </c>
      <c r="F631" t="inlineStr">
        <is>
          <t>DALARNAS LÄN</t>
        </is>
      </c>
      <c r="G631" t="inlineStr">
        <is>
          <t>FALUN</t>
        </is>
      </c>
      <c r="H631" t="inlineStr">
        <is>
          <t>Bergvik skog väst AB</t>
        </is>
      </c>
      <c r="I631" t="n">
        <v>1.2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23159-2026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46161</v>
      </c>
      <c r="E632" s="1" t="n">
        <v>46314</v>
      </c>
      <c r="F632" t="inlineStr">
        <is>
          <t>DALARNAS LÄN</t>
        </is>
      </c>
      <c r="G632" t="inlineStr">
        <is>
          <t>FALUN</t>
        </is>
      </c>
      <c r="H632" t="inlineStr">
        <is>
          <t>Bergvik skog väst AB</t>
        </is>
      </c>
      <c r="I632" t="n">
        <v>2.9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54566-2025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45965</v>
      </c>
      <c r="E633" s="1" t="n">
        <v>46314</v>
      </c>
      <c r="F633" t="inlineStr">
        <is>
          <t>DALARNAS LÄN</t>
        </is>
      </c>
      <c r="G633" t="inlineStr">
        <is>
          <t>FALUN</t>
        </is>
      </c>
      <c r="I633" t="n">
        <v>1.2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22967-2026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46160</v>
      </c>
      <c r="E634" s="1" t="n">
        <v>46314</v>
      </c>
      <c r="F634" t="inlineStr">
        <is>
          <t>DALARNAS LÄN</t>
        </is>
      </c>
      <c r="G634" t="inlineStr">
        <is>
          <t>FALUN</t>
        </is>
      </c>
      <c r="H634" t="inlineStr">
        <is>
          <t>Bergvik skog väst AB</t>
        </is>
      </c>
      <c r="I634" t="n">
        <v>1.8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23044-2026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46161</v>
      </c>
      <c r="E635" s="1" t="n">
        <v>46314</v>
      </c>
      <c r="F635" t="inlineStr">
        <is>
          <t>DALARNAS LÄN</t>
        </is>
      </c>
      <c r="G635" t="inlineStr">
        <is>
          <t>FALUN</t>
        </is>
      </c>
      <c r="I635" t="n">
        <v>0.9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74196-2021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44558</v>
      </c>
      <c r="E636" s="1" t="n">
        <v>46314</v>
      </c>
      <c r="F636" t="inlineStr">
        <is>
          <t>DALARNAS LÄN</t>
        </is>
      </c>
      <c r="G636" t="inlineStr">
        <is>
          <t>FALUN</t>
        </is>
      </c>
      <c r="I636" t="n">
        <v>2.7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40426-2022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44823</v>
      </c>
      <c r="E637" s="1" t="n">
        <v>46314</v>
      </c>
      <c r="F637" t="inlineStr">
        <is>
          <t>DALARNAS LÄN</t>
        </is>
      </c>
      <c r="G637" t="inlineStr">
        <is>
          <t>FALUN</t>
        </is>
      </c>
      <c r="I637" t="n">
        <v>1.1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22881-2026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46160</v>
      </c>
      <c r="E638" s="1" t="n">
        <v>46314</v>
      </c>
      <c r="F638" t="inlineStr">
        <is>
          <t>DALARNAS LÄN</t>
        </is>
      </c>
      <c r="G638" t="inlineStr">
        <is>
          <t>FALUN</t>
        </is>
      </c>
      <c r="H638" t="inlineStr">
        <is>
          <t>Bergvik skog väst AB</t>
        </is>
      </c>
      <c r="I638" t="n">
        <v>2.1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63842-2023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45278</v>
      </c>
      <c r="E639" s="1" t="n">
        <v>46314</v>
      </c>
      <c r="F639" t="inlineStr">
        <is>
          <t>DALARNAS LÄN</t>
        </is>
      </c>
      <c r="G639" t="inlineStr">
        <is>
          <t>FALUN</t>
        </is>
      </c>
      <c r="I639" t="n">
        <v>1.2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55047-2025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45967</v>
      </c>
      <c r="E640" s="1" t="n">
        <v>46314</v>
      </c>
      <c r="F640" t="inlineStr">
        <is>
          <t>DALARNAS LÄN</t>
        </is>
      </c>
      <c r="G640" t="inlineStr">
        <is>
          <t>FALUN</t>
        </is>
      </c>
      <c r="I640" t="n">
        <v>1.5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22927-2026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46160</v>
      </c>
      <c r="E641" s="1" t="n">
        <v>46314</v>
      </c>
      <c r="F641" t="inlineStr">
        <is>
          <t>DALARNAS LÄN</t>
        </is>
      </c>
      <c r="G641" t="inlineStr">
        <is>
          <t>FALUN</t>
        </is>
      </c>
      <c r="H641" t="inlineStr">
        <is>
          <t>Bergvik skog väst AB</t>
        </is>
      </c>
      <c r="I641" t="n">
        <v>0.8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746-2025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45665</v>
      </c>
      <c r="E642" s="1" t="n">
        <v>46314</v>
      </c>
      <c r="F642" t="inlineStr">
        <is>
          <t>DALARNAS LÄN</t>
        </is>
      </c>
      <c r="G642" t="inlineStr">
        <is>
          <t>FALUN</t>
        </is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22857-2026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46160</v>
      </c>
      <c r="E643" s="1" t="n">
        <v>46314</v>
      </c>
      <c r="F643" t="inlineStr">
        <is>
          <t>DALARNAS LÄN</t>
        </is>
      </c>
      <c r="G643" t="inlineStr">
        <is>
          <t>FALUN</t>
        </is>
      </c>
      <c r="H643" t="inlineStr">
        <is>
          <t>Bergvik skog väst AB</t>
        </is>
      </c>
      <c r="I643" t="n">
        <v>0.8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20448-2026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46140</v>
      </c>
      <c r="E644" s="1" t="n">
        <v>46314</v>
      </c>
      <c r="F644" t="inlineStr">
        <is>
          <t>DALARNAS LÄN</t>
        </is>
      </c>
      <c r="G644" t="inlineStr">
        <is>
          <t>FALUN</t>
        </is>
      </c>
      <c r="H644" t="inlineStr">
        <is>
          <t>Bergvik skog väst AB</t>
        </is>
      </c>
      <c r="I644" t="n">
        <v>2.9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22820-2026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46160</v>
      </c>
      <c r="E645" s="1" t="n">
        <v>46314</v>
      </c>
      <c r="F645" t="inlineStr">
        <is>
          <t>DALARNAS LÄN</t>
        </is>
      </c>
      <c r="G645" t="inlineStr">
        <is>
          <t>FALUN</t>
        </is>
      </c>
      <c r="H645" t="inlineStr">
        <is>
          <t>Bergvik skog väst AB</t>
        </is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55201-2025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45968</v>
      </c>
      <c r="E646" s="1" t="n">
        <v>46314</v>
      </c>
      <c r="F646" t="inlineStr">
        <is>
          <t>DALARNAS LÄN</t>
        </is>
      </c>
      <c r="G646" t="inlineStr">
        <is>
          <t>FALUN</t>
        </is>
      </c>
      <c r="I646" t="n">
        <v>2.5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55516-2025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45971</v>
      </c>
      <c r="E647" s="1" t="n">
        <v>46314</v>
      </c>
      <c r="F647" t="inlineStr">
        <is>
          <t>DALARNAS LÄN</t>
        </is>
      </c>
      <c r="G647" t="inlineStr">
        <is>
          <t>FALUN</t>
        </is>
      </c>
      <c r="H647" t="inlineStr">
        <is>
          <t>Bergvik skog väst AB</t>
        </is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55140-2025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45968</v>
      </c>
      <c r="E648" s="1" t="n">
        <v>46314</v>
      </c>
      <c r="F648" t="inlineStr">
        <is>
          <t>DALARNAS LÄN</t>
        </is>
      </c>
      <c r="G648" t="inlineStr">
        <is>
          <t>FALUN</t>
        </is>
      </c>
      <c r="I648" t="n">
        <v>14.8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42292-2023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45180</v>
      </c>
      <c r="E649" s="1" t="n">
        <v>46314</v>
      </c>
      <c r="F649" t="inlineStr">
        <is>
          <t>DALARNAS LÄN</t>
        </is>
      </c>
      <c r="G649" t="inlineStr">
        <is>
          <t>FALUN</t>
        </is>
      </c>
      <c r="I649" t="n">
        <v>2.7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22961-2026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46160</v>
      </c>
      <c r="E650" s="1" t="n">
        <v>46314</v>
      </c>
      <c r="F650" t="inlineStr">
        <is>
          <t>DALARNAS LÄN</t>
        </is>
      </c>
      <c r="G650" t="inlineStr">
        <is>
          <t>FALUN</t>
        </is>
      </c>
      <c r="H650" t="inlineStr">
        <is>
          <t>Bergvik skog väst AB</t>
        </is>
      </c>
      <c r="I650" t="n">
        <v>1.3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40953-2023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45173</v>
      </c>
      <c r="E651" s="1" t="n">
        <v>46314</v>
      </c>
      <c r="F651" t="inlineStr">
        <is>
          <t>DALARNAS LÄN</t>
        </is>
      </c>
      <c r="G651" t="inlineStr">
        <is>
          <t>FALUN</t>
        </is>
      </c>
      <c r="I651" t="n">
        <v>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23475-2026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46163</v>
      </c>
      <c r="E652" s="1" t="n">
        <v>46314</v>
      </c>
      <c r="F652" t="inlineStr">
        <is>
          <t>DALARNAS LÄN</t>
        </is>
      </c>
      <c r="G652" t="inlineStr">
        <is>
          <t>FALUN</t>
        </is>
      </c>
      <c r="I652" t="n">
        <v>3.7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23219-2026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46162</v>
      </c>
      <c r="E653" s="1" t="n">
        <v>46314</v>
      </c>
      <c r="F653" t="inlineStr">
        <is>
          <t>DALARNAS LÄN</t>
        </is>
      </c>
      <c r="G653" t="inlineStr">
        <is>
          <t>FALUN</t>
        </is>
      </c>
      <c r="I653" t="n">
        <v>2.1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55989-2025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45973</v>
      </c>
      <c r="E654" s="1" t="n">
        <v>46314</v>
      </c>
      <c r="F654" t="inlineStr">
        <is>
          <t>DALARNAS LÄN</t>
        </is>
      </c>
      <c r="G654" t="inlineStr">
        <is>
          <t>FALUN</t>
        </is>
      </c>
      <c r="I654" t="n">
        <v>6.8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23271-2026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46162</v>
      </c>
      <c r="E655" s="1" t="n">
        <v>46314</v>
      </c>
      <c r="F655" t="inlineStr">
        <is>
          <t>DALARNAS LÄN</t>
        </is>
      </c>
      <c r="G655" t="inlineStr">
        <is>
          <t>FALUN</t>
        </is>
      </c>
      <c r="I655" t="n">
        <v>0.7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23511-2026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46163</v>
      </c>
      <c r="E656" s="1" t="n">
        <v>46314</v>
      </c>
      <c r="F656" t="inlineStr">
        <is>
          <t>DALARNAS LÄN</t>
        </is>
      </c>
      <c r="G656" t="inlineStr">
        <is>
          <t>FALUN</t>
        </is>
      </c>
      <c r="H656" t="inlineStr">
        <is>
          <t>Bergvik skog väst AB</t>
        </is>
      </c>
      <c r="I656" t="n">
        <v>16.9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23521-2026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46163</v>
      </c>
      <c r="E657" s="1" t="n">
        <v>46314</v>
      </c>
      <c r="F657" t="inlineStr">
        <is>
          <t>DALARNAS LÄN</t>
        </is>
      </c>
      <c r="G657" t="inlineStr">
        <is>
          <t>FALUN</t>
        </is>
      </c>
      <c r="H657" t="inlineStr">
        <is>
          <t>Bergvik skog väst AB</t>
        </is>
      </c>
      <c r="I657" t="n">
        <v>2.2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23604-2026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46163</v>
      </c>
      <c r="E658" s="1" t="n">
        <v>46314</v>
      </c>
      <c r="F658" t="inlineStr">
        <is>
          <t>DALARNAS LÄN</t>
        </is>
      </c>
      <c r="G658" t="inlineStr">
        <is>
          <t>FALUN</t>
        </is>
      </c>
      <c r="H658" t="inlineStr">
        <is>
          <t>Bergvik skog väst AB</t>
        </is>
      </c>
      <c r="I658" t="n">
        <v>0.8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23227-2026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46162</v>
      </c>
      <c r="E659" s="1" t="n">
        <v>46314</v>
      </c>
      <c r="F659" t="inlineStr">
        <is>
          <t>DALARNAS LÄN</t>
        </is>
      </c>
      <c r="G659" t="inlineStr">
        <is>
          <t>FALUN</t>
        </is>
      </c>
      <c r="H659" t="inlineStr">
        <is>
          <t>Bergvik skog väst AB</t>
        </is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14688-2023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45014</v>
      </c>
      <c r="E660" s="1" t="n">
        <v>46314</v>
      </c>
      <c r="F660" t="inlineStr">
        <is>
          <t>DALARNAS LÄN</t>
        </is>
      </c>
      <c r="G660" t="inlineStr">
        <is>
          <t>FALUN</t>
        </is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23592-2026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46163</v>
      </c>
      <c r="E661" s="1" t="n">
        <v>46314</v>
      </c>
      <c r="F661" t="inlineStr">
        <is>
          <t>DALARNAS LÄN</t>
        </is>
      </c>
      <c r="G661" t="inlineStr">
        <is>
          <t>FALUN</t>
        </is>
      </c>
      <c r="H661" t="inlineStr">
        <is>
          <t>Bergvik skog väst AB</t>
        </is>
      </c>
      <c r="I661" t="n">
        <v>1.6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23593-2026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46163</v>
      </c>
      <c r="E662" s="1" t="n">
        <v>46314</v>
      </c>
      <c r="F662" t="inlineStr">
        <is>
          <t>DALARNAS LÄN</t>
        </is>
      </c>
      <c r="G662" t="inlineStr">
        <is>
          <t>FALUN</t>
        </is>
      </c>
      <c r="H662" t="inlineStr">
        <is>
          <t>Bergvik skog väst AB</t>
        </is>
      </c>
      <c r="I662" t="n">
        <v>1.8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23597-2026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46163</v>
      </c>
      <c r="E663" s="1" t="n">
        <v>46314</v>
      </c>
      <c r="F663" t="inlineStr">
        <is>
          <t>DALARNAS LÄN</t>
        </is>
      </c>
      <c r="G663" t="inlineStr">
        <is>
          <t>FALUN</t>
        </is>
      </c>
      <c r="H663" t="inlineStr">
        <is>
          <t>Bergvik skog väst AB</t>
        </is>
      </c>
      <c r="I663" t="n">
        <v>9.199999999999999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56913-2025</t>
        </is>
      </c>
      <c r="B664" t="inlineStr">
        <is>
          <t>avverkningsanmälan</t>
        </is>
      </c>
      <c r="C664" t="inlineStr">
        <is>
          <t>Avverkning för annat ändamål</t>
        </is>
      </c>
      <c r="D664" s="1" t="n">
        <v>45978</v>
      </c>
      <c r="E664" s="1" t="n">
        <v>46314</v>
      </c>
      <c r="F664" t="inlineStr">
        <is>
          <t>DALARNAS LÄN</t>
        </is>
      </c>
      <c r="G664" t="inlineStr">
        <is>
          <t>FALUN</t>
        </is>
      </c>
      <c r="I664" t="n">
        <v>0.4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56924-2025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45978</v>
      </c>
      <c r="E665" s="1" t="n">
        <v>46314</v>
      </c>
      <c r="F665" t="inlineStr">
        <is>
          <t>DALARNAS LÄN</t>
        </is>
      </c>
      <c r="G665" t="inlineStr">
        <is>
          <t>FALUN</t>
        </is>
      </c>
      <c r="I665" t="n">
        <v>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56931-2025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45978</v>
      </c>
      <c r="E666" s="1" t="n">
        <v>46314</v>
      </c>
      <c r="F666" t="inlineStr">
        <is>
          <t>DALARNAS LÄN</t>
        </is>
      </c>
      <c r="G666" t="inlineStr">
        <is>
          <t>FALUN</t>
        </is>
      </c>
      <c r="I666" t="n">
        <v>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23210-2026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46162</v>
      </c>
      <c r="E667" s="1" t="n">
        <v>46314</v>
      </c>
      <c r="F667" t="inlineStr">
        <is>
          <t>DALARNAS LÄN</t>
        </is>
      </c>
      <c r="G667" t="inlineStr">
        <is>
          <t>FALUN</t>
        </is>
      </c>
      <c r="I667" t="n">
        <v>0.8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57059-2025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45979</v>
      </c>
      <c r="E668" s="1" t="n">
        <v>46314</v>
      </c>
      <c r="F668" t="inlineStr">
        <is>
          <t>DALARNAS LÄN</t>
        </is>
      </c>
      <c r="G668" t="inlineStr">
        <is>
          <t>FALUN</t>
        </is>
      </c>
      <c r="H668" t="inlineStr">
        <is>
          <t>Bergvik skog väst AB</t>
        </is>
      </c>
      <c r="I668" t="n">
        <v>1.2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56906-2025</t>
        </is>
      </c>
      <c r="B669" t="inlineStr">
        <is>
          <t>avverkningsanmälan</t>
        </is>
      </c>
      <c r="C669" t="inlineStr">
        <is>
          <t>Avverkning för annat ändamål</t>
        </is>
      </c>
      <c r="D669" s="1" t="n">
        <v>45978</v>
      </c>
      <c r="E669" s="1" t="n">
        <v>46314</v>
      </c>
      <c r="F669" t="inlineStr">
        <is>
          <t>DALARNAS LÄN</t>
        </is>
      </c>
      <c r="G669" t="inlineStr">
        <is>
          <t>FALUN</t>
        </is>
      </c>
      <c r="I669" t="n">
        <v>0.4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23611-2026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46163</v>
      </c>
      <c r="E670" s="1" t="n">
        <v>46314</v>
      </c>
      <c r="F670" t="inlineStr">
        <is>
          <t>DALARNAS LÄN</t>
        </is>
      </c>
      <c r="G670" t="inlineStr">
        <is>
          <t>FALUN</t>
        </is>
      </c>
      <c r="H670" t="inlineStr">
        <is>
          <t>Bergvik skog väst AB</t>
        </is>
      </c>
      <c r="I670" t="n">
        <v>2.5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56149-2022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44889</v>
      </c>
      <c r="E671" s="1" t="n">
        <v>46314</v>
      </c>
      <c r="F671" t="inlineStr">
        <is>
          <t>DALARNAS LÄN</t>
        </is>
      </c>
      <c r="G671" t="inlineStr">
        <is>
          <t>FALUN</t>
        </is>
      </c>
      <c r="I671" t="n">
        <v>2.2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56887-2025</t>
        </is>
      </c>
      <c r="B672" t="inlineStr">
        <is>
          <t>avverkningsanmälan</t>
        </is>
      </c>
      <c r="C672" t="inlineStr">
        <is>
          <t>Avverkning för annat ändamål</t>
        </is>
      </c>
      <c r="D672" s="1" t="n">
        <v>45978</v>
      </c>
      <c r="E672" s="1" t="n">
        <v>46314</v>
      </c>
      <c r="F672" t="inlineStr">
        <is>
          <t>DALARNAS LÄN</t>
        </is>
      </c>
      <c r="G672" t="inlineStr">
        <is>
          <t>FALUN</t>
        </is>
      </c>
      <c r="I672" t="n">
        <v>0.2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56962-2025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45978</v>
      </c>
      <c r="E673" s="1" t="n">
        <v>46314</v>
      </c>
      <c r="F673" t="inlineStr">
        <is>
          <t>DALARNAS LÄN</t>
        </is>
      </c>
      <c r="G673" t="inlineStr">
        <is>
          <t>FALUN</t>
        </is>
      </c>
      <c r="I673" t="n">
        <v>2.6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23211-2026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46162</v>
      </c>
      <c r="E674" s="1" t="n">
        <v>46314</v>
      </c>
      <c r="F674" t="inlineStr">
        <is>
          <t>DALARNAS LÄN</t>
        </is>
      </c>
      <c r="G674" t="inlineStr">
        <is>
          <t>FALUN</t>
        </is>
      </c>
      <c r="I674" t="n">
        <v>1.5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23282-2026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46162</v>
      </c>
      <c r="E675" s="1" t="n">
        <v>46314</v>
      </c>
      <c r="F675" t="inlineStr">
        <is>
          <t>DALARNAS LÄN</t>
        </is>
      </c>
      <c r="G675" t="inlineStr">
        <is>
          <t>FALUN</t>
        </is>
      </c>
      <c r="I675" t="n">
        <v>2.1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57305-2025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45979</v>
      </c>
      <c r="E676" s="1" t="n">
        <v>46314</v>
      </c>
      <c r="F676" t="inlineStr">
        <is>
          <t>DALARNAS LÄN</t>
        </is>
      </c>
      <c r="G676" t="inlineStr">
        <is>
          <t>FALUN</t>
        </is>
      </c>
      <c r="I676" t="n">
        <v>2.1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57544-2025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45980</v>
      </c>
      <c r="E677" s="1" t="n">
        <v>46314</v>
      </c>
      <c r="F677" t="inlineStr">
        <is>
          <t>DALARNAS LÄN</t>
        </is>
      </c>
      <c r="G677" t="inlineStr">
        <is>
          <t>FALUN</t>
        </is>
      </c>
      <c r="I677" t="n">
        <v>4.9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23650-2026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46164</v>
      </c>
      <c r="E678" s="1" t="n">
        <v>46314</v>
      </c>
      <c r="F678" t="inlineStr">
        <is>
          <t>DALARNAS LÄN</t>
        </is>
      </c>
      <c r="G678" t="inlineStr">
        <is>
          <t>FALUN</t>
        </is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23680-2026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46164</v>
      </c>
      <c r="E679" s="1" t="n">
        <v>46314</v>
      </c>
      <c r="F679" t="inlineStr">
        <is>
          <t>DALARNAS LÄN</t>
        </is>
      </c>
      <c r="G679" t="inlineStr">
        <is>
          <t>FALUN</t>
        </is>
      </c>
      <c r="I679" t="n">
        <v>1.1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23694-2026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46164</v>
      </c>
      <c r="E680" s="1" t="n">
        <v>46314</v>
      </c>
      <c r="F680" t="inlineStr">
        <is>
          <t>DALARNAS LÄN</t>
        </is>
      </c>
      <c r="G680" t="inlineStr">
        <is>
          <t>FALUN</t>
        </is>
      </c>
      <c r="I680" t="n">
        <v>1.5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57500-2025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45980</v>
      </c>
      <c r="E681" s="1" t="n">
        <v>46314</v>
      </c>
      <c r="F681" t="inlineStr">
        <is>
          <t>DALARNAS LÄN</t>
        </is>
      </c>
      <c r="G681" t="inlineStr">
        <is>
          <t>FALUN</t>
        </is>
      </c>
      <c r="I681" t="n">
        <v>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1088-2024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45302</v>
      </c>
      <c r="E682" s="1" t="n">
        <v>46314</v>
      </c>
      <c r="F682" t="inlineStr">
        <is>
          <t>DALARNAS LÄN</t>
        </is>
      </c>
      <c r="G682" t="inlineStr">
        <is>
          <t>FALUN</t>
        </is>
      </c>
      <c r="I682" t="n">
        <v>9.699999999999999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58181-2025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45982</v>
      </c>
      <c r="E683" s="1" t="n">
        <v>46314</v>
      </c>
      <c r="F683" t="inlineStr">
        <is>
          <t>DALARNAS LÄN</t>
        </is>
      </c>
      <c r="G683" t="inlineStr">
        <is>
          <t>FALUN</t>
        </is>
      </c>
      <c r="I683" t="n">
        <v>0.9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49969-2024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45597</v>
      </c>
      <c r="E684" s="1" t="n">
        <v>46314</v>
      </c>
      <c r="F684" t="inlineStr">
        <is>
          <t>DALARNAS LÄN</t>
        </is>
      </c>
      <c r="G684" t="inlineStr">
        <is>
          <t>FALUN</t>
        </is>
      </c>
      <c r="H684" t="inlineStr">
        <is>
          <t>Bergvik skog väst AB</t>
        </is>
      </c>
      <c r="I684" t="n">
        <v>4.9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24020-2026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46167</v>
      </c>
      <c r="E685" s="1" t="n">
        <v>46314</v>
      </c>
      <c r="F685" t="inlineStr">
        <is>
          <t>DALARNAS LÄN</t>
        </is>
      </c>
      <c r="G685" t="inlineStr">
        <is>
          <t>FALUN</t>
        </is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53703-2023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45224</v>
      </c>
      <c r="E686" s="1" t="n">
        <v>46314</v>
      </c>
      <c r="F686" t="inlineStr">
        <is>
          <t>DALARNAS LÄN</t>
        </is>
      </c>
      <c r="G686" t="inlineStr">
        <is>
          <t>FALUN</t>
        </is>
      </c>
      <c r="I686" t="n">
        <v>1.6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23842-2026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46167</v>
      </c>
      <c r="E687" s="1" t="n">
        <v>46314</v>
      </c>
      <c r="F687" t="inlineStr">
        <is>
          <t>DALARNAS LÄN</t>
        </is>
      </c>
      <c r="G687" t="inlineStr">
        <is>
          <t>FALUN</t>
        </is>
      </c>
      <c r="H687" t="inlineStr">
        <is>
          <t>Bergvik skog väst AB</t>
        </is>
      </c>
      <c r="I687" t="n">
        <v>1.5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23660-2026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46164</v>
      </c>
      <c r="E688" s="1" t="n">
        <v>46314</v>
      </c>
      <c r="F688" t="inlineStr">
        <is>
          <t>DALARNAS LÄN</t>
        </is>
      </c>
      <c r="G688" t="inlineStr">
        <is>
          <t>FALUN</t>
        </is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43193-2024</t>
        </is>
      </c>
      <c r="B689" t="inlineStr">
        <is>
          <t>avverkningsanmälan</t>
        </is>
      </c>
      <c r="C689" t="inlineStr">
        <is>
          <t>Avverkning för annat ändamål</t>
        </is>
      </c>
      <c r="D689" s="1" t="n">
        <v>45567</v>
      </c>
      <c r="E689" s="1" t="n">
        <v>46314</v>
      </c>
      <c r="F689" t="inlineStr">
        <is>
          <t>DALARNAS LÄN</t>
        </is>
      </c>
      <c r="G689" t="inlineStr">
        <is>
          <t>FALUN</t>
        </is>
      </c>
      <c r="I689" t="n">
        <v>0.4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24016-2026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46167</v>
      </c>
      <c r="E690" s="1" t="n">
        <v>46314</v>
      </c>
      <c r="F690" t="inlineStr">
        <is>
          <t>DALARNAS LÄN</t>
        </is>
      </c>
      <c r="G690" t="inlineStr">
        <is>
          <t>FALUN</t>
        </is>
      </c>
      <c r="I690" t="n">
        <v>9.9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24023-2026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46167</v>
      </c>
      <c r="E691" s="1" t="n">
        <v>46314</v>
      </c>
      <c r="F691" t="inlineStr">
        <is>
          <t>DALARNAS LÄN</t>
        </is>
      </c>
      <c r="G691" t="inlineStr">
        <is>
          <t>FALUN</t>
        </is>
      </c>
      <c r="H691" t="inlineStr">
        <is>
          <t>Bergvik skog väst AB</t>
        </is>
      </c>
      <c r="I691" t="n">
        <v>10.6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47343-2024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45587</v>
      </c>
      <c r="E692" s="1" t="n">
        <v>46314</v>
      </c>
      <c r="F692" t="inlineStr">
        <is>
          <t>DALARNAS LÄN</t>
        </is>
      </c>
      <c r="G692" t="inlineStr">
        <is>
          <t>FALUN</t>
        </is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23696-2026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46164</v>
      </c>
      <c r="E693" s="1" t="n">
        <v>46314</v>
      </c>
      <c r="F693" t="inlineStr">
        <is>
          <t>DALARNAS LÄN</t>
        </is>
      </c>
      <c r="G693" t="inlineStr">
        <is>
          <t>FALUN</t>
        </is>
      </c>
      <c r="I693" t="n">
        <v>1.1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58914-2025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45987</v>
      </c>
      <c r="E694" s="1" t="n">
        <v>46314</v>
      </c>
      <c r="F694" t="inlineStr">
        <is>
          <t>DALARNAS LÄN</t>
        </is>
      </c>
      <c r="G694" t="inlineStr">
        <is>
          <t>FALUN</t>
        </is>
      </c>
      <c r="I694" t="n">
        <v>3.2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2745-2025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45677</v>
      </c>
      <c r="E695" s="1" t="n">
        <v>46314</v>
      </c>
      <c r="F695" t="inlineStr">
        <is>
          <t>DALARNAS LÄN</t>
        </is>
      </c>
      <c r="G695" t="inlineStr">
        <is>
          <t>FALUN</t>
        </is>
      </c>
      <c r="I695" t="n">
        <v>2.6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23706-2026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46164</v>
      </c>
      <c r="E696" s="1" t="n">
        <v>46314</v>
      </c>
      <c r="F696" t="inlineStr">
        <is>
          <t>DALARNAS LÄN</t>
        </is>
      </c>
      <c r="G696" t="inlineStr">
        <is>
          <t>FALUN</t>
        </is>
      </c>
      <c r="I696" t="n">
        <v>1.6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59190-2025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45988</v>
      </c>
      <c r="E697" s="1" t="n">
        <v>46314</v>
      </c>
      <c r="F697" t="inlineStr">
        <is>
          <t>DALARNAS LÄN</t>
        </is>
      </c>
      <c r="G697" t="inlineStr">
        <is>
          <t>FALUN</t>
        </is>
      </c>
      <c r="I697" t="n">
        <v>1.3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20350-2026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46139</v>
      </c>
      <c r="E698" s="1" t="n">
        <v>46314</v>
      </c>
      <c r="F698" t="inlineStr">
        <is>
          <t>DALARNAS LÄN</t>
        </is>
      </c>
      <c r="G698" t="inlineStr">
        <is>
          <t>FALUN</t>
        </is>
      </c>
      <c r="H698" t="inlineStr">
        <is>
          <t>Bergvik skog väst AB</t>
        </is>
      </c>
      <c r="I698" t="n">
        <v>58.4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59223-2025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45988</v>
      </c>
      <c r="E699" s="1" t="n">
        <v>46314</v>
      </c>
      <c r="F699" t="inlineStr">
        <is>
          <t>DALARNAS LÄN</t>
        </is>
      </c>
      <c r="G699" t="inlineStr">
        <is>
          <t>FALUN</t>
        </is>
      </c>
      <c r="I699" t="n">
        <v>8.800000000000001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24004-2026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46167</v>
      </c>
      <c r="E700" s="1" t="n">
        <v>46314</v>
      </c>
      <c r="F700" t="inlineStr">
        <is>
          <t>DALARNAS LÄN</t>
        </is>
      </c>
      <c r="G700" t="inlineStr">
        <is>
          <t>FALUN</t>
        </is>
      </c>
      <c r="H700" t="inlineStr">
        <is>
          <t>Bergvik skog väst AB</t>
        </is>
      </c>
      <c r="I700" t="n">
        <v>9.5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29844-2022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44755</v>
      </c>
      <c r="E701" s="1" t="n">
        <v>46314</v>
      </c>
      <c r="F701" t="inlineStr">
        <is>
          <t>DALARNAS LÄN</t>
        </is>
      </c>
      <c r="G701" t="inlineStr">
        <is>
          <t>FALUN</t>
        </is>
      </c>
      <c r="I701" t="n">
        <v>1.9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59483-2025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45989</v>
      </c>
      <c r="E702" s="1" t="n">
        <v>46314</v>
      </c>
      <c r="F702" t="inlineStr">
        <is>
          <t>DALARNAS LÄN</t>
        </is>
      </c>
      <c r="G702" t="inlineStr">
        <is>
          <t>FALUN</t>
        </is>
      </c>
      <c r="I702" t="n">
        <v>1.3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23323-2024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45453</v>
      </c>
      <c r="E703" s="1" t="n">
        <v>46314</v>
      </c>
      <c r="F703" t="inlineStr">
        <is>
          <t>DALARNAS LÄN</t>
        </is>
      </c>
      <c r="G703" t="inlineStr">
        <is>
          <t>FALUN</t>
        </is>
      </c>
      <c r="H703" t="inlineStr">
        <is>
          <t>Övriga statliga verk och myndigheter</t>
        </is>
      </c>
      <c r="I703" t="n">
        <v>2.2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59229-2025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45988</v>
      </c>
      <c r="E704" s="1" t="n">
        <v>46314</v>
      </c>
      <c r="F704" t="inlineStr">
        <is>
          <t>DALARNAS LÄN</t>
        </is>
      </c>
      <c r="G704" t="inlineStr">
        <is>
          <t>FALUN</t>
        </is>
      </c>
      <c r="I704" t="n">
        <v>3.8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46200-2023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45196</v>
      </c>
      <c r="E705" s="1" t="n">
        <v>46314</v>
      </c>
      <c r="F705" t="inlineStr">
        <is>
          <t>DALARNAS LÄN</t>
        </is>
      </c>
      <c r="G705" t="inlineStr">
        <is>
          <t>FALUN</t>
        </is>
      </c>
      <c r="I705" t="n">
        <v>0.6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54609-2025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45966</v>
      </c>
      <c r="E706" s="1" t="n">
        <v>46314</v>
      </c>
      <c r="F706" t="inlineStr">
        <is>
          <t>DALARNAS LÄN</t>
        </is>
      </c>
      <c r="G706" t="inlineStr">
        <is>
          <t>FALUN</t>
        </is>
      </c>
      <c r="I706" t="n">
        <v>5.3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24186-2026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46168</v>
      </c>
      <c r="E707" s="1" t="n">
        <v>46314</v>
      </c>
      <c r="F707" t="inlineStr">
        <is>
          <t>DALARNAS LÄN</t>
        </is>
      </c>
      <c r="G707" t="inlineStr">
        <is>
          <t>FALUN</t>
        </is>
      </c>
      <c r="I707" t="n">
        <v>1.8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3689-2022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44586</v>
      </c>
      <c r="E708" s="1" t="n">
        <v>46314</v>
      </c>
      <c r="F708" t="inlineStr">
        <is>
          <t>DALARNAS LÄN</t>
        </is>
      </c>
      <c r="G708" t="inlineStr">
        <is>
          <t>FALUN</t>
        </is>
      </c>
      <c r="I708" t="n">
        <v>4.7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24130-2026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46168</v>
      </c>
      <c r="E709" s="1" t="n">
        <v>46314</v>
      </c>
      <c r="F709" t="inlineStr">
        <is>
          <t>DALARNAS LÄN</t>
        </is>
      </c>
      <c r="G709" t="inlineStr">
        <is>
          <t>FALUN</t>
        </is>
      </c>
      <c r="I709" t="n">
        <v>3.8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24169-2026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46168</v>
      </c>
      <c r="E710" s="1" t="n">
        <v>46314</v>
      </c>
      <c r="F710" t="inlineStr">
        <is>
          <t>DALARNAS LÄN</t>
        </is>
      </c>
      <c r="G710" t="inlineStr">
        <is>
          <t>FALUN</t>
        </is>
      </c>
      <c r="I710" t="n">
        <v>1.5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59748-2025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45992</v>
      </c>
      <c r="E711" s="1" t="n">
        <v>46314</v>
      </c>
      <c r="F711" t="inlineStr">
        <is>
          <t>DALARNAS LÄN</t>
        </is>
      </c>
      <c r="G711" t="inlineStr">
        <is>
          <t>FALUN</t>
        </is>
      </c>
      <c r="I711" t="n">
        <v>7.4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59832-2025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45992</v>
      </c>
      <c r="E712" s="1" t="n">
        <v>46314</v>
      </c>
      <c r="F712" t="inlineStr">
        <is>
          <t>DALARNAS LÄN</t>
        </is>
      </c>
      <c r="G712" t="inlineStr">
        <is>
          <t>FALUN</t>
        </is>
      </c>
      <c r="I712" t="n">
        <v>2.5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24268-2026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46169</v>
      </c>
      <c r="E713" s="1" t="n">
        <v>46314</v>
      </c>
      <c r="F713" t="inlineStr">
        <is>
          <t>DALARNAS LÄN</t>
        </is>
      </c>
      <c r="G713" t="inlineStr">
        <is>
          <t>FALUN</t>
        </is>
      </c>
      <c r="H713" t="inlineStr">
        <is>
          <t>Bergvik skog väst AB</t>
        </is>
      </c>
      <c r="I713" t="n">
        <v>1.6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10482-2026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46077</v>
      </c>
      <c r="E714" s="1" t="n">
        <v>46314</v>
      </c>
      <c r="F714" t="inlineStr">
        <is>
          <t>DALARNAS LÄN</t>
        </is>
      </c>
      <c r="G714" t="inlineStr">
        <is>
          <t>FALUN</t>
        </is>
      </c>
      <c r="H714" t="inlineStr">
        <is>
          <t>Kyrkan</t>
        </is>
      </c>
      <c r="I714" t="n">
        <v>5.1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24358-2026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46169</v>
      </c>
      <c r="E715" s="1" t="n">
        <v>46314</v>
      </c>
      <c r="F715" t="inlineStr">
        <is>
          <t>DALARNAS LÄN</t>
        </is>
      </c>
      <c r="G715" t="inlineStr">
        <is>
          <t>FALUN</t>
        </is>
      </c>
      <c r="H715" t="inlineStr">
        <is>
          <t>Bergvik skog väst AB</t>
        </is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11724-2026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46084</v>
      </c>
      <c r="E716" s="1" t="n">
        <v>46314</v>
      </c>
      <c r="F716" t="inlineStr">
        <is>
          <t>DALARNAS LÄN</t>
        </is>
      </c>
      <c r="G716" t="inlineStr">
        <is>
          <t>FALUN</t>
        </is>
      </c>
      <c r="I716" t="n">
        <v>4.2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59571-2025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45992</v>
      </c>
      <c r="E717" s="1" t="n">
        <v>46314</v>
      </c>
      <c r="F717" t="inlineStr">
        <is>
          <t>DALARNAS LÄN</t>
        </is>
      </c>
      <c r="G717" t="inlineStr">
        <is>
          <t>FALUN</t>
        </is>
      </c>
      <c r="I717" t="n">
        <v>0.9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58508-2022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44902</v>
      </c>
      <c r="E718" s="1" t="n">
        <v>46314</v>
      </c>
      <c r="F718" t="inlineStr">
        <is>
          <t>DALARNAS LÄN</t>
        </is>
      </c>
      <c r="G718" t="inlineStr">
        <is>
          <t>FALUN</t>
        </is>
      </c>
      <c r="I718" t="n">
        <v>0.7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60085-2025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45993</v>
      </c>
      <c r="E719" s="1" t="n">
        <v>46314</v>
      </c>
      <c r="F719" t="inlineStr">
        <is>
          <t>DALARNAS LÄN</t>
        </is>
      </c>
      <c r="G719" t="inlineStr">
        <is>
          <t>FALUN</t>
        </is>
      </c>
      <c r="I719" t="n">
        <v>1.9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60086-2025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45993</v>
      </c>
      <c r="E720" s="1" t="n">
        <v>46314</v>
      </c>
      <c r="F720" t="inlineStr">
        <is>
          <t>DALARNAS LÄN</t>
        </is>
      </c>
      <c r="G720" t="inlineStr">
        <is>
          <t>FALUN</t>
        </is>
      </c>
      <c r="I720" t="n">
        <v>4.5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24046-2026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46168</v>
      </c>
      <c r="E721" s="1" t="n">
        <v>46314</v>
      </c>
      <c r="F721" t="inlineStr">
        <is>
          <t>DALARNAS LÄN</t>
        </is>
      </c>
      <c r="G721" t="inlineStr">
        <is>
          <t>FALUN</t>
        </is>
      </c>
      <c r="H721" t="inlineStr">
        <is>
          <t>Bergvik skog väst AB</t>
        </is>
      </c>
      <c r="I721" t="n">
        <v>2.7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24226-2026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46168</v>
      </c>
      <c r="E722" s="1" t="n">
        <v>46314</v>
      </c>
      <c r="F722" t="inlineStr">
        <is>
          <t>DALARNAS LÄN</t>
        </is>
      </c>
      <c r="G722" t="inlineStr">
        <is>
          <t>FALUN</t>
        </is>
      </c>
      <c r="H722" t="inlineStr">
        <is>
          <t>Bergvik skog väst AB</t>
        </is>
      </c>
      <c r="I722" t="n">
        <v>14.6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24095-2026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46168</v>
      </c>
      <c r="E723" s="1" t="n">
        <v>46314</v>
      </c>
      <c r="F723" t="inlineStr">
        <is>
          <t>DALARNAS LÄN</t>
        </is>
      </c>
      <c r="G723" t="inlineStr">
        <is>
          <t>FALUN</t>
        </is>
      </c>
      <c r="I723" t="n">
        <v>2.1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24192-2026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46168</v>
      </c>
      <c r="E724" s="1" t="n">
        <v>46314</v>
      </c>
      <c r="F724" t="inlineStr">
        <is>
          <t>DALARNAS LÄN</t>
        </is>
      </c>
      <c r="G724" t="inlineStr">
        <is>
          <t>FALUN</t>
        </is>
      </c>
      <c r="H724" t="inlineStr">
        <is>
          <t>Bergvik skog väst AB</t>
        </is>
      </c>
      <c r="I724" t="n">
        <v>2.9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5225-2026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46049</v>
      </c>
      <c r="E725" s="1" t="n">
        <v>46314</v>
      </c>
      <c r="F725" t="inlineStr">
        <is>
          <t>DALARNAS LÄN</t>
        </is>
      </c>
      <c r="G725" t="inlineStr">
        <is>
          <t>FALUN</t>
        </is>
      </c>
      <c r="I725" t="n">
        <v>1.5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24364-2026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46169</v>
      </c>
      <c r="E726" s="1" t="n">
        <v>46314</v>
      </c>
      <c r="F726" t="inlineStr">
        <is>
          <t>DALARNAS LÄN</t>
        </is>
      </c>
      <c r="G726" t="inlineStr">
        <is>
          <t>FALUN</t>
        </is>
      </c>
      <c r="H726" t="inlineStr">
        <is>
          <t>Bergvik skog väst AB</t>
        </is>
      </c>
      <c r="I726" t="n">
        <v>51.1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2333-2026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46036</v>
      </c>
      <c r="E727" s="1" t="n">
        <v>46314</v>
      </c>
      <c r="F727" t="inlineStr">
        <is>
          <t>DALARNAS LÄN</t>
        </is>
      </c>
      <c r="G727" t="inlineStr">
        <is>
          <t>FALUN</t>
        </is>
      </c>
      <c r="I727" t="n">
        <v>2.9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4020-2026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46044</v>
      </c>
      <c r="E728" s="1" t="n">
        <v>46314</v>
      </c>
      <c r="F728" t="inlineStr">
        <is>
          <t>DALARNAS LÄN</t>
        </is>
      </c>
      <c r="G728" t="inlineStr">
        <is>
          <t>FALUN</t>
        </is>
      </c>
      <c r="H728" t="inlineStr">
        <is>
          <t>Kyrkan</t>
        </is>
      </c>
      <c r="I728" t="n">
        <v>21.5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24316-2026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46169</v>
      </c>
      <c r="E729" s="1" t="n">
        <v>46314</v>
      </c>
      <c r="F729" t="inlineStr">
        <is>
          <t>DALARNAS LÄN</t>
        </is>
      </c>
      <c r="G729" t="inlineStr">
        <is>
          <t>FALUN</t>
        </is>
      </c>
      <c r="H729" t="inlineStr">
        <is>
          <t>Bergvik skog väst AB</t>
        </is>
      </c>
      <c r="I729" t="n">
        <v>4.5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12781-2026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46091</v>
      </c>
      <c r="E730" s="1" t="n">
        <v>46314</v>
      </c>
      <c r="F730" t="inlineStr">
        <is>
          <t>DALARNAS LÄN</t>
        </is>
      </c>
      <c r="G730" t="inlineStr">
        <is>
          <t>FALUN</t>
        </is>
      </c>
      <c r="I730" t="n">
        <v>0.9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60562-2025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45994</v>
      </c>
      <c r="E731" s="1" t="n">
        <v>46314</v>
      </c>
      <c r="F731" t="inlineStr">
        <is>
          <t>DALARNAS LÄN</t>
        </is>
      </c>
      <c r="G731" t="inlineStr">
        <is>
          <t>FALUN</t>
        </is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13583-2022</t>
        </is>
      </c>
      <c r="B732" t="inlineStr">
        <is>
          <t>avverkningsanmälan</t>
        </is>
      </c>
      <c r="C732" t="inlineStr">
        <is>
          <t>Avverkning för annat ändamål</t>
        </is>
      </c>
      <c r="D732" s="1" t="n">
        <v>44648</v>
      </c>
      <c r="E732" s="1" t="n">
        <v>46314</v>
      </c>
      <c r="F732" t="inlineStr">
        <is>
          <t>DALARNAS LÄN</t>
        </is>
      </c>
      <c r="G732" t="inlineStr">
        <is>
          <t>FALUN</t>
        </is>
      </c>
      <c r="I732" t="n">
        <v>1.6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32571-2024</t>
        </is>
      </c>
      <c r="B733" t="inlineStr">
        <is>
          <t>avverkningsanmälan</t>
        </is>
      </c>
      <c r="C733" t="inlineStr">
        <is>
          <t>Avverkning för annat ändamål</t>
        </is>
      </c>
      <c r="D733" s="1" t="n">
        <v>45513</v>
      </c>
      <c r="E733" s="1" t="n">
        <v>46314</v>
      </c>
      <c r="F733" t="inlineStr">
        <is>
          <t>DALARNAS LÄN</t>
        </is>
      </c>
      <c r="G733" t="inlineStr">
        <is>
          <t>FALUN</t>
        </is>
      </c>
      <c r="I733" t="n">
        <v>0.4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60683-2025</t>
        </is>
      </c>
      <c r="B734" t="inlineStr">
        <is>
          <t>avverkningsanmälan</t>
        </is>
      </c>
      <c r="C734" t="inlineStr">
        <is>
          <t>Avverkning för annat ändamål</t>
        </is>
      </c>
      <c r="D734" s="1" t="n">
        <v>45996</v>
      </c>
      <c r="E734" s="1" t="n">
        <v>46314</v>
      </c>
      <c r="F734" t="inlineStr">
        <is>
          <t>DALARNAS LÄN</t>
        </is>
      </c>
      <c r="G734" t="inlineStr">
        <is>
          <t>FALUN</t>
        </is>
      </c>
      <c r="I734" t="n">
        <v>2.6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60676-2025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45996</v>
      </c>
      <c r="E735" s="1" t="n">
        <v>46314</v>
      </c>
      <c r="F735" t="inlineStr">
        <is>
          <t>DALARNAS LÄN</t>
        </is>
      </c>
      <c r="G735" t="inlineStr">
        <is>
          <t>FALUN</t>
        </is>
      </c>
      <c r="I735" t="n">
        <v>5.9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53540-2022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44879</v>
      </c>
      <c r="E736" s="1" t="n">
        <v>46314</v>
      </c>
      <c r="F736" t="inlineStr">
        <is>
          <t>DALARNAS LÄN</t>
        </is>
      </c>
      <c r="G736" t="inlineStr">
        <is>
          <t>FALUN</t>
        </is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41370-2025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45900</v>
      </c>
      <c r="E737" s="1" t="n">
        <v>46314</v>
      </c>
      <c r="F737" t="inlineStr">
        <is>
          <t>DALARNAS LÄN</t>
        </is>
      </c>
      <c r="G737" t="inlineStr">
        <is>
          <t>FALUN</t>
        </is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61064-2025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46000</v>
      </c>
      <c r="E738" s="1" t="n">
        <v>46314</v>
      </c>
      <c r="F738" t="inlineStr">
        <is>
          <t>DALARNAS LÄN</t>
        </is>
      </c>
      <c r="G738" t="inlineStr">
        <is>
          <t>FALUN</t>
        </is>
      </c>
      <c r="I738" t="n">
        <v>2.4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18050-2023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45040</v>
      </c>
      <c r="E739" s="1" t="n">
        <v>46314</v>
      </c>
      <c r="F739" t="inlineStr">
        <is>
          <t>DALARNAS LÄN</t>
        </is>
      </c>
      <c r="G739" t="inlineStr">
        <is>
          <t>FALUN</t>
        </is>
      </c>
      <c r="I739" t="n">
        <v>4.7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47633-2022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44854</v>
      </c>
      <c r="E740" s="1" t="n">
        <v>46314</v>
      </c>
      <c r="F740" t="inlineStr">
        <is>
          <t>DALARNAS LÄN</t>
        </is>
      </c>
      <c r="G740" t="inlineStr">
        <is>
          <t>FALUN</t>
        </is>
      </c>
      <c r="I740" t="n">
        <v>4.1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1015-2026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46030</v>
      </c>
      <c r="E741" s="1" t="n">
        <v>46314</v>
      </c>
      <c r="F741" t="inlineStr">
        <is>
          <t>DALARNAS LÄN</t>
        </is>
      </c>
      <c r="G741" t="inlineStr">
        <is>
          <t>FALUN</t>
        </is>
      </c>
      <c r="I741" t="n">
        <v>3.6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24025-2026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46167</v>
      </c>
      <c r="E742" s="1" t="n">
        <v>46314</v>
      </c>
      <c r="F742" t="inlineStr">
        <is>
          <t>DALARNAS LÄN</t>
        </is>
      </c>
      <c r="G742" t="inlineStr">
        <is>
          <t>FALUN</t>
        </is>
      </c>
      <c r="H742" t="inlineStr">
        <is>
          <t>Bergvik skog väst AB</t>
        </is>
      </c>
      <c r="I742" t="n">
        <v>4.5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24107-2026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46168</v>
      </c>
      <c r="E743" s="1" t="n">
        <v>46314</v>
      </c>
      <c r="F743" t="inlineStr">
        <is>
          <t>DALARNAS LÄN</t>
        </is>
      </c>
      <c r="G743" t="inlineStr">
        <is>
          <t>FALUN</t>
        </is>
      </c>
      <c r="I743" t="n">
        <v>1.1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24589-2026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46170</v>
      </c>
      <c r="E744" s="1" t="n">
        <v>46314</v>
      </c>
      <c r="F744" t="inlineStr">
        <is>
          <t>DALARNAS LÄN</t>
        </is>
      </c>
      <c r="G744" t="inlineStr">
        <is>
          <t>FALUN</t>
        </is>
      </c>
      <c r="I744" t="n">
        <v>1.4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61059-2025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46000</v>
      </c>
      <c r="E745" s="1" t="n">
        <v>46314</v>
      </c>
      <c r="F745" t="inlineStr">
        <is>
          <t>DALARNAS LÄN</t>
        </is>
      </c>
      <c r="G745" t="inlineStr">
        <is>
          <t>FALUN</t>
        </is>
      </c>
      <c r="I745" t="n">
        <v>8.199999999999999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11748-2025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45727</v>
      </c>
      <c r="E746" s="1" t="n">
        <v>46314</v>
      </c>
      <c r="F746" t="inlineStr">
        <is>
          <t>DALARNAS LÄN</t>
        </is>
      </c>
      <c r="G746" t="inlineStr">
        <is>
          <t>FALUN</t>
        </is>
      </c>
      <c r="I746" t="n">
        <v>0.9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27885-2023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45098</v>
      </c>
      <c r="E747" s="1" t="n">
        <v>46314</v>
      </c>
      <c r="F747" t="inlineStr">
        <is>
          <t>DALARNAS LÄN</t>
        </is>
      </c>
      <c r="G747" t="inlineStr">
        <is>
          <t>FALUN</t>
        </is>
      </c>
      <c r="I747" t="n">
        <v>1.2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24507-2026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46170</v>
      </c>
      <c r="E748" s="1" t="n">
        <v>46314</v>
      </c>
      <c r="F748" t="inlineStr">
        <is>
          <t>DALARNAS LÄN</t>
        </is>
      </c>
      <c r="G748" t="inlineStr">
        <is>
          <t>FALUN</t>
        </is>
      </c>
      <c r="I748" t="n">
        <v>1.3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56642-2024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45625</v>
      </c>
      <c r="E749" s="1" t="n">
        <v>46314</v>
      </c>
      <c r="F749" t="inlineStr">
        <is>
          <t>DALARNAS LÄN</t>
        </is>
      </c>
      <c r="G749" t="inlineStr">
        <is>
          <t>FALUN</t>
        </is>
      </c>
      <c r="I749" t="n">
        <v>2.6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24653-2026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46171</v>
      </c>
      <c r="E750" s="1" t="n">
        <v>46314</v>
      </c>
      <c r="F750" t="inlineStr">
        <is>
          <t>DALARNAS LÄN</t>
        </is>
      </c>
      <c r="G750" t="inlineStr">
        <is>
          <t>FALUN</t>
        </is>
      </c>
      <c r="H750" t="inlineStr">
        <is>
          <t>Bergvik skog väst AB</t>
        </is>
      </c>
      <c r="I750" t="n">
        <v>4.9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24675-2026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46171</v>
      </c>
      <c r="E751" s="1" t="n">
        <v>46314</v>
      </c>
      <c r="F751" t="inlineStr">
        <is>
          <t>DALARNAS LÄN</t>
        </is>
      </c>
      <c r="G751" t="inlineStr">
        <is>
          <t>FALUN</t>
        </is>
      </c>
      <c r="H751" t="inlineStr">
        <is>
          <t>Bergvik skog väst AB</t>
        </is>
      </c>
      <c r="I751" t="n">
        <v>1.5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3185-2026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46041</v>
      </c>
      <c r="E752" s="1" t="n">
        <v>46314</v>
      </c>
      <c r="F752" t="inlineStr">
        <is>
          <t>DALARNAS LÄN</t>
        </is>
      </c>
      <c r="G752" t="inlineStr">
        <is>
          <t>FALUN</t>
        </is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62358-2025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46007</v>
      </c>
      <c r="E753" s="1" t="n">
        <v>46314</v>
      </c>
      <c r="F753" t="inlineStr">
        <is>
          <t>DALARNAS LÄN</t>
        </is>
      </c>
      <c r="G753" t="inlineStr">
        <is>
          <t>FALUN</t>
        </is>
      </c>
      <c r="I753" t="n">
        <v>0.8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24766-2026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46171</v>
      </c>
      <c r="E754" s="1" t="n">
        <v>46314</v>
      </c>
      <c r="F754" t="inlineStr">
        <is>
          <t>DALARNAS LÄN</t>
        </is>
      </c>
      <c r="G754" t="inlineStr">
        <is>
          <t>FALUN</t>
        </is>
      </c>
      <c r="H754" t="inlineStr">
        <is>
          <t>Bergvik skog väst AB</t>
        </is>
      </c>
      <c r="I754" t="n">
        <v>1.5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62362-2025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46007</v>
      </c>
      <c r="E755" s="1" t="n">
        <v>46314</v>
      </c>
      <c r="F755" t="inlineStr">
        <is>
          <t>DALARNAS LÄN</t>
        </is>
      </c>
      <c r="G755" t="inlineStr">
        <is>
          <t>FALUN</t>
        </is>
      </c>
      <c r="I755" t="n">
        <v>0.5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45690-2025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45923</v>
      </c>
      <c r="E756" s="1" t="n">
        <v>46314</v>
      </c>
      <c r="F756" t="inlineStr">
        <is>
          <t>DALARNAS LÄN</t>
        </is>
      </c>
      <c r="G756" t="inlineStr">
        <is>
          <t>FALUN</t>
        </is>
      </c>
      <c r="I756" t="n">
        <v>1.9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36652-2024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45537</v>
      </c>
      <c r="E757" s="1" t="n">
        <v>46314</v>
      </c>
      <c r="F757" t="inlineStr">
        <is>
          <t>DALARNAS LÄN</t>
        </is>
      </c>
      <c r="G757" t="inlineStr">
        <is>
          <t>FALUN</t>
        </is>
      </c>
      <c r="H757" t="inlineStr">
        <is>
          <t>Bergvik skog väst AB</t>
        </is>
      </c>
      <c r="I757" t="n">
        <v>2.4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42952-2023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45182</v>
      </c>
      <c r="E758" s="1" t="n">
        <v>46314</v>
      </c>
      <c r="F758" t="inlineStr">
        <is>
          <t>DALARNAS LÄN</t>
        </is>
      </c>
      <c r="G758" t="inlineStr">
        <is>
          <t>FALUN</t>
        </is>
      </c>
      <c r="I758" t="n">
        <v>0.6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33534-2023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45131</v>
      </c>
      <c r="E759" s="1" t="n">
        <v>46314</v>
      </c>
      <c r="F759" t="inlineStr">
        <is>
          <t>DALARNAS LÄN</t>
        </is>
      </c>
      <c r="G759" t="inlineStr">
        <is>
          <t>FALUN</t>
        </is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33539-2023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45131</v>
      </c>
      <c r="E760" s="1" t="n">
        <v>46314</v>
      </c>
      <c r="F760" t="inlineStr">
        <is>
          <t>DALARNAS LÄN</t>
        </is>
      </c>
      <c r="G760" t="inlineStr">
        <is>
          <t>FALUN</t>
        </is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33543-2023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45131</v>
      </c>
      <c r="E761" s="1" t="n">
        <v>46314</v>
      </c>
      <c r="F761" t="inlineStr">
        <is>
          <t>DALARNAS LÄN</t>
        </is>
      </c>
      <c r="G761" t="inlineStr">
        <is>
          <t>FALUN</t>
        </is>
      </c>
      <c r="I761" t="n">
        <v>1.8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24978-2026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46174</v>
      </c>
      <c r="E762" s="1" t="n">
        <v>46314</v>
      </c>
      <c r="F762" t="inlineStr">
        <is>
          <t>DALARNAS LÄN</t>
        </is>
      </c>
      <c r="G762" t="inlineStr">
        <is>
          <t>FALUN</t>
        </is>
      </c>
      <c r="H762" t="inlineStr">
        <is>
          <t>Bergvik skog väst AB</t>
        </is>
      </c>
      <c r="I762" t="n">
        <v>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23217-2026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46162</v>
      </c>
      <c r="E763" s="1" t="n">
        <v>46314</v>
      </c>
      <c r="F763" t="inlineStr">
        <is>
          <t>DALARNAS LÄN</t>
        </is>
      </c>
      <c r="G763" t="inlineStr">
        <is>
          <t>FALUN</t>
        </is>
      </c>
      <c r="I763" t="n">
        <v>1.5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21288-2024</t>
        </is>
      </c>
      <c r="B764" t="inlineStr">
        <is>
          <t>avverkningsanmälan</t>
        </is>
      </c>
      <c r="C764" t="inlineStr">
        <is>
          <t>Avverkning för att bevara och utveckla /försöksver</t>
        </is>
      </c>
      <c r="D764" s="1" t="n">
        <v>45440</v>
      </c>
      <c r="E764" s="1" t="n">
        <v>46314</v>
      </c>
      <c r="F764" t="inlineStr">
        <is>
          <t>DALARNAS LÄN</t>
        </is>
      </c>
      <c r="G764" t="inlineStr">
        <is>
          <t>FALUN</t>
        </is>
      </c>
      <c r="I764" t="n">
        <v>0.5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61387-2024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45646</v>
      </c>
      <c r="E765" s="1" t="n">
        <v>46314</v>
      </c>
      <c r="F765" t="inlineStr">
        <is>
          <t>DALARNAS LÄN</t>
        </is>
      </c>
      <c r="G765" t="inlineStr">
        <is>
          <t>FALUN</t>
        </is>
      </c>
      <c r="H765" t="inlineStr">
        <is>
          <t>Bergvik skog väst AB</t>
        </is>
      </c>
      <c r="I765" t="n">
        <v>16.6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24935-2026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46174</v>
      </c>
      <c r="E766" s="1" t="n">
        <v>46314</v>
      </c>
      <c r="F766" t="inlineStr">
        <is>
          <t>DALARNAS LÄN</t>
        </is>
      </c>
      <c r="G766" t="inlineStr">
        <is>
          <t>FALUN</t>
        </is>
      </c>
      <c r="I766" t="n">
        <v>1.6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63307-2025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46010</v>
      </c>
      <c r="E767" s="1" t="n">
        <v>46314</v>
      </c>
      <c r="F767" t="inlineStr">
        <is>
          <t>DALARNAS LÄN</t>
        </is>
      </c>
      <c r="G767" t="inlineStr">
        <is>
          <t>FALUN</t>
        </is>
      </c>
      <c r="I767" t="n">
        <v>5.1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63291-2025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46010</v>
      </c>
      <c r="E768" s="1" t="n">
        <v>46314</v>
      </c>
      <c r="F768" t="inlineStr">
        <is>
          <t>DALARNAS LÄN</t>
        </is>
      </c>
      <c r="G768" t="inlineStr">
        <is>
          <t>FALUN</t>
        </is>
      </c>
      <c r="I768" t="n">
        <v>3.8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15610-2024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45401</v>
      </c>
      <c r="E769" s="1" t="n">
        <v>46314</v>
      </c>
      <c r="F769" t="inlineStr">
        <is>
          <t>DALARNAS LÄN</t>
        </is>
      </c>
      <c r="G769" t="inlineStr">
        <is>
          <t>FALUN</t>
        </is>
      </c>
      <c r="I769" t="n">
        <v>5.2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1306-2026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46031</v>
      </c>
      <c r="E770" s="1" t="n">
        <v>46314</v>
      </c>
      <c r="F770" t="inlineStr">
        <is>
          <t>DALARNAS LÄN</t>
        </is>
      </c>
      <c r="G770" t="inlineStr">
        <is>
          <t>FALUN</t>
        </is>
      </c>
      <c r="I770" t="n">
        <v>1.9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63178-2025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46010</v>
      </c>
      <c r="E771" s="1" t="n">
        <v>46314</v>
      </c>
      <c r="F771" t="inlineStr">
        <is>
          <t>DALARNAS LÄN</t>
        </is>
      </c>
      <c r="G771" t="inlineStr">
        <is>
          <t>FALUN</t>
        </is>
      </c>
      <c r="I771" t="n">
        <v>2.1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63303-2025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46010</v>
      </c>
      <c r="E772" s="1" t="n">
        <v>46314</v>
      </c>
      <c r="F772" t="inlineStr">
        <is>
          <t>DALARNAS LÄN</t>
        </is>
      </c>
      <c r="G772" t="inlineStr">
        <is>
          <t>FALUN</t>
        </is>
      </c>
      <c r="I772" t="n">
        <v>5.3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24789-2026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46171</v>
      </c>
      <c r="E773" s="1" t="n">
        <v>46314</v>
      </c>
      <c r="F773" t="inlineStr">
        <is>
          <t>DALARNAS LÄN</t>
        </is>
      </c>
      <c r="G773" t="inlineStr">
        <is>
          <t>FALUN</t>
        </is>
      </c>
      <c r="H773" t="inlineStr">
        <is>
          <t>Bergvik skog väst AB</t>
        </is>
      </c>
      <c r="I773" t="n">
        <v>0.7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24797-2026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46171</v>
      </c>
      <c r="E774" s="1" t="n">
        <v>46314</v>
      </c>
      <c r="F774" t="inlineStr">
        <is>
          <t>DALARNAS LÄN</t>
        </is>
      </c>
      <c r="G774" t="inlineStr">
        <is>
          <t>FALUN</t>
        </is>
      </c>
      <c r="I774" t="n">
        <v>4.8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25032-2026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46174</v>
      </c>
      <c r="E775" s="1" t="n">
        <v>46314</v>
      </c>
      <c r="F775" t="inlineStr">
        <is>
          <t>DALARNAS LÄN</t>
        </is>
      </c>
      <c r="G775" t="inlineStr">
        <is>
          <t>FALUN</t>
        </is>
      </c>
      <c r="H775" t="inlineStr">
        <is>
          <t>Bergvik skog väst AB</t>
        </is>
      </c>
      <c r="I775" t="n">
        <v>4.7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24934-2026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46174</v>
      </c>
      <c r="E776" s="1" t="n">
        <v>46314</v>
      </c>
      <c r="F776" t="inlineStr">
        <is>
          <t>DALARNAS LÄN</t>
        </is>
      </c>
      <c r="G776" t="inlineStr">
        <is>
          <t>FALUN</t>
        </is>
      </c>
      <c r="I776" t="n">
        <v>1.4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24662-2026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46171</v>
      </c>
      <c r="E777" s="1" t="n">
        <v>46314</v>
      </c>
      <c r="F777" t="inlineStr">
        <is>
          <t>DALARNAS LÄN</t>
        </is>
      </c>
      <c r="G777" t="inlineStr">
        <is>
          <t>FALUN</t>
        </is>
      </c>
      <c r="I777" t="n">
        <v>2.7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24671-2026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46171</v>
      </c>
      <c r="E778" s="1" t="n">
        <v>46314</v>
      </c>
      <c r="F778" t="inlineStr">
        <is>
          <t>DALARNAS LÄN</t>
        </is>
      </c>
      <c r="G778" t="inlineStr">
        <is>
          <t>FALUN</t>
        </is>
      </c>
      <c r="H778" t="inlineStr">
        <is>
          <t>Bergvik skog väst AB</t>
        </is>
      </c>
      <c r="I778" t="n">
        <v>4.3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63960-2025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46020</v>
      </c>
      <c r="E779" s="1" t="n">
        <v>46314</v>
      </c>
      <c r="F779" t="inlineStr">
        <is>
          <t>DALARNAS LÄN</t>
        </is>
      </c>
      <c r="G779" t="inlineStr">
        <is>
          <t>FALUN</t>
        </is>
      </c>
      <c r="I779" t="n">
        <v>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63974-2025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46021</v>
      </c>
      <c r="E780" s="1" t="n">
        <v>46314</v>
      </c>
      <c r="F780" t="inlineStr">
        <is>
          <t>DALARNAS LÄN</t>
        </is>
      </c>
      <c r="G780" t="inlineStr">
        <is>
          <t>FALUN</t>
        </is>
      </c>
      <c r="I780" t="n">
        <v>3.1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24779-2026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46171</v>
      </c>
      <c r="E781" s="1" t="n">
        <v>46314</v>
      </c>
      <c r="F781" t="inlineStr">
        <is>
          <t>DALARNAS LÄN</t>
        </is>
      </c>
      <c r="G781" t="inlineStr">
        <is>
          <t>FALUN</t>
        </is>
      </c>
      <c r="H781" t="inlineStr">
        <is>
          <t>Bergvik skog väst AB</t>
        </is>
      </c>
      <c r="I781" t="n">
        <v>1.2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211-2026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46026</v>
      </c>
      <c r="E782" s="1" t="n">
        <v>46314</v>
      </c>
      <c r="F782" t="inlineStr">
        <is>
          <t>DALARNAS LÄN</t>
        </is>
      </c>
      <c r="G782" t="inlineStr">
        <is>
          <t>FALUN</t>
        </is>
      </c>
      <c r="I782" t="n">
        <v>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121-2026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46024</v>
      </c>
      <c r="E783" s="1" t="n">
        <v>46314</v>
      </c>
      <c r="F783" t="inlineStr">
        <is>
          <t>DALARNAS LÄN</t>
        </is>
      </c>
      <c r="G783" t="inlineStr">
        <is>
          <t>FALUN</t>
        </is>
      </c>
      <c r="I783" t="n">
        <v>3.7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53029-2024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45611</v>
      </c>
      <c r="E784" s="1" t="n">
        <v>46314</v>
      </c>
      <c r="F784" t="inlineStr">
        <is>
          <t>DALARNAS LÄN</t>
        </is>
      </c>
      <c r="G784" t="inlineStr">
        <is>
          <t>FALUN</t>
        </is>
      </c>
      <c r="I784" t="n">
        <v>3.2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295-2026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46027</v>
      </c>
      <c r="E785" s="1" t="n">
        <v>46314</v>
      </c>
      <c r="F785" t="inlineStr">
        <is>
          <t>DALARNAS LÄN</t>
        </is>
      </c>
      <c r="G785" t="inlineStr">
        <is>
          <t>FALUN</t>
        </is>
      </c>
      <c r="I785" t="n">
        <v>4.1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46871-2023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45200</v>
      </c>
      <c r="E786" s="1" t="n">
        <v>46314</v>
      </c>
      <c r="F786" t="inlineStr">
        <is>
          <t>DALARNAS LÄN</t>
        </is>
      </c>
      <c r="G786" t="inlineStr">
        <is>
          <t>FALUN</t>
        </is>
      </c>
      <c r="I786" t="n">
        <v>2.8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190-2026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46025</v>
      </c>
      <c r="E787" s="1" t="n">
        <v>46314</v>
      </c>
      <c r="F787" t="inlineStr">
        <is>
          <t>DALARNAS LÄN</t>
        </is>
      </c>
      <c r="G787" t="inlineStr">
        <is>
          <t>FALUN</t>
        </is>
      </c>
      <c r="I787" t="n">
        <v>46.9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104-2026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46024</v>
      </c>
      <c r="E788" s="1" t="n">
        <v>46314</v>
      </c>
      <c r="F788" t="inlineStr">
        <is>
          <t>DALARNAS LÄN</t>
        </is>
      </c>
      <c r="G788" t="inlineStr">
        <is>
          <t>FALUN</t>
        </is>
      </c>
      <c r="I788" t="n">
        <v>0.5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374-2026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46027</v>
      </c>
      <c r="E789" s="1" t="n">
        <v>46314</v>
      </c>
      <c r="F789" t="inlineStr">
        <is>
          <t>DALARNAS LÄN</t>
        </is>
      </c>
      <c r="G789" t="inlineStr">
        <is>
          <t>FALUN</t>
        </is>
      </c>
      <c r="I789" t="n">
        <v>7.8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178-2026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46025</v>
      </c>
      <c r="E790" s="1" t="n">
        <v>46314</v>
      </c>
      <c r="F790" t="inlineStr">
        <is>
          <t>DALARNAS LÄN</t>
        </is>
      </c>
      <c r="G790" t="inlineStr">
        <is>
          <t>FALUN</t>
        </is>
      </c>
      <c r="I790" t="n">
        <v>7.3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789-2026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46029</v>
      </c>
      <c r="E791" s="1" t="n">
        <v>46314</v>
      </c>
      <c r="F791" t="inlineStr">
        <is>
          <t>DALARNAS LÄN</t>
        </is>
      </c>
      <c r="G791" t="inlineStr">
        <is>
          <t>FALUN</t>
        </is>
      </c>
      <c r="I791" t="n">
        <v>5.4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396-2026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46028</v>
      </c>
      <c r="E792" s="1" t="n">
        <v>46314</v>
      </c>
      <c r="F792" t="inlineStr">
        <is>
          <t>DALARNAS LÄN</t>
        </is>
      </c>
      <c r="G792" t="inlineStr">
        <is>
          <t>FALUN</t>
        </is>
      </c>
      <c r="I792" t="n">
        <v>34.8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405-2026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46028</v>
      </c>
      <c r="E793" s="1" t="n">
        <v>46314</v>
      </c>
      <c r="F793" t="inlineStr">
        <is>
          <t>DALARNAS LÄN</t>
        </is>
      </c>
      <c r="G793" t="inlineStr">
        <is>
          <t>FALUN</t>
        </is>
      </c>
      <c r="I793" t="n">
        <v>5.9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606-2026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46029</v>
      </c>
      <c r="E794" s="1" t="n">
        <v>46314</v>
      </c>
      <c r="F794" t="inlineStr">
        <is>
          <t>DALARNAS LÄN</t>
        </is>
      </c>
      <c r="G794" t="inlineStr">
        <is>
          <t>FALUN</t>
        </is>
      </c>
      <c r="I794" t="n">
        <v>1.5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386-2026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46027</v>
      </c>
      <c r="E795" s="1" t="n">
        <v>46314</v>
      </c>
      <c r="F795" t="inlineStr">
        <is>
          <t>DALARNAS LÄN</t>
        </is>
      </c>
      <c r="G795" t="inlineStr">
        <is>
          <t>FALUN</t>
        </is>
      </c>
      <c r="I795" t="n">
        <v>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1315-2026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46031</v>
      </c>
      <c r="E796" s="1" t="n">
        <v>46314</v>
      </c>
      <c r="F796" t="inlineStr">
        <is>
          <t>DALARNAS LÄN</t>
        </is>
      </c>
      <c r="G796" t="inlineStr">
        <is>
          <t>FALUN</t>
        </is>
      </c>
      <c r="I796" t="n">
        <v>0.8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1362-2026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46031</v>
      </c>
      <c r="E797" s="1" t="n">
        <v>46314</v>
      </c>
      <c r="F797" t="inlineStr">
        <is>
          <t>DALARNAS LÄN</t>
        </is>
      </c>
      <c r="G797" t="inlineStr">
        <is>
          <t>FALUN</t>
        </is>
      </c>
      <c r="I797" t="n">
        <v>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1363-2026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46031</v>
      </c>
      <c r="E798" s="1" t="n">
        <v>46314</v>
      </c>
      <c r="F798" t="inlineStr">
        <is>
          <t>DALARNAS LÄN</t>
        </is>
      </c>
      <c r="G798" t="inlineStr">
        <is>
          <t>FALUN</t>
        </is>
      </c>
      <c r="I798" t="n">
        <v>0.7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1321-2026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46031</v>
      </c>
      <c r="E799" s="1" t="n">
        <v>46314</v>
      </c>
      <c r="F799" t="inlineStr">
        <is>
          <t>DALARNAS LÄN</t>
        </is>
      </c>
      <c r="G799" t="inlineStr">
        <is>
          <t>FALUN</t>
        </is>
      </c>
      <c r="I799" t="n">
        <v>4.6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1609-2026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46031</v>
      </c>
      <c r="E800" s="1" t="n">
        <v>46314</v>
      </c>
      <c r="F800" t="inlineStr">
        <is>
          <t>DALARNAS LÄN</t>
        </is>
      </c>
      <c r="G800" t="inlineStr">
        <is>
          <t>FALUN</t>
        </is>
      </c>
      <c r="I800" t="n">
        <v>2.6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1036-2026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46030</v>
      </c>
      <c r="E801" s="1" t="n">
        <v>46314</v>
      </c>
      <c r="F801" t="inlineStr">
        <is>
          <t>DALARNAS LÄN</t>
        </is>
      </c>
      <c r="G801" t="inlineStr">
        <is>
          <t>FALUN</t>
        </is>
      </c>
      <c r="I801" t="n">
        <v>3.9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25307-2026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46176</v>
      </c>
      <c r="E802" s="1" t="n">
        <v>46314</v>
      </c>
      <c r="F802" t="inlineStr">
        <is>
          <t>DALARNAS LÄN</t>
        </is>
      </c>
      <c r="G802" t="inlineStr">
        <is>
          <t>FALUN</t>
        </is>
      </c>
      <c r="H802" t="inlineStr">
        <is>
          <t>Sveaskog</t>
        </is>
      </c>
      <c r="I802" t="n">
        <v>4.1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1141-2026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46030</v>
      </c>
      <c r="E803" s="1" t="n">
        <v>46314</v>
      </c>
      <c r="F803" t="inlineStr">
        <is>
          <t>DALARNAS LÄN</t>
        </is>
      </c>
      <c r="G803" t="inlineStr">
        <is>
          <t>FALUN</t>
        </is>
      </c>
      <c r="I803" t="n">
        <v>1.9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63499-2023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45274</v>
      </c>
      <c r="E804" s="1" t="n">
        <v>46314</v>
      </c>
      <c r="F804" t="inlineStr">
        <is>
          <t>DALARNAS LÄN</t>
        </is>
      </c>
      <c r="G804" t="inlineStr">
        <is>
          <t>FALUN</t>
        </is>
      </c>
      <c r="I804" t="n">
        <v>8.5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1140-2026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46030</v>
      </c>
      <c r="E805" s="1" t="n">
        <v>46314</v>
      </c>
      <c r="F805" t="inlineStr">
        <is>
          <t>DALARNAS LÄN</t>
        </is>
      </c>
      <c r="G805" t="inlineStr">
        <is>
          <t>FALUN</t>
        </is>
      </c>
      <c r="I805" t="n">
        <v>3.5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1323-2026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46031</v>
      </c>
      <c r="E806" s="1" t="n">
        <v>46314</v>
      </c>
      <c r="F806" t="inlineStr">
        <is>
          <t>DALARNAS LÄN</t>
        </is>
      </c>
      <c r="G806" t="inlineStr">
        <is>
          <t>FALUN</t>
        </is>
      </c>
      <c r="I806" t="n">
        <v>3.1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1314-2026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46031</v>
      </c>
      <c r="E807" s="1" t="n">
        <v>46314</v>
      </c>
      <c r="F807" t="inlineStr">
        <is>
          <t>DALARNAS LÄN</t>
        </is>
      </c>
      <c r="G807" t="inlineStr">
        <is>
          <t>FALUN</t>
        </is>
      </c>
      <c r="I807" t="n">
        <v>37.9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1851-2026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46035</v>
      </c>
      <c r="E808" s="1" t="n">
        <v>46314</v>
      </c>
      <c r="F808" t="inlineStr">
        <is>
          <t>DALARNAS LÄN</t>
        </is>
      </c>
      <c r="G808" t="inlineStr">
        <is>
          <t>FALUN</t>
        </is>
      </c>
      <c r="I808" t="n">
        <v>0.7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2017-2026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46035</v>
      </c>
      <c r="E809" s="1" t="n">
        <v>46314</v>
      </c>
      <c r="F809" t="inlineStr">
        <is>
          <t>DALARNAS LÄN</t>
        </is>
      </c>
      <c r="G809" t="inlineStr">
        <is>
          <t>FALUN</t>
        </is>
      </c>
      <c r="I809" t="n">
        <v>1.8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2029-2026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46035</v>
      </c>
      <c r="E810" s="1" t="n">
        <v>46314</v>
      </c>
      <c r="F810" t="inlineStr">
        <is>
          <t>DALARNAS LÄN</t>
        </is>
      </c>
      <c r="G810" t="inlineStr">
        <is>
          <t>FALUN</t>
        </is>
      </c>
      <c r="I810" t="n">
        <v>2.4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1791-2026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46034</v>
      </c>
      <c r="E811" s="1" t="n">
        <v>46314</v>
      </c>
      <c r="F811" t="inlineStr">
        <is>
          <t>DALARNAS LÄN</t>
        </is>
      </c>
      <c r="G811" t="inlineStr">
        <is>
          <t>FALUN</t>
        </is>
      </c>
      <c r="I811" t="n">
        <v>2.1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1836-2026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46035</v>
      </c>
      <c r="E812" s="1" t="n">
        <v>46314</v>
      </c>
      <c r="F812" t="inlineStr">
        <is>
          <t>DALARNAS LÄN</t>
        </is>
      </c>
      <c r="G812" t="inlineStr">
        <is>
          <t>FALUN</t>
        </is>
      </c>
      <c r="I812" t="n">
        <v>1.8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2011-2026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46035</v>
      </c>
      <c r="E813" s="1" t="n">
        <v>46314</v>
      </c>
      <c r="F813" t="inlineStr">
        <is>
          <t>DALARNAS LÄN</t>
        </is>
      </c>
      <c r="G813" t="inlineStr">
        <is>
          <t>FALUN</t>
        </is>
      </c>
      <c r="I813" t="n">
        <v>1.7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2021-2026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46035</v>
      </c>
      <c r="E814" s="1" t="n">
        <v>46314</v>
      </c>
      <c r="F814" t="inlineStr">
        <is>
          <t>DALARNAS LÄN</t>
        </is>
      </c>
      <c r="G814" t="inlineStr">
        <is>
          <t>FALUN</t>
        </is>
      </c>
      <c r="I814" t="n">
        <v>0.7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1426-2026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46031</v>
      </c>
      <c r="E815" s="1" t="n">
        <v>46314</v>
      </c>
      <c r="F815" t="inlineStr">
        <is>
          <t>DALARNAS LÄN</t>
        </is>
      </c>
      <c r="G815" t="inlineStr">
        <is>
          <t>FALUN</t>
        </is>
      </c>
      <c r="I815" t="n">
        <v>2.2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25344-2026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46176</v>
      </c>
      <c r="E816" s="1" t="n">
        <v>46314</v>
      </c>
      <c r="F816" t="inlineStr">
        <is>
          <t>DALARNAS LÄN</t>
        </is>
      </c>
      <c r="G816" t="inlineStr">
        <is>
          <t>FALUN</t>
        </is>
      </c>
      <c r="I816" t="n">
        <v>2.2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1767-2026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46034</v>
      </c>
      <c r="E817" s="1" t="n">
        <v>46314</v>
      </c>
      <c r="F817" t="inlineStr">
        <is>
          <t>DALARNAS LÄN</t>
        </is>
      </c>
      <c r="G817" t="inlineStr">
        <is>
          <t>FALUN</t>
        </is>
      </c>
      <c r="I817" t="n">
        <v>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25550-2026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46177</v>
      </c>
      <c r="E818" s="1" t="n">
        <v>46314</v>
      </c>
      <c r="F818" t="inlineStr">
        <is>
          <t>DALARNAS LÄN</t>
        </is>
      </c>
      <c r="G818" t="inlineStr">
        <is>
          <t>FALUN</t>
        </is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1446-2026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46032</v>
      </c>
      <c r="E819" s="1" t="n">
        <v>46314</v>
      </c>
      <c r="F819" t="inlineStr">
        <is>
          <t>DALARNAS LÄN</t>
        </is>
      </c>
      <c r="G819" t="inlineStr">
        <is>
          <t>FALUN</t>
        </is>
      </c>
      <c r="I819" t="n">
        <v>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1932-2026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46035</v>
      </c>
      <c r="E820" s="1" t="n">
        <v>46314</v>
      </c>
      <c r="F820" t="inlineStr">
        <is>
          <t>DALARNAS LÄN</t>
        </is>
      </c>
      <c r="G820" t="inlineStr">
        <is>
          <t>FALUN</t>
        </is>
      </c>
      <c r="I820" t="n">
        <v>26.7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1443-2026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46032</v>
      </c>
      <c r="E821" s="1" t="n">
        <v>46314</v>
      </c>
      <c r="F821" t="inlineStr">
        <is>
          <t>DALARNAS LÄN</t>
        </is>
      </c>
      <c r="G821" t="inlineStr">
        <is>
          <t>FALUN</t>
        </is>
      </c>
      <c r="I821" t="n">
        <v>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2013-2026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46035</v>
      </c>
      <c r="E822" s="1" t="n">
        <v>46314</v>
      </c>
      <c r="F822" t="inlineStr">
        <is>
          <t>DALARNAS LÄN</t>
        </is>
      </c>
      <c r="G822" t="inlineStr">
        <is>
          <t>FALUN</t>
        </is>
      </c>
      <c r="I822" t="n">
        <v>0.5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2015-2026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46035</v>
      </c>
      <c r="E823" s="1" t="n">
        <v>46314</v>
      </c>
      <c r="F823" t="inlineStr">
        <is>
          <t>DALARNAS LÄN</t>
        </is>
      </c>
      <c r="G823" t="inlineStr">
        <is>
          <t>FALUN</t>
        </is>
      </c>
      <c r="I823" t="n">
        <v>2.5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25358-2026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46176</v>
      </c>
      <c r="E824" s="1" t="n">
        <v>46314</v>
      </c>
      <c r="F824" t="inlineStr">
        <is>
          <t>DALARNAS LÄN</t>
        </is>
      </c>
      <c r="G824" t="inlineStr">
        <is>
          <t>FALUN</t>
        </is>
      </c>
      <c r="H824" t="inlineStr">
        <is>
          <t>Bergvik skog väst AB</t>
        </is>
      </c>
      <c r="I824" t="n">
        <v>0.5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1448-2026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46032</v>
      </c>
      <c r="E825" s="1" t="n">
        <v>46314</v>
      </c>
      <c r="F825" t="inlineStr">
        <is>
          <t>DALARNAS LÄN</t>
        </is>
      </c>
      <c r="G825" t="inlineStr">
        <is>
          <t>FALUN</t>
        </is>
      </c>
      <c r="I825" t="n">
        <v>8.1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2018-2026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46035</v>
      </c>
      <c r="E826" s="1" t="n">
        <v>46314</v>
      </c>
      <c r="F826" t="inlineStr">
        <is>
          <t>DALARNAS LÄN</t>
        </is>
      </c>
      <c r="G826" t="inlineStr">
        <is>
          <t>FALUN</t>
        </is>
      </c>
      <c r="I826" t="n">
        <v>2.3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2020-2026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46035</v>
      </c>
      <c r="E827" s="1" t="n">
        <v>46314</v>
      </c>
      <c r="F827" t="inlineStr">
        <is>
          <t>DALARNAS LÄN</t>
        </is>
      </c>
      <c r="G827" t="inlineStr">
        <is>
          <t>FALUN</t>
        </is>
      </c>
      <c r="I827" t="n">
        <v>1.8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2022-2026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46035</v>
      </c>
      <c r="E828" s="1" t="n">
        <v>46314</v>
      </c>
      <c r="F828" t="inlineStr">
        <is>
          <t>DALARNAS LÄN</t>
        </is>
      </c>
      <c r="G828" t="inlineStr">
        <is>
          <t>FALUN</t>
        </is>
      </c>
      <c r="I828" t="n">
        <v>2.2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1803-2026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46035</v>
      </c>
      <c r="E829" s="1" t="n">
        <v>46314</v>
      </c>
      <c r="F829" t="inlineStr">
        <is>
          <t>DALARNAS LÄN</t>
        </is>
      </c>
      <c r="G829" t="inlineStr">
        <is>
          <t>FALUN</t>
        </is>
      </c>
      <c r="I829" t="n">
        <v>1.6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1447-2026</t>
        </is>
      </c>
      <c r="B830" t="inlineStr">
        <is>
          <t>avverkningsanmälan</t>
        </is>
      </c>
      <c r="C830" t="inlineStr">
        <is>
          <t>Föryngringsavverkning</t>
        </is>
      </c>
      <c r="D830" s="1" t="n">
        <v>46032</v>
      </c>
      <c r="E830" s="1" t="n">
        <v>46314</v>
      </c>
      <c r="F830" t="inlineStr">
        <is>
          <t>DALARNAS LÄN</t>
        </is>
      </c>
      <c r="G830" t="inlineStr">
        <is>
          <t>FALUN</t>
        </is>
      </c>
      <c r="I830" t="n">
        <v>2.1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2649-2026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46035</v>
      </c>
      <c r="E831" s="1" t="n">
        <v>46314</v>
      </c>
      <c r="F831" t="inlineStr">
        <is>
          <t>DALARNAS LÄN</t>
        </is>
      </c>
      <c r="G831" t="inlineStr">
        <is>
          <t>FALUN</t>
        </is>
      </c>
      <c r="I831" t="n">
        <v>2.8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1702-2026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46034</v>
      </c>
      <c r="E832" s="1" t="n">
        <v>46314</v>
      </c>
      <c r="F832" t="inlineStr">
        <is>
          <t>DALARNAS LÄN</t>
        </is>
      </c>
      <c r="G832" t="inlineStr">
        <is>
          <t>FALUN</t>
        </is>
      </c>
      <c r="I832" t="n">
        <v>1.9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  <c r="Z832">
        <f>HYPERLINK("https://klasma.github.io/Logging_2080/knärot/A 1702-2026 karta knärot.png", "A 1702-2026")</f>
        <v/>
      </c>
      <c r="AA832">
        <f>HYPERLINK("https://klasma.github.io/Logging_2080/klagomål/A 1702-2026 FSC-klagomål.docx", "A 1702-2026")</f>
        <v/>
      </c>
      <c r="AB832">
        <f>HYPERLINK("https://klasma.github.io/Logging_2080/klagomålsmail/A 1702-2026 FSC-klagomål mail.docx", "A 1702-2026")</f>
        <v/>
      </c>
      <c r="AC832">
        <f>HYPERLINK("https://klasma.github.io/Logging_2080/tillsyn/A 1702-2026 tillsynsbegäran.docx", "A 1702-2026")</f>
        <v/>
      </c>
      <c r="AD832">
        <f>HYPERLINK("https://klasma.github.io/Logging_2080/tillsynsmail/A 1702-2026 tillsynsbegäran mail.docx", "A 1702-2026")</f>
        <v/>
      </c>
    </row>
    <row r="833" ht="15" customHeight="1">
      <c r="A833" t="inlineStr">
        <is>
          <t>A 2554-2026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46037</v>
      </c>
      <c r="E833" s="1" t="n">
        <v>46314</v>
      </c>
      <c r="F833" t="inlineStr">
        <is>
          <t>DALARNAS LÄN</t>
        </is>
      </c>
      <c r="G833" t="inlineStr">
        <is>
          <t>FALUN</t>
        </is>
      </c>
      <c r="I833" t="n">
        <v>8.4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2558-2026</t>
        </is>
      </c>
      <c r="B834" t="inlineStr">
        <is>
          <t>avverkningsanmälan</t>
        </is>
      </c>
      <c r="C834" t="inlineStr">
        <is>
          <t>Föryngringsavverkning</t>
        </is>
      </c>
      <c r="D834" s="1" t="n">
        <v>46037</v>
      </c>
      <c r="E834" s="1" t="n">
        <v>46314</v>
      </c>
      <c r="F834" t="inlineStr">
        <is>
          <t>DALARNAS LÄN</t>
        </is>
      </c>
      <c r="G834" t="inlineStr">
        <is>
          <t>FALUN</t>
        </is>
      </c>
      <c r="I834" t="n">
        <v>11.2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25217-2026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46175</v>
      </c>
      <c r="E835" s="1" t="n">
        <v>46314</v>
      </c>
      <c r="F835" t="inlineStr">
        <is>
          <t>DALARNAS LÄN</t>
        </is>
      </c>
      <c r="G835" t="inlineStr">
        <is>
          <t>FALUN</t>
        </is>
      </c>
      <c r="I835" t="n">
        <v>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2568-2026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46037</v>
      </c>
      <c r="E836" s="1" t="n">
        <v>46314</v>
      </c>
      <c r="F836" t="inlineStr">
        <is>
          <t>DALARNAS LÄN</t>
        </is>
      </c>
      <c r="G836" t="inlineStr">
        <is>
          <t>FALUN</t>
        </is>
      </c>
      <c r="I836" t="n">
        <v>0.5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25893-2026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46178</v>
      </c>
      <c r="E837" s="1" t="n">
        <v>46314</v>
      </c>
      <c r="F837" t="inlineStr">
        <is>
          <t>DALARNAS LÄN</t>
        </is>
      </c>
      <c r="G837" t="inlineStr">
        <is>
          <t>FALUN</t>
        </is>
      </c>
      <c r="I837" t="n">
        <v>6.7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2381-2026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46036</v>
      </c>
      <c r="E838" s="1" t="n">
        <v>46314</v>
      </c>
      <c r="F838" t="inlineStr">
        <is>
          <t>DALARNAS LÄN</t>
        </is>
      </c>
      <c r="G838" t="inlineStr">
        <is>
          <t>FALUN</t>
        </is>
      </c>
      <c r="I838" t="n">
        <v>8.800000000000001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25668-2026</t>
        </is>
      </c>
      <c r="B839" t="inlineStr">
        <is>
          <t>avverkningsanmälan</t>
        </is>
      </c>
      <c r="C839" t="inlineStr">
        <is>
          <t>Föryngringsavverkning</t>
        </is>
      </c>
      <c r="D839" s="1" t="n">
        <v>46178</v>
      </c>
      <c r="E839" s="1" t="n">
        <v>46314</v>
      </c>
      <c r="F839" t="inlineStr">
        <is>
          <t>DALARNAS LÄN</t>
        </is>
      </c>
      <c r="G839" t="inlineStr">
        <is>
          <t>FALUN</t>
        </is>
      </c>
      <c r="I839" t="n">
        <v>0.6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25673-2026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46178</v>
      </c>
      <c r="E840" s="1" t="n">
        <v>46314</v>
      </c>
      <c r="F840" t="inlineStr">
        <is>
          <t>DALARNAS LÄN</t>
        </is>
      </c>
      <c r="G840" t="inlineStr">
        <is>
          <t>FALUN</t>
        </is>
      </c>
      <c r="I840" t="n">
        <v>1.7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17751-2026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46122</v>
      </c>
      <c r="E841" s="1" t="n">
        <v>46314</v>
      </c>
      <c r="F841" t="inlineStr">
        <is>
          <t>DALARNAS LÄN</t>
        </is>
      </c>
      <c r="G841" t="inlineStr">
        <is>
          <t>FALUN</t>
        </is>
      </c>
      <c r="I841" t="n">
        <v>7.5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2967-2026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46037</v>
      </c>
      <c r="E842" s="1" t="n">
        <v>46314</v>
      </c>
      <c r="F842" t="inlineStr">
        <is>
          <t>DALARNAS LÄN</t>
        </is>
      </c>
      <c r="G842" t="inlineStr">
        <is>
          <t>FALUN</t>
        </is>
      </c>
      <c r="I842" t="n">
        <v>0.8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2240-2026</t>
        </is>
      </c>
      <c r="B843" t="inlineStr">
        <is>
          <t>avverkningsanmälan</t>
        </is>
      </c>
      <c r="C843" t="inlineStr">
        <is>
          <t>Föryngringsavverkning</t>
        </is>
      </c>
      <c r="D843" s="1" t="n">
        <v>46036</v>
      </c>
      <c r="E843" s="1" t="n">
        <v>46314</v>
      </c>
      <c r="F843" t="inlineStr">
        <is>
          <t>DALARNAS LÄN</t>
        </is>
      </c>
      <c r="G843" t="inlineStr">
        <is>
          <t>FALUN</t>
        </is>
      </c>
      <c r="I843" t="n">
        <v>9.199999999999999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2262-2026</t>
        </is>
      </c>
      <c r="B844" t="inlineStr">
        <is>
          <t>avverkningsanmälan</t>
        </is>
      </c>
      <c r="C844" t="inlineStr">
        <is>
          <t>Föryngringsavverkning</t>
        </is>
      </c>
      <c r="D844" s="1" t="n">
        <v>46036</v>
      </c>
      <c r="E844" s="1" t="n">
        <v>46314</v>
      </c>
      <c r="F844" t="inlineStr">
        <is>
          <t>DALARNAS LÄN</t>
        </is>
      </c>
      <c r="G844" t="inlineStr">
        <is>
          <t>FALUN</t>
        </is>
      </c>
      <c r="I844" t="n">
        <v>10.7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25689-2026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46178</v>
      </c>
      <c r="E845" s="1" t="n">
        <v>46314</v>
      </c>
      <c r="F845" t="inlineStr">
        <is>
          <t>DALARNAS LÄN</t>
        </is>
      </c>
      <c r="G845" t="inlineStr">
        <is>
          <t>FALUN</t>
        </is>
      </c>
      <c r="I845" t="n">
        <v>1.3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2764-2026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46036</v>
      </c>
      <c r="E846" s="1" t="n">
        <v>46314</v>
      </c>
      <c r="F846" t="inlineStr">
        <is>
          <t>DALARNAS LÄN</t>
        </is>
      </c>
      <c r="G846" t="inlineStr">
        <is>
          <t>FALUN</t>
        </is>
      </c>
      <c r="I846" t="n">
        <v>4.4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2165-2026</t>
        </is>
      </c>
      <c r="B847" t="inlineStr">
        <is>
          <t>avverkningsanmälan</t>
        </is>
      </c>
      <c r="C847" t="inlineStr">
        <is>
          <t>Föryngringsavverkning</t>
        </is>
      </c>
      <c r="D847" s="1" t="n">
        <v>46036</v>
      </c>
      <c r="E847" s="1" t="n">
        <v>46314</v>
      </c>
      <c r="F847" t="inlineStr">
        <is>
          <t>DALARNAS LÄN</t>
        </is>
      </c>
      <c r="G847" t="inlineStr">
        <is>
          <t>FALUN</t>
        </is>
      </c>
      <c r="I847" t="n">
        <v>1.3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A 2683-2026</t>
        </is>
      </c>
      <c r="B848" t="inlineStr">
        <is>
          <t>avverkningsanmälan</t>
        </is>
      </c>
      <c r="C848" t="inlineStr">
        <is>
          <t>Föryngringsavverkning</t>
        </is>
      </c>
      <c r="D848" s="1" t="n">
        <v>46037</v>
      </c>
      <c r="E848" s="1" t="n">
        <v>46314</v>
      </c>
      <c r="F848" t="inlineStr">
        <is>
          <t>DALARNAS LÄN</t>
        </is>
      </c>
      <c r="G848" t="inlineStr">
        <is>
          <t>FALUN</t>
        </is>
      </c>
      <c r="I848" t="n">
        <v>1.5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A 25799-2026</t>
        </is>
      </c>
      <c r="B849" t="inlineStr">
        <is>
          <t>avverkningsanmälan</t>
        </is>
      </c>
      <c r="C849" t="inlineStr">
        <is>
          <t>Föryngringsavverkning</t>
        </is>
      </c>
      <c r="D849" s="1" t="n">
        <v>46178</v>
      </c>
      <c r="E849" s="1" t="n">
        <v>46314</v>
      </c>
      <c r="F849" t="inlineStr">
        <is>
          <t>DALARNAS LÄN</t>
        </is>
      </c>
      <c r="G849" t="inlineStr">
        <is>
          <t>FALUN</t>
        </is>
      </c>
      <c r="I849" t="n">
        <v>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A 22526-2026</t>
        </is>
      </c>
      <c r="B850" t="inlineStr">
        <is>
          <t>avverkningsanmälan</t>
        </is>
      </c>
      <c r="C850" t="inlineStr">
        <is>
          <t>Föryngringsavverkning</t>
        </is>
      </c>
      <c r="D850" s="1" t="n">
        <v>46155</v>
      </c>
      <c r="E850" s="1" t="n">
        <v>46314</v>
      </c>
      <c r="F850" t="inlineStr">
        <is>
          <t>DALARNAS LÄN</t>
        </is>
      </c>
      <c r="G850" t="inlineStr">
        <is>
          <t>FALUN</t>
        </is>
      </c>
      <c r="I850" t="n">
        <v>4.5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A 21416-2026</t>
        </is>
      </c>
      <c r="B851" t="inlineStr">
        <is>
          <t>avverkningsanmälan</t>
        </is>
      </c>
      <c r="C851" t="inlineStr">
        <is>
          <t>Föryngringsavverkning</t>
        </is>
      </c>
      <c r="D851" s="1" t="n">
        <v>46148</v>
      </c>
      <c r="E851" s="1" t="n">
        <v>46314</v>
      </c>
      <c r="F851" t="inlineStr">
        <is>
          <t>DALARNAS LÄN</t>
        </is>
      </c>
      <c r="G851" t="inlineStr">
        <is>
          <t>FALUN</t>
        </is>
      </c>
      <c r="I851" t="n">
        <v>1.5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A 6304-2026</t>
        </is>
      </c>
      <c r="B852" t="inlineStr">
        <is>
          <t>avverkningsanmälan</t>
        </is>
      </c>
      <c r="C852" t="inlineStr">
        <is>
          <t>Föryngringsavverkning</t>
        </is>
      </c>
      <c r="D852" s="1" t="n">
        <v>46055</v>
      </c>
      <c r="E852" s="1" t="n">
        <v>46314</v>
      </c>
      <c r="F852" t="inlineStr">
        <is>
          <t>DALARNAS LÄN</t>
        </is>
      </c>
      <c r="G852" t="inlineStr">
        <is>
          <t>FALUN</t>
        </is>
      </c>
      <c r="I852" t="n">
        <v>0.7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A 2237-2026</t>
        </is>
      </c>
      <c r="B853" t="inlineStr">
        <is>
          <t>avverkningsanmälan</t>
        </is>
      </c>
      <c r="C853" t="inlineStr">
        <is>
          <t>Föryngringsavverkning</t>
        </is>
      </c>
      <c r="D853" s="1" t="n">
        <v>46036</v>
      </c>
      <c r="E853" s="1" t="n">
        <v>46314</v>
      </c>
      <c r="F853" t="inlineStr">
        <is>
          <t>DALARNAS LÄN</t>
        </is>
      </c>
      <c r="G853" t="inlineStr">
        <is>
          <t>FALUN</t>
        </is>
      </c>
      <c r="I853" t="n">
        <v>4.5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A 2241-2026</t>
        </is>
      </c>
      <c r="B854" t="inlineStr">
        <is>
          <t>avverkningsanmälan</t>
        </is>
      </c>
      <c r="C854" t="inlineStr">
        <is>
          <t>Föryngringsavverkning</t>
        </is>
      </c>
      <c r="D854" s="1" t="n">
        <v>46036</v>
      </c>
      <c r="E854" s="1" t="n">
        <v>46314</v>
      </c>
      <c r="F854" t="inlineStr">
        <is>
          <t>DALARNAS LÄN</t>
        </is>
      </c>
      <c r="G854" t="inlineStr">
        <is>
          <t>FALUN</t>
        </is>
      </c>
      <c r="I854" t="n">
        <v>11.5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A 2654-2026</t>
        </is>
      </c>
      <c r="B855" t="inlineStr">
        <is>
          <t>avverkningsanmälan</t>
        </is>
      </c>
      <c r="C855" t="inlineStr">
        <is>
          <t>Föryngringsavverkning</t>
        </is>
      </c>
      <c r="D855" s="1" t="n">
        <v>46037</v>
      </c>
      <c r="E855" s="1" t="n">
        <v>46314</v>
      </c>
      <c r="F855" t="inlineStr">
        <is>
          <t>DALARNAS LÄN</t>
        </is>
      </c>
      <c r="G855" t="inlineStr">
        <is>
          <t>FALUN</t>
        </is>
      </c>
      <c r="I855" t="n">
        <v>0.7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A 2236-2026</t>
        </is>
      </c>
      <c r="B856" t="inlineStr">
        <is>
          <t>avverkningsanmälan</t>
        </is>
      </c>
      <c r="C856" t="inlineStr">
        <is>
          <t>Föryngringsavverkning</t>
        </is>
      </c>
      <c r="D856" s="1" t="n">
        <v>46036</v>
      </c>
      <c r="E856" s="1" t="n">
        <v>46314</v>
      </c>
      <c r="F856" t="inlineStr">
        <is>
          <t>DALARNAS LÄN</t>
        </is>
      </c>
      <c r="G856" t="inlineStr">
        <is>
          <t>FALUN</t>
        </is>
      </c>
      <c r="I856" t="n">
        <v>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A 2273-2026</t>
        </is>
      </c>
      <c r="B857" t="inlineStr">
        <is>
          <t>avverkningsanmälan</t>
        </is>
      </c>
      <c r="C857" t="inlineStr">
        <is>
          <t>Föryngringsavverkning</t>
        </is>
      </c>
      <c r="D857" s="1" t="n">
        <v>46036</v>
      </c>
      <c r="E857" s="1" t="n">
        <v>46314</v>
      </c>
      <c r="F857" t="inlineStr">
        <is>
          <t>DALARNAS LÄN</t>
        </is>
      </c>
      <c r="G857" t="inlineStr">
        <is>
          <t>FALUN</t>
        </is>
      </c>
      <c r="I857" t="n">
        <v>2.3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A 2323-2026</t>
        </is>
      </c>
      <c r="B858" t="inlineStr">
        <is>
          <t>avverkningsanmälan</t>
        </is>
      </c>
      <c r="C858" t="inlineStr">
        <is>
          <t>Föryngringsavverkning</t>
        </is>
      </c>
      <c r="D858" s="1" t="n">
        <v>46036</v>
      </c>
      <c r="E858" s="1" t="n">
        <v>46314</v>
      </c>
      <c r="F858" t="inlineStr">
        <is>
          <t>DALARNAS LÄN</t>
        </is>
      </c>
      <c r="G858" t="inlineStr">
        <is>
          <t>FALUN</t>
        </is>
      </c>
      <c r="I858" t="n">
        <v>1.8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A 2676-2026</t>
        </is>
      </c>
      <c r="B859" t="inlineStr">
        <is>
          <t>avverkningsanmälan</t>
        </is>
      </c>
      <c r="C859" t="inlineStr">
        <is>
          <t>Föryngringsavverkning</t>
        </is>
      </c>
      <c r="D859" s="1" t="n">
        <v>46037</v>
      </c>
      <c r="E859" s="1" t="n">
        <v>46314</v>
      </c>
      <c r="F859" t="inlineStr">
        <is>
          <t>DALARNAS LÄN</t>
        </is>
      </c>
      <c r="G859" t="inlineStr">
        <is>
          <t>FALUN</t>
        </is>
      </c>
      <c r="I859" t="n">
        <v>1.9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A 21289-2026</t>
        </is>
      </c>
      <c r="B860" t="inlineStr">
        <is>
          <t>avverkningsanmälan</t>
        </is>
      </c>
      <c r="C860" t="inlineStr">
        <is>
          <t>Föryngringsavverkning</t>
        </is>
      </c>
      <c r="D860" s="1" t="n">
        <v>46147</v>
      </c>
      <c r="E860" s="1" t="n">
        <v>46314</v>
      </c>
      <c r="F860" t="inlineStr">
        <is>
          <t>DALARNAS LÄN</t>
        </is>
      </c>
      <c r="G860" t="inlineStr">
        <is>
          <t>FALUN</t>
        </is>
      </c>
      <c r="I860" t="n">
        <v>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A 6302-2026</t>
        </is>
      </c>
      <c r="B861" t="inlineStr">
        <is>
          <t>avverkningsanmälan</t>
        </is>
      </c>
      <c r="C861" t="inlineStr">
        <is>
          <t>Föryngringsavverkning</t>
        </is>
      </c>
      <c r="D861" s="1" t="n">
        <v>46055</v>
      </c>
      <c r="E861" s="1" t="n">
        <v>46314</v>
      </c>
      <c r="F861" t="inlineStr">
        <is>
          <t>DALARNAS LÄN</t>
        </is>
      </c>
      <c r="G861" t="inlineStr">
        <is>
          <t>FALUN</t>
        </is>
      </c>
      <c r="I861" t="n">
        <v>0.5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A 59200-2025</t>
        </is>
      </c>
      <c r="B862" t="inlineStr">
        <is>
          <t>avverkningsanmälan</t>
        </is>
      </c>
      <c r="C862" t="inlineStr">
        <is>
          <t>Avverkning för annat ändamål</t>
        </is>
      </c>
      <c r="D862" s="1" t="n">
        <v>45988</v>
      </c>
      <c r="E862" s="1" t="n">
        <v>46314</v>
      </c>
      <c r="F862" t="inlineStr">
        <is>
          <t>DALARNAS LÄN</t>
        </is>
      </c>
      <c r="G862" t="inlineStr">
        <is>
          <t>FALUN</t>
        </is>
      </c>
      <c r="I862" t="n">
        <v>3.6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A 2812-2026</t>
        </is>
      </c>
      <c r="B863" t="inlineStr">
        <is>
          <t>avverkningsanmälan</t>
        </is>
      </c>
      <c r="C863" t="inlineStr">
        <is>
          <t>Föryngringsavverkning</t>
        </is>
      </c>
      <c r="D863" s="1" t="n">
        <v>46038</v>
      </c>
      <c r="E863" s="1" t="n">
        <v>46314</v>
      </c>
      <c r="F863" t="inlineStr">
        <is>
          <t>DALARNAS LÄN</t>
        </is>
      </c>
      <c r="G863" t="inlineStr">
        <is>
          <t>FALUN</t>
        </is>
      </c>
      <c r="I863" t="n">
        <v>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A 21653-2026</t>
        </is>
      </c>
      <c r="B864" t="inlineStr">
        <is>
          <t>avverkningsanmälan</t>
        </is>
      </c>
      <c r="C864" t="inlineStr">
        <is>
          <t>Föryngringsavverkning</t>
        </is>
      </c>
      <c r="D864" s="1" t="n">
        <v>46149</v>
      </c>
      <c r="E864" s="1" t="n">
        <v>46314</v>
      </c>
      <c r="F864" t="inlineStr">
        <is>
          <t>DALARNAS LÄN</t>
        </is>
      </c>
      <c r="G864" t="inlineStr">
        <is>
          <t>FALUN</t>
        </is>
      </c>
      <c r="I864" t="n">
        <v>2.2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A 3057-2026</t>
        </is>
      </c>
      <c r="B865" t="inlineStr">
        <is>
          <t>avverkningsanmälan</t>
        </is>
      </c>
      <c r="C865" t="inlineStr">
        <is>
          <t>Föryngringsavverkning</t>
        </is>
      </c>
      <c r="D865" s="1" t="n">
        <v>46039</v>
      </c>
      <c r="E865" s="1" t="n">
        <v>46314</v>
      </c>
      <c r="F865" t="inlineStr">
        <is>
          <t>DALARNAS LÄN</t>
        </is>
      </c>
      <c r="G865" t="inlineStr">
        <is>
          <t>FALUN</t>
        </is>
      </c>
      <c r="I865" t="n">
        <v>0.8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A 3085-2026</t>
        </is>
      </c>
      <c r="B866" t="inlineStr">
        <is>
          <t>avverkningsanmälan</t>
        </is>
      </c>
      <c r="C866" t="inlineStr">
        <is>
          <t>Föryngringsavverkning</t>
        </is>
      </c>
      <c r="D866" s="1" t="n">
        <v>46040</v>
      </c>
      <c r="E866" s="1" t="n">
        <v>46314</v>
      </c>
      <c r="F866" t="inlineStr">
        <is>
          <t>DALARNAS LÄN</t>
        </is>
      </c>
      <c r="G866" t="inlineStr">
        <is>
          <t>FALUN</t>
        </is>
      </c>
      <c r="I866" t="n">
        <v>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A 3064-2026</t>
        </is>
      </c>
      <c r="B867" t="inlineStr">
        <is>
          <t>avverkningsanmälan</t>
        </is>
      </c>
      <c r="C867" t="inlineStr">
        <is>
          <t>Föryngringsavverkning</t>
        </is>
      </c>
      <c r="D867" s="1" t="n">
        <v>46040</v>
      </c>
      <c r="E867" s="1" t="n">
        <v>46314</v>
      </c>
      <c r="F867" t="inlineStr">
        <is>
          <t>DALARNAS LÄN</t>
        </is>
      </c>
      <c r="G867" t="inlineStr">
        <is>
          <t>FALUN</t>
        </is>
      </c>
      <c r="I867" t="n">
        <v>0.9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A 2722-2026</t>
        </is>
      </c>
      <c r="B868" t="inlineStr">
        <is>
          <t>avverkningsanmälan</t>
        </is>
      </c>
      <c r="C868" t="inlineStr">
        <is>
          <t>Föryngringsavverkning</t>
        </is>
      </c>
      <c r="D868" s="1" t="n">
        <v>46037</v>
      </c>
      <c r="E868" s="1" t="n">
        <v>46314</v>
      </c>
      <c r="F868" t="inlineStr">
        <is>
          <t>DALARNAS LÄN</t>
        </is>
      </c>
      <c r="G868" t="inlineStr">
        <is>
          <t>FALUN</t>
        </is>
      </c>
      <c r="I868" t="n">
        <v>5.1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A 3339-2026</t>
        </is>
      </c>
      <c r="B869" t="inlineStr">
        <is>
          <t>avverkningsanmälan</t>
        </is>
      </c>
      <c r="C869" t="inlineStr">
        <is>
          <t>Föryngringsavverkning</t>
        </is>
      </c>
      <c r="D869" s="1" t="n">
        <v>46041</v>
      </c>
      <c r="E869" s="1" t="n">
        <v>46314</v>
      </c>
      <c r="F869" t="inlineStr">
        <is>
          <t>DALARNAS LÄN</t>
        </is>
      </c>
      <c r="G869" t="inlineStr">
        <is>
          <t>FALUN</t>
        </is>
      </c>
      <c r="I869" t="n">
        <v>2.6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A 25517-2026</t>
        </is>
      </c>
      <c r="B870" t="inlineStr">
        <is>
          <t>avverkningsanmälan</t>
        </is>
      </c>
      <c r="C870" t="inlineStr">
        <is>
          <t>Föryngringsavverkning</t>
        </is>
      </c>
      <c r="D870" s="1" t="n">
        <v>46177</v>
      </c>
      <c r="E870" s="1" t="n">
        <v>46314</v>
      </c>
      <c r="F870" t="inlineStr">
        <is>
          <t>DALARNAS LÄN</t>
        </is>
      </c>
      <c r="G870" t="inlineStr">
        <is>
          <t>FALUN</t>
        </is>
      </c>
      <c r="H870" t="inlineStr">
        <is>
          <t>Bergvik skog väst AB</t>
        </is>
      </c>
      <c r="I870" t="n">
        <v>6.4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A 3276-2026</t>
        </is>
      </c>
      <c r="B871" t="inlineStr">
        <is>
          <t>avverkningsanmälan</t>
        </is>
      </c>
      <c r="C871" t="inlineStr">
        <is>
          <t>Föryngringsavverkning</t>
        </is>
      </c>
      <c r="D871" s="1" t="n">
        <v>46041</v>
      </c>
      <c r="E871" s="1" t="n">
        <v>46314</v>
      </c>
      <c r="F871" t="inlineStr">
        <is>
          <t>DALARNAS LÄN</t>
        </is>
      </c>
      <c r="G871" t="inlineStr">
        <is>
          <t>FALUN</t>
        </is>
      </c>
      <c r="I871" t="n">
        <v>17.3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A 3343-2026</t>
        </is>
      </c>
      <c r="B872" t="inlineStr">
        <is>
          <t>avverkningsanmälan</t>
        </is>
      </c>
      <c r="C872" t="inlineStr">
        <is>
          <t>Föryngringsavverkning</t>
        </is>
      </c>
      <c r="D872" s="1" t="n">
        <v>46041</v>
      </c>
      <c r="E872" s="1" t="n">
        <v>46314</v>
      </c>
      <c r="F872" t="inlineStr">
        <is>
          <t>DALARNAS LÄN</t>
        </is>
      </c>
      <c r="G872" t="inlineStr">
        <is>
          <t>FALUN</t>
        </is>
      </c>
      <c r="I872" t="n">
        <v>3.9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A 3347-2026</t>
        </is>
      </c>
      <c r="B873" t="inlineStr">
        <is>
          <t>avverkningsanmälan</t>
        </is>
      </c>
      <c r="C873" t="inlineStr">
        <is>
          <t>Föryngringsavverkning</t>
        </is>
      </c>
      <c r="D873" s="1" t="n">
        <v>46041</v>
      </c>
      <c r="E873" s="1" t="n">
        <v>46314</v>
      </c>
      <c r="F873" t="inlineStr">
        <is>
          <t>DALARNAS LÄN</t>
        </is>
      </c>
      <c r="G873" t="inlineStr">
        <is>
          <t>FALUN</t>
        </is>
      </c>
      <c r="I873" t="n">
        <v>5.9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A 3633-2026</t>
        </is>
      </c>
      <c r="B874" t="inlineStr">
        <is>
          <t>avverkningsanmälan</t>
        </is>
      </c>
      <c r="C874" t="inlineStr">
        <is>
          <t>Föryngringsavverkning</t>
        </is>
      </c>
      <c r="D874" s="1" t="n">
        <v>46043</v>
      </c>
      <c r="E874" s="1" t="n">
        <v>46314</v>
      </c>
      <c r="F874" t="inlineStr">
        <is>
          <t>DALARNAS LÄN</t>
        </is>
      </c>
      <c r="G874" t="inlineStr">
        <is>
          <t>FALUN</t>
        </is>
      </c>
      <c r="I874" t="n">
        <v>11.8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A 3406-2026</t>
        </is>
      </c>
      <c r="B875" t="inlineStr">
        <is>
          <t>avverkningsanmälan</t>
        </is>
      </c>
      <c r="C875" t="inlineStr">
        <is>
          <t>Föryngringsavverkning</t>
        </is>
      </c>
      <c r="D875" s="1" t="n">
        <v>46042</v>
      </c>
      <c r="E875" s="1" t="n">
        <v>46314</v>
      </c>
      <c r="F875" t="inlineStr">
        <is>
          <t>DALARNAS LÄN</t>
        </is>
      </c>
      <c r="G875" t="inlineStr">
        <is>
          <t>FALUN</t>
        </is>
      </c>
      <c r="I875" t="n">
        <v>8.4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A 7754-2024</t>
        </is>
      </c>
      <c r="B876" t="inlineStr">
        <is>
          <t>avverkningsanmälan</t>
        </is>
      </c>
      <c r="C876" t="inlineStr">
        <is>
          <t>Föryngringsavverkning</t>
        </is>
      </c>
      <c r="D876" s="1" t="n">
        <v>45349</v>
      </c>
      <c r="E876" s="1" t="n">
        <v>46314</v>
      </c>
      <c r="F876" t="inlineStr">
        <is>
          <t>DALARNAS LÄN</t>
        </is>
      </c>
      <c r="G876" t="inlineStr">
        <is>
          <t>FALUN</t>
        </is>
      </c>
      <c r="I876" t="n">
        <v>0.6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A 3587-2026</t>
        </is>
      </c>
      <c r="B877" t="inlineStr">
        <is>
          <t>avverkningsanmälan</t>
        </is>
      </c>
      <c r="C877" t="inlineStr">
        <is>
          <t>Föryngringsavverkning</t>
        </is>
      </c>
      <c r="D877" s="1" t="n">
        <v>46042</v>
      </c>
      <c r="E877" s="1" t="n">
        <v>46314</v>
      </c>
      <c r="F877" t="inlineStr">
        <is>
          <t>DALARNAS LÄN</t>
        </is>
      </c>
      <c r="G877" t="inlineStr">
        <is>
          <t>FALUN</t>
        </is>
      </c>
      <c r="I877" t="n">
        <v>1.6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A 25542-2026</t>
        </is>
      </c>
      <c r="B878" t="inlineStr">
        <is>
          <t>avverkningsanmälan</t>
        </is>
      </c>
      <c r="C878" t="inlineStr">
        <is>
          <t>Föryngringsavverkning</t>
        </is>
      </c>
      <c r="D878" s="1" t="n">
        <v>46177</v>
      </c>
      <c r="E878" s="1" t="n">
        <v>46314</v>
      </c>
      <c r="F878" t="inlineStr">
        <is>
          <t>DALARNAS LÄN</t>
        </is>
      </c>
      <c r="G878" t="inlineStr">
        <is>
          <t>FALUN</t>
        </is>
      </c>
      <c r="H878" t="inlineStr">
        <is>
          <t>Bergvik skog väst AB</t>
        </is>
      </c>
      <c r="I878" t="n">
        <v>1.5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A 3674-2026</t>
        </is>
      </c>
      <c r="B879" t="inlineStr">
        <is>
          <t>avverkningsanmälan</t>
        </is>
      </c>
      <c r="C879" t="inlineStr">
        <is>
          <t>Föryngringsavverkning</t>
        </is>
      </c>
      <c r="D879" s="1" t="n">
        <v>46043</v>
      </c>
      <c r="E879" s="1" t="n">
        <v>46314</v>
      </c>
      <c r="F879" t="inlineStr">
        <is>
          <t>DALARNAS LÄN</t>
        </is>
      </c>
      <c r="G879" t="inlineStr">
        <is>
          <t>FALUN</t>
        </is>
      </c>
      <c r="I879" t="n">
        <v>3.3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A 25667-2026</t>
        </is>
      </c>
      <c r="B880" t="inlineStr">
        <is>
          <t>avverkningsanmälan</t>
        </is>
      </c>
      <c r="C880" t="inlineStr">
        <is>
          <t>Föryngringsavverkning</t>
        </is>
      </c>
      <c r="D880" s="1" t="n">
        <v>46178</v>
      </c>
      <c r="E880" s="1" t="n">
        <v>46314</v>
      </c>
      <c r="F880" t="inlineStr">
        <is>
          <t>DALARNAS LÄN</t>
        </is>
      </c>
      <c r="G880" t="inlineStr">
        <is>
          <t>FALUN</t>
        </is>
      </c>
      <c r="I880" t="n">
        <v>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A 3687-2026</t>
        </is>
      </c>
      <c r="B881" t="inlineStr">
        <is>
          <t>avverkningsanmälan</t>
        </is>
      </c>
      <c r="C881" t="inlineStr">
        <is>
          <t>Föryngringsavverkning</t>
        </is>
      </c>
      <c r="D881" s="1" t="n">
        <v>46043</v>
      </c>
      <c r="E881" s="1" t="n">
        <v>46314</v>
      </c>
      <c r="F881" t="inlineStr">
        <is>
          <t>DALARNAS LÄN</t>
        </is>
      </c>
      <c r="G881" t="inlineStr">
        <is>
          <t>FALUN</t>
        </is>
      </c>
      <c r="I881" t="n">
        <v>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A 25810-2026</t>
        </is>
      </c>
      <c r="B882" t="inlineStr">
        <is>
          <t>avverkningsanmälan</t>
        </is>
      </c>
      <c r="C882" t="inlineStr">
        <is>
          <t>Föryngringsavverkning</t>
        </is>
      </c>
      <c r="D882" s="1" t="n">
        <v>46178</v>
      </c>
      <c r="E882" s="1" t="n">
        <v>46314</v>
      </c>
      <c r="F882" t="inlineStr">
        <is>
          <t>DALARNAS LÄN</t>
        </is>
      </c>
      <c r="G882" t="inlineStr">
        <is>
          <t>FALUN</t>
        </is>
      </c>
      <c r="I882" t="n">
        <v>0.6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A 3603-2026</t>
        </is>
      </c>
      <c r="B883" t="inlineStr">
        <is>
          <t>avverkningsanmälan</t>
        </is>
      </c>
      <c r="C883" t="inlineStr">
        <is>
          <t>Föryngringsavverkning</t>
        </is>
      </c>
      <c r="D883" s="1" t="n">
        <v>46042</v>
      </c>
      <c r="E883" s="1" t="n">
        <v>46314</v>
      </c>
      <c r="F883" t="inlineStr">
        <is>
          <t>DALARNAS LÄN</t>
        </is>
      </c>
      <c r="G883" t="inlineStr">
        <is>
          <t>FALUN</t>
        </is>
      </c>
      <c r="I883" t="n">
        <v>6.7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A 3679-2026</t>
        </is>
      </c>
      <c r="B884" t="inlineStr">
        <is>
          <t>avverkningsanmälan</t>
        </is>
      </c>
      <c r="C884" t="inlineStr">
        <is>
          <t>Föryngringsavverkning</t>
        </is>
      </c>
      <c r="D884" s="1" t="n">
        <v>46043</v>
      </c>
      <c r="E884" s="1" t="n">
        <v>46314</v>
      </c>
      <c r="F884" t="inlineStr">
        <is>
          <t>DALARNAS LÄN</t>
        </is>
      </c>
      <c r="G884" t="inlineStr">
        <is>
          <t>FALUN</t>
        </is>
      </c>
      <c r="I884" t="n">
        <v>1.5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A 3932-2026</t>
        </is>
      </c>
      <c r="B885" t="inlineStr">
        <is>
          <t>avverkningsanmälan</t>
        </is>
      </c>
      <c r="C885" t="inlineStr">
        <is>
          <t>Föryngringsavverkning</t>
        </is>
      </c>
      <c r="D885" s="1" t="n">
        <v>46043</v>
      </c>
      <c r="E885" s="1" t="n">
        <v>46314</v>
      </c>
      <c r="F885" t="inlineStr">
        <is>
          <t>DALARNAS LÄN</t>
        </is>
      </c>
      <c r="G885" t="inlineStr">
        <is>
          <t>FALUN</t>
        </is>
      </c>
      <c r="I885" t="n">
        <v>2.3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A 3480-2026</t>
        </is>
      </c>
      <c r="B886" t="inlineStr">
        <is>
          <t>avverkningsanmälan</t>
        </is>
      </c>
      <c r="C886" t="inlineStr">
        <is>
          <t>Föryngringsavverkning</t>
        </is>
      </c>
      <c r="D886" s="1" t="n">
        <v>46042</v>
      </c>
      <c r="E886" s="1" t="n">
        <v>46314</v>
      </c>
      <c r="F886" t="inlineStr">
        <is>
          <t>DALARNAS LÄN</t>
        </is>
      </c>
      <c r="G886" t="inlineStr">
        <is>
          <t>FALUN</t>
        </is>
      </c>
      <c r="I886" t="n">
        <v>2.7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 ht="15" customHeight="1">
      <c r="A887" t="inlineStr">
        <is>
          <t>A 3604-2026</t>
        </is>
      </c>
      <c r="B887" t="inlineStr">
        <is>
          <t>avverkningsanmälan</t>
        </is>
      </c>
      <c r="C887" t="inlineStr">
        <is>
          <t>Föryngringsavverkning</t>
        </is>
      </c>
      <c r="D887" s="1" t="n">
        <v>46042</v>
      </c>
      <c r="E887" s="1" t="n">
        <v>46314</v>
      </c>
      <c r="F887" t="inlineStr">
        <is>
          <t>DALARNAS LÄN</t>
        </is>
      </c>
      <c r="G887" t="inlineStr">
        <is>
          <t>FALUN</t>
        </is>
      </c>
      <c r="I887" t="n">
        <v>3.2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  <row r="888" ht="15" customHeight="1">
      <c r="A888" t="inlineStr">
        <is>
          <t>A 3372-2026</t>
        </is>
      </c>
      <c r="B888" t="inlineStr">
        <is>
          <t>avverkningsanmälan</t>
        </is>
      </c>
      <c r="C888" t="inlineStr">
        <is>
          <t>Föryngringsavverkning</t>
        </is>
      </c>
      <c r="D888" s="1" t="n">
        <v>46042</v>
      </c>
      <c r="E888" s="1" t="n">
        <v>46314</v>
      </c>
      <c r="F888" t="inlineStr">
        <is>
          <t>DALARNAS LÄN</t>
        </is>
      </c>
      <c r="G888" t="inlineStr">
        <is>
          <t>FALUN</t>
        </is>
      </c>
      <c r="I888" t="n">
        <v>2.6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inlineStr"/>
    </row>
    <row r="889" ht="15" customHeight="1">
      <c r="A889" t="inlineStr">
        <is>
          <t>A 20873-2026</t>
        </is>
      </c>
      <c r="B889" t="inlineStr">
        <is>
          <t>avverkningsanmälan</t>
        </is>
      </c>
      <c r="C889" t="inlineStr">
        <is>
          <t>Föryngringsavverkning</t>
        </is>
      </c>
      <c r="D889" s="1" t="n">
        <v>46142</v>
      </c>
      <c r="E889" s="1" t="n">
        <v>46314</v>
      </c>
      <c r="F889" t="inlineStr">
        <is>
          <t>DALARNAS LÄN</t>
        </is>
      </c>
      <c r="G889" t="inlineStr">
        <is>
          <t>FALUN</t>
        </is>
      </c>
      <c r="I889" t="n">
        <v>1.2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inlineStr"/>
    </row>
    <row r="890" ht="15" customHeight="1">
      <c r="A890" t="inlineStr">
        <is>
          <t>A 25563-2026</t>
        </is>
      </c>
      <c r="B890" t="inlineStr">
        <is>
          <t>avverkningsanmälan</t>
        </is>
      </c>
      <c r="C890" t="inlineStr">
        <is>
          <t>Föryngringsavverkning</t>
        </is>
      </c>
      <c r="D890" s="1" t="n">
        <v>46177</v>
      </c>
      <c r="E890" s="1" t="n">
        <v>46314</v>
      </c>
      <c r="F890" t="inlineStr">
        <is>
          <t>DALARNAS LÄN</t>
        </is>
      </c>
      <c r="G890" t="inlineStr">
        <is>
          <t>FALUN</t>
        </is>
      </c>
      <c r="I890" t="n">
        <v>1.5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inlineStr"/>
    </row>
    <row r="891" ht="15" customHeight="1">
      <c r="A891" t="inlineStr">
        <is>
          <t>A 25601-2026</t>
        </is>
      </c>
      <c r="B891" t="inlineStr">
        <is>
          <t>avverkningsanmälan</t>
        </is>
      </c>
      <c r="C891" t="inlineStr">
        <is>
          <t>Föryngringsavverkning</t>
        </is>
      </c>
      <c r="D891" s="1" t="n">
        <v>46177</v>
      </c>
      <c r="E891" s="1" t="n">
        <v>46314</v>
      </c>
      <c r="F891" t="inlineStr">
        <is>
          <t>DALARNAS LÄN</t>
        </is>
      </c>
      <c r="G891" t="inlineStr">
        <is>
          <t>FALUN</t>
        </is>
      </c>
      <c r="H891" t="inlineStr">
        <is>
          <t>Bergvik skog väst AB</t>
        </is>
      </c>
      <c r="I891" t="n">
        <v>11.8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inlineStr"/>
    </row>
    <row r="892" ht="15" customHeight="1">
      <c r="A892" t="inlineStr">
        <is>
          <t>A 25739-2026</t>
        </is>
      </c>
      <c r="B892" t="inlineStr">
        <is>
          <t>avverkningsanmälan</t>
        </is>
      </c>
      <c r="C892" t="inlineStr">
        <is>
          <t>Föryngringsavverkning</t>
        </is>
      </c>
      <c r="D892" s="1" t="n">
        <v>46178</v>
      </c>
      <c r="E892" s="1" t="n">
        <v>46314</v>
      </c>
      <c r="F892" t="inlineStr">
        <is>
          <t>DALARNAS LÄN</t>
        </is>
      </c>
      <c r="G892" t="inlineStr">
        <is>
          <t>FALUN</t>
        </is>
      </c>
      <c r="I892" t="n">
        <v>0.9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inlineStr"/>
    </row>
    <row r="893" ht="15" customHeight="1">
      <c r="A893" t="inlineStr">
        <is>
          <t>A 3915-2026</t>
        </is>
      </c>
      <c r="B893" t="inlineStr">
        <is>
          <t>avverkningsanmälan</t>
        </is>
      </c>
      <c r="C893" t="inlineStr">
        <is>
          <t>Föryngringsavverkning</t>
        </is>
      </c>
      <c r="D893" s="1" t="n">
        <v>46043</v>
      </c>
      <c r="E893" s="1" t="n">
        <v>46314</v>
      </c>
      <c r="F893" t="inlineStr">
        <is>
          <t>DALARNAS LÄN</t>
        </is>
      </c>
      <c r="G893" t="inlineStr">
        <is>
          <t>FALUN</t>
        </is>
      </c>
      <c r="I893" t="n">
        <v>0.8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inlineStr"/>
    </row>
    <row r="894" ht="15" customHeight="1">
      <c r="A894" t="inlineStr">
        <is>
          <t>A 4068-2026</t>
        </is>
      </c>
      <c r="B894" t="inlineStr">
        <is>
          <t>avverkningsanmälan</t>
        </is>
      </c>
      <c r="C894" t="inlineStr">
        <is>
          <t>Föryngringsavverkning</t>
        </is>
      </c>
      <c r="D894" s="1" t="n">
        <v>46043</v>
      </c>
      <c r="E894" s="1" t="n">
        <v>46314</v>
      </c>
      <c r="F894" t="inlineStr">
        <is>
          <t>DALARNAS LÄN</t>
        </is>
      </c>
      <c r="G894" t="inlineStr">
        <is>
          <t>FALUN</t>
        </is>
      </c>
      <c r="I894" t="n">
        <v>2.2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inlineStr"/>
    </row>
    <row r="895" ht="15" customHeight="1">
      <c r="A895" t="inlineStr">
        <is>
          <t>A 3791-2026</t>
        </is>
      </c>
      <c r="B895" t="inlineStr">
        <is>
          <t>avverkningsanmälan</t>
        </is>
      </c>
      <c r="C895" t="inlineStr">
        <is>
          <t>Föryngringsavverkning</t>
        </is>
      </c>
      <c r="D895" s="1" t="n">
        <v>46043</v>
      </c>
      <c r="E895" s="1" t="n">
        <v>46314</v>
      </c>
      <c r="F895" t="inlineStr">
        <is>
          <t>DALARNAS LÄN</t>
        </is>
      </c>
      <c r="G895" t="inlineStr">
        <is>
          <t>FALUN</t>
        </is>
      </c>
      <c r="I895" t="n">
        <v>1.4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inlineStr"/>
    </row>
    <row r="896" ht="15" customHeight="1">
      <c r="A896" t="inlineStr">
        <is>
          <t>A 25705-2026</t>
        </is>
      </c>
      <c r="B896" t="inlineStr">
        <is>
          <t>avverkningsanmälan</t>
        </is>
      </c>
      <c r="C896" t="inlineStr">
        <is>
          <t>Föryngringsavverkning</t>
        </is>
      </c>
      <c r="D896" s="1" t="n">
        <v>46178</v>
      </c>
      <c r="E896" s="1" t="n">
        <v>46314</v>
      </c>
      <c r="F896" t="inlineStr">
        <is>
          <t>DALARNAS LÄN</t>
        </is>
      </c>
      <c r="G896" t="inlineStr">
        <is>
          <t>FALUN</t>
        </is>
      </c>
      <c r="I896" t="n">
        <v>1.1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inlineStr"/>
    </row>
    <row r="897" ht="15" customHeight="1">
      <c r="A897" t="inlineStr">
        <is>
          <t>A 4246-2026</t>
        </is>
      </c>
      <c r="B897" t="inlineStr">
        <is>
          <t>avverkningsanmälan</t>
        </is>
      </c>
      <c r="C897" t="inlineStr">
        <is>
          <t>Föryngringsavverkning</t>
        </is>
      </c>
      <c r="D897" s="1" t="n">
        <v>46045</v>
      </c>
      <c r="E897" s="1" t="n">
        <v>46314</v>
      </c>
      <c r="F897" t="inlineStr">
        <is>
          <t>DALARNAS LÄN</t>
        </is>
      </c>
      <c r="G897" t="inlineStr">
        <is>
          <t>FALUN</t>
        </is>
      </c>
      <c r="I897" t="n">
        <v>1.1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inlineStr"/>
    </row>
    <row r="898" ht="15" customHeight="1">
      <c r="A898" t="inlineStr">
        <is>
          <t>A 4224-2026</t>
        </is>
      </c>
      <c r="B898" t="inlineStr">
        <is>
          <t>avverkningsanmälan</t>
        </is>
      </c>
      <c r="C898" t="inlineStr">
        <is>
          <t>Föryngringsavverkning</t>
        </is>
      </c>
      <c r="D898" s="1" t="n">
        <v>46044</v>
      </c>
      <c r="E898" s="1" t="n">
        <v>46314</v>
      </c>
      <c r="F898" t="inlineStr">
        <is>
          <t>DALARNAS LÄN</t>
        </is>
      </c>
      <c r="G898" t="inlineStr">
        <is>
          <t>FALUN</t>
        </is>
      </c>
      <c r="I898" t="n">
        <v>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inlineStr"/>
    </row>
    <row r="899" ht="15" customHeight="1">
      <c r="A899" t="inlineStr">
        <is>
          <t>A 4922-2026</t>
        </is>
      </c>
      <c r="B899" t="inlineStr">
        <is>
          <t>avverkningsanmälan</t>
        </is>
      </c>
      <c r="C899" t="inlineStr">
        <is>
          <t>Föryngringsavverkning</t>
        </is>
      </c>
      <c r="D899" s="1" t="n">
        <v>46045</v>
      </c>
      <c r="E899" s="1" t="n">
        <v>46314</v>
      </c>
      <c r="F899" t="inlineStr">
        <is>
          <t>DALARNAS LÄN</t>
        </is>
      </c>
      <c r="G899" t="inlineStr">
        <is>
          <t>FALUN</t>
        </is>
      </c>
      <c r="I899" t="n">
        <v>6.5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inlineStr"/>
    </row>
    <row r="900" ht="15" customHeight="1">
      <c r="A900" t="inlineStr">
        <is>
          <t>A 4509-2026</t>
        </is>
      </c>
      <c r="B900" t="inlineStr">
        <is>
          <t>avverkningsanmälan</t>
        </is>
      </c>
      <c r="C900" t="inlineStr">
        <is>
          <t>Föryngringsavverkning</t>
        </is>
      </c>
      <c r="D900" s="1" t="n">
        <v>46045</v>
      </c>
      <c r="E900" s="1" t="n">
        <v>46314</v>
      </c>
      <c r="F900" t="inlineStr">
        <is>
          <t>DALARNAS LÄN</t>
        </is>
      </c>
      <c r="G900" t="inlineStr">
        <is>
          <t>FALUN</t>
        </is>
      </c>
      <c r="I900" t="n">
        <v>1.9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inlineStr"/>
    </row>
    <row r="901" ht="15" customHeight="1">
      <c r="A901" t="inlineStr">
        <is>
          <t>A 4398-2026</t>
        </is>
      </c>
      <c r="B901" t="inlineStr">
        <is>
          <t>avverkningsanmälan</t>
        </is>
      </c>
      <c r="C901" t="inlineStr">
        <is>
          <t>Föryngringsavverkning</t>
        </is>
      </c>
      <c r="D901" s="1" t="n">
        <v>46045</v>
      </c>
      <c r="E901" s="1" t="n">
        <v>46314</v>
      </c>
      <c r="F901" t="inlineStr">
        <is>
          <t>DALARNAS LÄN</t>
        </is>
      </c>
      <c r="G901" t="inlineStr">
        <is>
          <t>FALUN</t>
        </is>
      </c>
      <c r="I901" t="n">
        <v>2.6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inlineStr"/>
    </row>
    <row r="902" ht="15" customHeight="1">
      <c r="A902" t="inlineStr">
        <is>
          <t>A 4511-2026</t>
        </is>
      </c>
      <c r="B902" t="inlineStr">
        <is>
          <t>avverkningsanmälan</t>
        </is>
      </c>
      <c r="C902" t="inlineStr">
        <is>
          <t>Föryngringsavverkning</t>
        </is>
      </c>
      <c r="D902" s="1" t="n">
        <v>46045</v>
      </c>
      <c r="E902" s="1" t="n">
        <v>46314</v>
      </c>
      <c r="F902" t="inlineStr">
        <is>
          <t>DALARNAS LÄN</t>
        </is>
      </c>
      <c r="G902" t="inlineStr">
        <is>
          <t>FALUN</t>
        </is>
      </c>
      <c r="I902" t="n">
        <v>1.9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inlineStr"/>
    </row>
    <row r="903" ht="15" customHeight="1">
      <c r="A903" t="inlineStr">
        <is>
          <t>A 25755-2026</t>
        </is>
      </c>
      <c r="B903" t="inlineStr">
        <is>
          <t>avverkningsanmälan</t>
        </is>
      </c>
      <c r="C903" t="inlineStr">
        <is>
          <t>Föryngringsavverkning</t>
        </is>
      </c>
      <c r="D903" s="1" t="n">
        <v>46178</v>
      </c>
      <c r="E903" s="1" t="n">
        <v>46314</v>
      </c>
      <c r="F903" t="inlineStr">
        <is>
          <t>DALARNAS LÄN</t>
        </is>
      </c>
      <c r="G903" t="inlineStr">
        <is>
          <t>FALUN</t>
        </is>
      </c>
      <c r="I903" t="n">
        <v>1.8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inlineStr"/>
    </row>
    <row r="904" ht="15" customHeight="1">
      <c r="A904" t="inlineStr">
        <is>
          <t>A 25757-2026</t>
        </is>
      </c>
      <c r="B904" t="inlineStr">
        <is>
          <t>avverkningsanmälan</t>
        </is>
      </c>
      <c r="C904" t="inlineStr">
        <is>
          <t>Föryngringsavverkning</t>
        </is>
      </c>
      <c r="D904" s="1" t="n">
        <v>46178</v>
      </c>
      <c r="E904" s="1" t="n">
        <v>46314</v>
      </c>
      <c r="F904" t="inlineStr">
        <is>
          <t>DALARNAS LÄN</t>
        </is>
      </c>
      <c r="G904" t="inlineStr">
        <is>
          <t>FALUN</t>
        </is>
      </c>
      <c r="I904" t="n">
        <v>2.7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inlineStr"/>
    </row>
    <row r="905" ht="15" customHeight="1">
      <c r="A905" t="inlineStr">
        <is>
          <t>A 33898-2024</t>
        </is>
      </c>
      <c r="B905" t="inlineStr">
        <is>
          <t>avverkningsanmälan</t>
        </is>
      </c>
      <c r="C905" t="inlineStr">
        <is>
          <t>Föryngringsavverkning</t>
        </is>
      </c>
      <c r="D905" s="1" t="n">
        <v>45523</v>
      </c>
      <c r="E905" s="1" t="n">
        <v>46314</v>
      </c>
      <c r="F905" t="inlineStr">
        <is>
          <t>DALARNAS LÄN</t>
        </is>
      </c>
      <c r="G905" t="inlineStr">
        <is>
          <t>FALUN</t>
        </is>
      </c>
      <c r="H905" t="inlineStr">
        <is>
          <t>Allmännings- och besparingsskogar</t>
        </is>
      </c>
      <c r="I905" t="n">
        <v>6.8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inlineStr"/>
    </row>
    <row r="906" ht="15" customHeight="1">
      <c r="A906" t="inlineStr">
        <is>
          <t>A 3956-2026</t>
        </is>
      </c>
      <c r="B906" t="inlineStr">
        <is>
          <t>avverkningsanmälan</t>
        </is>
      </c>
      <c r="C906" t="inlineStr">
        <is>
          <t>Föryngringsavverkning</t>
        </is>
      </c>
      <c r="D906" s="1" t="n">
        <v>46044</v>
      </c>
      <c r="E906" s="1" t="n">
        <v>46314</v>
      </c>
      <c r="F906" t="inlineStr">
        <is>
          <t>DALARNAS LÄN</t>
        </is>
      </c>
      <c r="G906" t="inlineStr">
        <is>
          <t>FALUN</t>
        </is>
      </c>
      <c r="I906" t="n">
        <v>5.2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inlineStr"/>
    </row>
    <row r="907" ht="15" customHeight="1">
      <c r="A907" t="inlineStr">
        <is>
          <t>A 1582-2026</t>
        </is>
      </c>
      <c r="B907" t="inlineStr">
        <is>
          <t>avverkningsanmälan</t>
        </is>
      </c>
      <c r="C907" t="inlineStr">
        <is>
          <t>Föryngringsavverkning</t>
        </is>
      </c>
      <c r="D907" s="1" t="n">
        <v>46031</v>
      </c>
      <c r="E907" s="1" t="n">
        <v>46314</v>
      </c>
      <c r="F907" t="inlineStr">
        <is>
          <t>DALARNAS LÄN</t>
        </is>
      </c>
      <c r="G907" t="inlineStr">
        <is>
          <t>FALUN</t>
        </is>
      </c>
      <c r="I907" t="n">
        <v>5.4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inlineStr"/>
    </row>
    <row r="908" ht="15" customHeight="1">
      <c r="A908" t="inlineStr">
        <is>
          <t>A 4216-2026</t>
        </is>
      </c>
      <c r="B908" t="inlineStr">
        <is>
          <t>avverkningsanmälan</t>
        </is>
      </c>
      <c r="C908" t="inlineStr">
        <is>
          <t>Föryngringsavverkning</t>
        </is>
      </c>
      <c r="D908" s="1" t="n">
        <v>46044</v>
      </c>
      <c r="E908" s="1" t="n">
        <v>46314</v>
      </c>
      <c r="F908" t="inlineStr">
        <is>
          <t>DALARNAS LÄN</t>
        </is>
      </c>
      <c r="G908" t="inlineStr">
        <is>
          <t>FALUN</t>
        </is>
      </c>
      <c r="I908" t="n">
        <v>1.2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inlineStr"/>
    </row>
    <row r="909" ht="15" customHeight="1">
      <c r="A909" t="inlineStr">
        <is>
          <t>A 1329-2026</t>
        </is>
      </c>
      <c r="B909" t="inlineStr">
        <is>
          <t>avverkningsanmälan</t>
        </is>
      </c>
      <c r="C909" t="inlineStr">
        <is>
          <t>Föryngringsavverkning</t>
        </is>
      </c>
      <c r="D909" s="1" t="n">
        <v>46029</v>
      </c>
      <c r="E909" s="1" t="n">
        <v>46314</v>
      </c>
      <c r="F909" t="inlineStr">
        <is>
          <t>DALARNAS LÄN</t>
        </is>
      </c>
      <c r="G909" t="inlineStr">
        <is>
          <t>FALUN</t>
        </is>
      </c>
      <c r="I909" t="n">
        <v>3.4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inlineStr"/>
    </row>
    <row r="910" ht="15" customHeight="1">
      <c r="A910" t="inlineStr">
        <is>
          <t>A 69306-2021</t>
        </is>
      </c>
      <c r="B910" t="inlineStr">
        <is>
          <t>avverkningsanmälan</t>
        </is>
      </c>
      <c r="C910" t="inlineStr">
        <is>
          <t>Föryngringsavverkning</t>
        </is>
      </c>
      <c r="D910" s="1" t="n">
        <v>44531</v>
      </c>
      <c r="E910" s="1" t="n">
        <v>46314</v>
      </c>
      <c r="F910" t="inlineStr">
        <is>
          <t>DALARNAS LÄN</t>
        </is>
      </c>
      <c r="G910" t="inlineStr">
        <is>
          <t>FALUN</t>
        </is>
      </c>
      <c r="I910" t="n">
        <v>1.2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inlineStr"/>
    </row>
    <row r="911" ht="15" customHeight="1">
      <c r="A911" t="inlineStr">
        <is>
          <t>A 62334-2025</t>
        </is>
      </c>
      <c r="B911" t="inlineStr">
        <is>
          <t>avverkningsanmälan</t>
        </is>
      </c>
      <c r="C911" t="inlineStr">
        <is>
          <t>Avverkning för annat ändamål</t>
        </is>
      </c>
      <c r="D911" s="1" t="n">
        <v>46005</v>
      </c>
      <c r="E911" s="1" t="n">
        <v>46314</v>
      </c>
      <c r="F911" t="inlineStr">
        <is>
          <t>DALARNAS LÄN</t>
        </is>
      </c>
      <c r="G911" t="inlineStr">
        <is>
          <t>FALUN</t>
        </is>
      </c>
      <c r="I911" t="n">
        <v>0.3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inlineStr"/>
    </row>
    <row r="912" ht="15" customHeight="1">
      <c r="A912" t="inlineStr">
        <is>
          <t>A 4883-2026</t>
        </is>
      </c>
      <c r="B912" t="inlineStr">
        <is>
          <t>avverkningsanmälan</t>
        </is>
      </c>
      <c r="C912" t="inlineStr">
        <is>
          <t>Föryngringsavverkning</t>
        </is>
      </c>
      <c r="D912" s="1" t="n">
        <v>46048</v>
      </c>
      <c r="E912" s="1" t="n">
        <v>46314</v>
      </c>
      <c r="F912" t="inlineStr">
        <is>
          <t>DALARNAS LÄN</t>
        </is>
      </c>
      <c r="G912" t="inlineStr">
        <is>
          <t>FALUN</t>
        </is>
      </c>
      <c r="I912" t="n">
        <v>3.6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inlineStr"/>
    </row>
    <row r="913" ht="15" customHeight="1">
      <c r="A913" t="inlineStr">
        <is>
          <t>A 4894-2026</t>
        </is>
      </c>
      <c r="B913" t="inlineStr">
        <is>
          <t>avverkningsanmälan</t>
        </is>
      </c>
      <c r="C913" t="inlineStr">
        <is>
          <t>Föryngringsavverkning</t>
        </is>
      </c>
      <c r="D913" s="1" t="n">
        <v>46048</v>
      </c>
      <c r="E913" s="1" t="n">
        <v>46314</v>
      </c>
      <c r="F913" t="inlineStr">
        <is>
          <t>DALARNAS LÄN</t>
        </is>
      </c>
      <c r="G913" t="inlineStr">
        <is>
          <t>FALUN</t>
        </is>
      </c>
      <c r="I913" t="n">
        <v>2.2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inlineStr"/>
    </row>
    <row r="914" ht="15" customHeight="1">
      <c r="A914" t="inlineStr">
        <is>
          <t>A 4985-2026</t>
        </is>
      </c>
      <c r="B914" t="inlineStr">
        <is>
          <t>avverkningsanmälan</t>
        </is>
      </c>
      <c r="C914" t="inlineStr">
        <is>
          <t>Föryngringsavverkning</t>
        </is>
      </c>
      <c r="D914" s="1" t="n">
        <v>46049</v>
      </c>
      <c r="E914" s="1" t="n">
        <v>46314</v>
      </c>
      <c r="F914" t="inlineStr">
        <is>
          <t>DALARNAS LÄN</t>
        </is>
      </c>
      <c r="G914" t="inlineStr">
        <is>
          <t>FALUN</t>
        </is>
      </c>
      <c r="H914" t="inlineStr">
        <is>
          <t>Bergvik skog väst AB</t>
        </is>
      </c>
      <c r="I914" t="n">
        <v>11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s="2" t="inlineStr"/>
    </row>
    <row r="915" ht="15" customHeight="1">
      <c r="A915" t="inlineStr">
        <is>
          <t>A 5141-2026</t>
        </is>
      </c>
      <c r="B915" t="inlineStr">
        <is>
          <t>avverkningsanmälan</t>
        </is>
      </c>
      <c r="C915" t="inlineStr">
        <is>
          <t>Föryngringsavverkning</t>
        </is>
      </c>
      <c r="D915" s="1" t="n">
        <v>46049</v>
      </c>
      <c r="E915" s="1" t="n">
        <v>46314</v>
      </c>
      <c r="F915" t="inlineStr">
        <is>
          <t>DALARNAS LÄN</t>
        </is>
      </c>
      <c r="G915" t="inlineStr">
        <is>
          <t>FALUN</t>
        </is>
      </c>
      <c r="I915" t="n">
        <v>0.8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s="2" t="inlineStr"/>
    </row>
    <row r="916" ht="15" customHeight="1">
      <c r="A916" t="inlineStr">
        <is>
          <t>A 19783-2026</t>
        </is>
      </c>
      <c r="B916" t="inlineStr">
        <is>
          <t>avverkningsanmälan</t>
        </is>
      </c>
      <c r="C916" t="inlineStr">
        <is>
          <t>Föryngringsavverkning</t>
        </is>
      </c>
      <c r="D916" s="1" t="n">
        <v>46135</v>
      </c>
      <c r="E916" s="1" t="n">
        <v>46314</v>
      </c>
      <c r="F916" t="inlineStr">
        <is>
          <t>DALARNAS LÄN</t>
        </is>
      </c>
      <c r="G916" t="inlineStr">
        <is>
          <t>FALUN</t>
        </is>
      </c>
      <c r="I916" t="n">
        <v>1.1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s="2" t="inlineStr"/>
    </row>
    <row r="917" ht="15" customHeight="1">
      <c r="A917" t="inlineStr">
        <is>
          <t>A 21584-2026</t>
        </is>
      </c>
      <c r="B917" t="inlineStr">
        <is>
          <t>avverkningsanmälan</t>
        </is>
      </c>
      <c r="C917" t="inlineStr">
        <is>
          <t>Föryngringsavverkning</t>
        </is>
      </c>
      <c r="D917" s="1" t="n">
        <v>46149</v>
      </c>
      <c r="E917" s="1" t="n">
        <v>46314</v>
      </c>
      <c r="F917" t="inlineStr">
        <is>
          <t>DALARNAS LÄN</t>
        </is>
      </c>
      <c r="G917" t="inlineStr">
        <is>
          <t>FALUN</t>
        </is>
      </c>
      <c r="H917" t="inlineStr">
        <is>
          <t>Bergvik skog väst AB</t>
        </is>
      </c>
      <c r="I917" t="n">
        <v>8.699999999999999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s="2" t="inlineStr"/>
    </row>
    <row r="918" ht="15" customHeight="1">
      <c r="A918" t="inlineStr">
        <is>
          <t>A 5139-2026</t>
        </is>
      </c>
      <c r="B918" t="inlineStr">
        <is>
          <t>avverkningsanmälan</t>
        </is>
      </c>
      <c r="C918" t="inlineStr">
        <is>
          <t>Föryngringsavverkning</t>
        </is>
      </c>
      <c r="D918" s="1" t="n">
        <v>46049</v>
      </c>
      <c r="E918" s="1" t="n">
        <v>46314</v>
      </c>
      <c r="F918" t="inlineStr">
        <is>
          <t>DALARNAS LÄN</t>
        </is>
      </c>
      <c r="G918" t="inlineStr">
        <is>
          <t>FALUN</t>
        </is>
      </c>
      <c r="I918" t="n">
        <v>0.5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s="2" t="inlineStr"/>
    </row>
    <row r="919" ht="15" customHeight="1">
      <c r="A919" t="inlineStr">
        <is>
          <t>A 191-2026</t>
        </is>
      </c>
      <c r="B919" t="inlineStr">
        <is>
          <t>avverkningsanmälan</t>
        </is>
      </c>
      <c r="C919" t="inlineStr">
        <is>
          <t>Föryngringsavverkning</t>
        </is>
      </c>
      <c r="D919" s="1" t="n">
        <v>46025</v>
      </c>
      <c r="E919" s="1" t="n">
        <v>46314</v>
      </c>
      <c r="F919" t="inlineStr">
        <is>
          <t>DALARNAS LÄN</t>
        </is>
      </c>
      <c r="G919" t="inlineStr">
        <is>
          <t>FALUN</t>
        </is>
      </c>
      <c r="I919" t="n">
        <v>4.6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s="2" t="inlineStr"/>
    </row>
    <row r="920" ht="15" customHeight="1">
      <c r="A920" t="inlineStr">
        <is>
          <t>A 21116-2026</t>
        </is>
      </c>
      <c r="B920" t="inlineStr">
        <is>
          <t>avverkningsanmälan</t>
        </is>
      </c>
      <c r="C920" t="inlineStr">
        <is>
          <t>Föryngringsavverkning</t>
        </is>
      </c>
      <c r="D920" s="1" t="n">
        <v>46146</v>
      </c>
      <c r="E920" s="1" t="n">
        <v>46314</v>
      </c>
      <c r="F920" t="inlineStr">
        <is>
          <t>DALARNAS LÄN</t>
        </is>
      </c>
      <c r="G920" t="inlineStr">
        <is>
          <t>FALUN</t>
        </is>
      </c>
      <c r="I920" t="n">
        <v>2.3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s="2" t="inlineStr"/>
    </row>
    <row r="921" ht="15" customHeight="1">
      <c r="A921" t="inlineStr">
        <is>
          <t>A 13116-2026</t>
        </is>
      </c>
      <c r="B921" t="inlineStr">
        <is>
          <t>avverkningsanmälan</t>
        </is>
      </c>
      <c r="C921" t="inlineStr">
        <is>
          <t>Föryngringsavverkning</t>
        </is>
      </c>
      <c r="D921" s="1" t="n">
        <v>46093</v>
      </c>
      <c r="E921" s="1" t="n">
        <v>46314</v>
      </c>
      <c r="F921" t="inlineStr">
        <is>
          <t>DALARNAS LÄN</t>
        </is>
      </c>
      <c r="G921" t="inlineStr">
        <is>
          <t>FALUN</t>
        </is>
      </c>
      <c r="H921" t="inlineStr">
        <is>
          <t>Allmännings- och besparingsskogar</t>
        </is>
      </c>
      <c r="I921" t="n">
        <v>0.9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s="2" t="inlineStr"/>
    </row>
    <row r="922" ht="15" customHeight="1">
      <c r="A922" t="inlineStr">
        <is>
          <t>A 8579-2026</t>
        </is>
      </c>
      <c r="B922" t="inlineStr">
        <is>
          <t>avverkningsanmälan</t>
        </is>
      </c>
      <c r="C922" t="inlineStr">
        <is>
          <t>Föryngringsavverkning</t>
        </is>
      </c>
      <c r="D922" s="1" t="n">
        <v>46065</v>
      </c>
      <c r="E922" s="1" t="n">
        <v>46314</v>
      </c>
      <c r="F922" t="inlineStr">
        <is>
          <t>DALARNAS LÄN</t>
        </is>
      </c>
      <c r="G922" t="inlineStr">
        <is>
          <t>FALUN</t>
        </is>
      </c>
      <c r="I922" t="n">
        <v>8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s="2" t="inlineStr"/>
    </row>
    <row r="923" ht="15" customHeight="1">
      <c r="A923" t="inlineStr">
        <is>
          <t>A 8586-2026</t>
        </is>
      </c>
      <c r="B923" t="inlineStr">
        <is>
          <t>avverkningsanmälan</t>
        </is>
      </c>
      <c r="C923" t="inlineStr">
        <is>
          <t>Föryngringsavverkning</t>
        </is>
      </c>
      <c r="D923" s="1" t="n">
        <v>46065</v>
      </c>
      <c r="E923" s="1" t="n">
        <v>46314</v>
      </c>
      <c r="F923" t="inlineStr">
        <is>
          <t>DALARNAS LÄN</t>
        </is>
      </c>
      <c r="G923" t="inlineStr">
        <is>
          <t>FALUN</t>
        </is>
      </c>
      <c r="I923" t="n">
        <v>2.9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s="2" t="inlineStr"/>
    </row>
    <row r="924" ht="15" customHeight="1">
      <c r="A924" t="inlineStr">
        <is>
          <t>A 4738-2026</t>
        </is>
      </c>
      <c r="B924" t="inlineStr">
        <is>
          <t>avverkningsanmälan</t>
        </is>
      </c>
      <c r="C924" t="inlineStr">
        <is>
          <t>Föryngringsavverkning</t>
        </is>
      </c>
      <c r="D924" s="1" t="n">
        <v>46048</v>
      </c>
      <c r="E924" s="1" t="n">
        <v>46314</v>
      </c>
      <c r="F924" t="inlineStr">
        <is>
          <t>DALARNAS LÄN</t>
        </is>
      </c>
      <c r="G924" t="inlineStr">
        <is>
          <t>FALUN</t>
        </is>
      </c>
      <c r="I924" t="n">
        <v>3.7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s="2" t="inlineStr"/>
    </row>
    <row r="925" ht="15" customHeight="1">
      <c r="A925" t="inlineStr">
        <is>
          <t>A 4812-2026</t>
        </is>
      </c>
      <c r="B925" t="inlineStr">
        <is>
          <t>avverkningsanmälan</t>
        </is>
      </c>
      <c r="C925" t="inlineStr">
        <is>
          <t>Föryngringsavverkning</t>
        </is>
      </c>
      <c r="D925" s="1" t="n">
        <v>46048</v>
      </c>
      <c r="E925" s="1" t="n">
        <v>46314</v>
      </c>
      <c r="F925" t="inlineStr">
        <is>
          <t>DALARNAS LÄN</t>
        </is>
      </c>
      <c r="G925" t="inlineStr">
        <is>
          <t>FALUN</t>
        </is>
      </c>
      <c r="I925" t="n">
        <v>1.1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s="2" t="inlineStr"/>
    </row>
    <row r="926" ht="15" customHeight="1">
      <c r="A926" t="inlineStr">
        <is>
          <t>A 4825-2026</t>
        </is>
      </c>
      <c r="B926" t="inlineStr">
        <is>
          <t>avverkningsanmälan</t>
        </is>
      </c>
      <c r="C926" t="inlineStr">
        <is>
          <t>Föryngringsavverkning</t>
        </is>
      </c>
      <c r="D926" s="1" t="n">
        <v>46048</v>
      </c>
      <c r="E926" s="1" t="n">
        <v>46314</v>
      </c>
      <c r="F926" t="inlineStr">
        <is>
          <t>DALARNAS LÄN</t>
        </is>
      </c>
      <c r="G926" t="inlineStr">
        <is>
          <t>FALUN</t>
        </is>
      </c>
      <c r="I926" t="n">
        <v>2.4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s="2" t="inlineStr"/>
    </row>
    <row r="927" ht="15" customHeight="1">
      <c r="A927" t="inlineStr">
        <is>
          <t>A 4971-2026</t>
        </is>
      </c>
      <c r="B927" t="inlineStr">
        <is>
          <t>avverkningsanmälan</t>
        </is>
      </c>
      <c r="C927" t="inlineStr">
        <is>
          <t>Föryngringsavverkning</t>
        </is>
      </c>
      <c r="D927" s="1" t="n">
        <v>46049</v>
      </c>
      <c r="E927" s="1" t="n">
        <v>46314</v>
      </c>
      <c r="F927" t="inlineStr">
        <is>
          <t>DALARNAS LÄN</t>
        </is>
      </c>
      <c r="G927" t="inlineStr">
        <is>
          <t>FALUN</t>
        </is>
      </c>
      <c r="I927" t="n">
        <v>7.7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s="2" t="inlineStr"/>
    </row>
    <row r="928" ht="15" customHeight="1">
      <c r="A928" t="inlineStr">
        <is>
          <t>A 25967-2026</t>
        </is>
      </c>
      <c r="B928" t="inlineStr">
        <is>
          <t>avverkningsanmälan</t>
        </is>
      </c>
      <c r="C928" t="inlineStr">
        <is>
          <t>Föryngringsavverkning</t>
        </is>
      </c>
      <c r="D928" s="1" t="n">
        <v>46181</v>
      </c>
      <c r="E928" s="1" t="n">
        <v>46314</v>
      </c>
      <c r="F928" t="inlineStr">
        <is>
          <t>DALARNAS LÄN</t>
        </is>
      </c>
      <c r="G928" t="inlineStr">
        <is>
          <t>FALUN</t>
        </is>
      </c>
      <c r="I928" t="n">
        <v>3.1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s="2" t="inlineStr"/>
    </row>
    <row r="929" ht="15" customHeight="1">
      <c r="A929" t="inlineStr">
        <is>
          <t>A 4995-2026</t>
        </is>
      </c>
      <c r="B929" t="inlineStr">
        <is>
          <t>avverkningsanmälan</t>
        </is>
      </c>
      <c r="C929" t="inlineStr">
        <is>
          <t>Föryngringsavverkning</t>
        </is>
      </c>
      <c r="D929" s="1" t="n">
        <v>46049</v>
      </c>
      <c r="E929" s="1" t="n">
        <v>46314</v>
      </c>
      <c r="F929" t="inlineStr">
        <is>
          <t>DALARNAS LÄN</t>
        </is>
      </c>
      <c r="G929" t="inlineStr">
        <is>
          <t>FALUN</t>
        </is>
      </c>
      <c r="I929" t="n">
        <v>1.2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s="2" t="inlineStr"/>
    </row>
    <row r="930" ht="15" customHeight="1">
      <c r="A930" t="inlineStr">
        <is>
          <t>A 5001-2026</t>
        </is>
      </c>
      <c r="B930" t="inlineStr">
        <is>
          <t>avverkningsanmälan</t>
        </is>
      </c>
      <c r="C930" t="inlineStr">
        <is>
          <t>Föryngringsavverkning</t>
        </is>
      </c>
      <c r="D930" s="1" t="n">
        <v>46049</v>
      </c>
      <c r="E930" s="1" t="n">
        <v>46314</v>
      </c>
      <c r="F930" t="inlineStr">
        <is>
          <t>DALARNAS LÄN</t>
        </is>
      </c>
      <c r="G930" t="inlineStr">
        <is>
          <t>FALUN</t>
        </is>
      </c>
      <c r="I930" t="n">
        <v>0.8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s="2" t="inlineStr"/>
    </row>
    <row r="931" ht="15" customHeight="1">
      <c r="A931" t="inlineStr">
        <is>
          <t>A 5012-2026</t>
        </is>
      </c>
      <c r="B931" t="inlineStr">
        <is>
          <t>avverkningsanmälan</t>
        </is>
      </c>
      <c r="C931" t="inlineStr">
        <is>
          <t>Föryngringsavverkning</t>
        </is>
      </c>
      <c r="D931" s="1" t="n">
        <v>46049</v>
      </c>
      <c r="E931" s="1" t="n">
        <v>46314</v>
      </c>
      <c r="F931" t="inlineStr">
        <is>
          <t>DALARNAS LÄN</t>
        </is>
      </c>
      <c r="G931" t="inlineStr">
        <is>
          <t>FALUN</t>
        </is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s="2" t="inlineStr"/>
    </row>
    <row r="932" ht="15" customHeight="1">
      <c r="A932" t="inlineStr">
        <is>
          <t>A 5071-2026</t>
        </is>
      </c>
      <c r="B932" t="inlineStr">
        <is>
          <t>avverkningsanmälan</t>
        </is>
      </c>
      <c r="C932" t="inlineStr">
        <is>
          <t>Föryngringsavverkning</t>
        </is>
      </c>
      <c r="D932" s="1" t="n">
        <v>46049</v>
      </c>
      <c r="E932" s="1" t="n">
        <v>46314</v>
      </c>
      <c r="F932" t="inlineStr">
        <is>
          <t>DALARNAS LÄN</t>
        </is>
      </c>
      <c r="G932" t="inlineStr">
        <is>
          <t>FALUN</t>
        </is>
      </c>
      <c r="I932" t="n">
        <v>1.5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s="2" t="inlineStr"/>
    </row>
    <row r="933" ht="15" customHeight="1">
      <c r="A933" t="inlineStr">
        <is>
          <t>A 5242-2026</t>
        </is>
      </c>
      <c r="B933" t="inlineStr">
        <is>
          <t>avverkningsanmälan</t>
        </is>
      </c>
      <c r="C933" t="inlineStr">
        <is>
          <t>Föryngringsavverkning</t>
        </is>
      </c>
      <c r="D933" s="1" t="n">
        <v>46049</v>
      </c>
      <c r="E933" s="1" t="n">
        <v>46314</v>
      </c>
      <c r="F933" t="inlineStr">
        <is>
          <t>DALARNAS LÄN</t>
        </is>
      </c>
      <c r="G933" t="inlineStr">
        <is>
          <t>FALUN</t>
        </is>
      </c>
      <c r="I933" t="n">
        <v>8.300000000000001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s="2" t="inlineStr"/>
    </row>
    <row r="934" ht="15" customHeight="1">
      <c r="A934" t="inlineStr">
        <is>
          <t>A 2487-2026</t>
        </is>
      </c>
      <c r="B934" t="inlineStr">
        <is>
          <t>avverkningsanmälan</t>
        </is>
      </c>
      <c r="C934" t="inlineStr">
        <is>
          <t>Föryngringsavverkning</t>
        </is>
      </c>
      <c r="D934" s="1" t="n">
        <v>46037</v>
      </c>
      <c r="E934" s="1" t="n">
        <v>46314</v>
      </c>
      <c r="F934" t="inlineStr">
        <is>
          <t>DALARNAS LÄN</t>
        </is>
      </c>
      <c r="G934" t="inlineStr">
        <is>
          <t>FALUN</t>
        </is>
      </c>
      <c r="I934" t="n">
        <v>6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s="2" t="inlineStr"/>
    </row>
    <row r="935" ht="15" customHeight="1">
      <c r="A935" t="inlineStr">
        <is>
          <t>A 9730-2026</t>
        </is>
      </c>
      <c r="B935" t="inlineStr">
        <is>
          <t>avverkningsanmälan</t>
        </is>
      </c>
      <c r="C935" t="inlineStr">
        <is>
          <t>Föryngringsavverkning</t>
        </is>
      </c>
      <c r="D935" s="1" t="n">
        <v>46071</v>
      </c>
      <c r="E935" s="1" t="n">
        <v>46314</v>
      </c>
      <c r="F935" t="inlineStr">
        <is>
          <t>DALARNAS LÄN</t>
        </is>
      </c>
      <c r="G935" t="inlineStr">
        <is>
          <t>FALUN</t>
        </is>
      </c>
      <c r="I935" t="n">
        <v>4.1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s="2" t="inlineStr"/>
    </row>
    <row r="936" ht="15" customHeight="1">
      <c r="A936" t="inlineStr">
        <is>
          <t>A 5019-2026</t>
        </is>
      </c>
      <c r="B936" t="inlineStr">
        <is>
          <t>avverkningsanmälan</t>
        </is>
      </c>
      <c r="C936" t="inlineStr">
        <is>
          <t>Föryngringsavverkning</t>
        </is>
      </c>
      <c r="D936" s="1" t="n">
        <v>46049</v>
      </c>
      <c r="E936" s="1" t="n">
        <v>46314</v>
      </c>
      <c r="F936" t="inlineStr">
        <is>
          <t>DALARNAS LÄN</t>
        </is>
      </c>
      <c r="G936" t="inlineStr">
        <is>
          <t>FALUN</t>
        </is>
      </c>
      <c r="I936" t="n">
        <v>0.5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s="2" t="inlineStr"/>
    </row>
    <row r="937" ht="15" customHeight="1">
      <c r="A937" t="inlineStr">
        <is>
          <t>A 5244-2026</t>
        </is>
      </c>
      <c r="B937" t="inlineStr">
        <is>
          <t>avverkningsanmälan</t>
        </is>
      </c>
      <c r="C937" t="inlineStr">
        <is>
          <t>Föryngringsavverkning</t>
        </is>
      </c>
      <c r="D937" s="1" t="n">
        <v>46049</v>
      </c>
      <c r="E937" s="1" t="n">
        <v>46314</v>
      </c>
      <c r="F937" t="inlineStr">
        <is>
          <t>DALARNAS LÄN</t>
        </is>
      </c>
      <c r="G937" t="inlineStr">
        <is>
          <t>FALUN</t>
        </is>
      </c>
      <c r="I937" t="n">
        <v>1.6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s="2" t="inlineStr"/>
    </row>
    <row r="938" ht="15" customHeight="1">
      <c r="A938" t="inlineStr">
        <is>
          <t>A 4917-2026</t>
        </is>
      </c>
      <c r="B938" t="inlineStr">
        <is>
          <t>avverkningsanmälan</t>
        </is>
      </c>
      <c r="C938" t="inlineStr">
        <is>
          <t>Föryngringsavverkning</t>
        </is>
      </c>
      <c r="D938" s="1" t="n">
        <v>46048</v>
      </c>
      <c r="E938" s="1" t="n">
        <v>46314</v>
      </c>
      <c r="F938" t="inlineStr">
        <is>
          <t>DALARNAS LÄN</t>
        </is>
      </c>
      <c r="G938" t="inlineStr">
        <is>
          <t>FALUN</t>
        </is>
      </c>
      <c r="I938" t="n">
        <v>1.8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s="2" t="inlineStr"/>
    </row>
    <row r="939" ht="15" customHeight="1">
      <c r="A939" t="inlineStr">
        <is>
          <t>A 4918-2026</t>
        </is>
      </c>
      <c r="B939" t="inlineStr">
        <is>
          <t>avverkningsanmälan</t>
        </is>
      </c>
      <c r="C939" t="inlineStr">
        <is>
          <t>Föryngringsavverkning</t>
        </is>
      </c>
      <c r="D939" s="1" t="n">
        <v>46048</v>
      </c>
      <c r="E939" s="1" t="n">
        <v>46314</v>
      </c>
      <c r="F939" t="inlineStr">
        <is>
          <t>DALARNAS LÄN</t>
        </is>
      </c>
      <c r="G939" t="inlineStr">
        <is>
          <t>FALUN</t>
        </is>
      </c>
      <c r="I939" t="n">
        <v>1.8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s="2" t="inlineStr"/>
    </row>
    <row r="940" ht="15" customHeight="1">
      <c r="A940" t="inlineStr">
        <is>
          <t>A 4517-2026</t>
        </is>
      </c>
      <c r="B940" t="inlineStr">
        <is>
          <t>avverkningsanmälan</t>
        </is>
      </c>
      <c r="C940" t="inlineStr">
        <is>
          <t>Föryngringsavverkning</t>
        </is>
      </c>
      <c r="D940" s="1" t="n">
        <v>46045</v>
      </c>
      <c r="E940" s="1" t="n">
        <v>46314</v>
      </c>
      <c r="F940" t="inlineStr">
        <is>
          <t>DALARNAS LÄN</t>
        </is>
      </c>
      <c r="G940" t="inlineStr">
        <is>
          <t>FALUN</t>
        </is>
      </c>
      <c r="I940" t="n">
        <v>1.2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s="2" t="inlineStr"/>
    </row>
    <row r="941" ht="15" customHeight="1">
      <c r="A941" t="inlineStr">
        <is>
          <t>A 4536-2026</t>
        </is>
      </c>
      <c r="B941" t="inlineStr">
        <is>
          <t>avverkningsanmälan</t>
        </is>
      </c>
      <c r="C941" t="inlineStr">
        <is>
          <t>Föryngringsavverkning</t>
        </is>
      </c>
      <c r="D941" s="1" t="n">
        <v>46046</v>
      </c>
      <c r="E941" s="1" t="n">
        <v>46314</v>
      </c>
      <c r="F941" t="inlineStr">
        <is>
          <t>DALARNAS LÄN</t>
        </is>
      </c>
      <c r="G941" t="inlineStr">
        <is>
          <t>FALUN</t>
        </is>
      </c>
      <c r="I941" t="n">
        <v>4.5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s="2" t="inlineStr"/>
    </row>
    <row r="942" ht="15" customHeight="1">
      <c r="A942" t="inlineStr">
        <is>
          <t>A 4919-2026</t>
        </is>
      </c>
      <c r="B942" t="inlineStr">
        <is>
          <t>avverkningsanmälan</t>
        </is>
      </c>
      <c r="C942" t="inlineStr">
        <is>
          <t>Föryngringsavverkning</t>
        </is>
      </c>
      <c r="D942" s="1" t="n">
        <v>46048</v>
      </c>
      <c r="E942" s="1" t="n">
        <v>46314</v>
      </c>
      <c r="F942" t="inlineStr">
        <is>
          <t>DALARNAS LÄN</t>
        </is>
      </c>
      <c r="G942" t="inlineStr">
        <is>
          <t>FALUN</t>
        </is>
      </c>
      <c r="I942" t="n">
        <v>1.6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s="2" t="inlineStr"/>
    </row>
    <row r="943" ht="15" customHeight="1">
      <c r="A943" t="inlineStr">
        <is>
          <t>A 19917-2023</t>
        </is>
      </c>
      <c r="B943" t="inlineStr">
        <is>
          <t>avverkningsanmälan</t>
        </is>
      </c>
      <c r="C943" t="inlineStr">
        <is>
          <t>Föryngringsavverkning</t>
        </is>
      </c>
      <c r="D943" s="1" t="n">
        <v>45054</v>
      </c>
      <c r="E943" s="1" t="n">
        <v>46314</v>
      </c>
      <c r="F943" t="inlineStr">
        <is>
          <t>DALARNAS LÄN</t>
        </is>
      </c>
      <c r="G943" t="inlineStr">
        <is>
          <t>FALUN</t>
        </is>
      </c>
      <c r="I943" t="n">
        <v>0.4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s="2" t="inlineStr"/>
    </row>
    <row r="944" ht="15" customHeight="1">
      <c r="A944" t="inlineStr">
        <is>
          <t>A 4792-2026</t>
        </is>
      </c>
      <c r="B944" t="inlineStr">
        <is>
          <t>avverkningsanmälan</t>
        </is>
      </c>
      <c r="C944" t="inlineStr">
        <is>
          <t>Föryngringsavverkning</t>
        </is>
      </c>
      <c r="D944" s="1" t="n">
        <v>46048</v>
      </c>
      <c r="E944" s="1" t="n">
        <v>46314</v>
      </c>
      <c r="F944" t="inlineStr">
        <is>
          <t>DALARNAS LÄN</t>
        </is>
      </c>
      <c r="G944" t="inlineStr">
        <is>
          <t>FALUN</t>
        </is>
      </c>
      <c r="I944" t="n">
        <v>4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s="2" t="inlineStr"/>
    </row>
    <row r="945" ht="15" customHeight="1">
      <c r="A945" t="inlineStr">
        <is>
          <t>A 4840-2026</t>
        </is>
      </c>
      <c r="B945" t="inlineStr">
        <is>
          <t>avverkningsanmälan</t>
        </is>
      </c>
      <c r="C945" t="inlineStr">
        <is>
          <t>Föryngringsavverkning</t>
        </is>
      </c>
      <c r="D945" s="1" t="n">
        <v>46048</v>
      </c>
      <c r="E945" s="1" t="n">
        <v>46314</v>
      </c>
      <c r="F945" t="inlineStr">
        <is>
          <t>DALARNAS LÄN</t>
        </is>
      </c>
      <c r="G945" t="inlineStr">
        <is>
          <t>FALUN</t>
        </is>
      </c>
      <c r="I945" t="n">
        <v>4.8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s="2" t="inlineStr"/>
    </row>
    <row r="946" ht="15" customHeight="1">
      <c r="A946" t="inlineStr">
        <is>
          <t>A 4784-2026</t>
        </is>
      </c>
      <c r="B946" t="inlineStr">
        <is>
          <t>avverkningsanmälan</t>
        </is>
      </c>
      <c r="C946" t="inlineStr">
        <is>
          <t>Föryngringsavverkning</t>
        </is>
      </c>
      <c r="D946" s="1" t="n">
        <v>46048</v>
      </c>
      <c r="E946" s="1" t="n">
        <v>46314</v>
      </c>
      <c r="F946" t="inlineStr">
        <is>
          <t>DALARNAS LÄN</t>
        </is>
      </c>
      <c r="G946" t="inlineStr">
        <is>
          <t>FALUN</t>
        </is>
      </c>
      <c r="I946" t="n">
        <v>3.2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s="2" t="inlineStr"/>
    </row>
    <row r="947" ht="15" customHeight="1">
      <c r="A947" t="inlineStr">
        <is>
          <t>A 4899-2026</t>
        </is>
      </c>
      <c r="B947" t="inlineStr">
        <is>
          <t>avverkningsanmälan</t>
        </is>
      </c>
      <c r="C947" t="inlineStr">
        <is>
          <t>Föryngringsavverkning</t>
        </is>
      </c>
      <c r="D947" s="1" t="n">
        <v>46048</v>
      </c>
      <c r="E947" s="1" t="n">
        <v>46314</v>
      </c>
      <c r="F947" t="inlineStr">
        <is>
          <t>DALARNAS LÄN</t>
        </is>
      </c>
      <c r="G947" t="inlineStr">
        <is>
          <t>FALUN</t>
        </is>
      </c>
      <c r="I947" t="n">
        <v>10.6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s="2" t="inlineStr"/>
    </row>
    <row r="948" ht="15" customHeight="1">
      <c r="A948" t="inlineStr">
        <is>
          <t>A 8578-2026</t>
        </is>
      </c>
      <c r="B948" t="inlineStr">
        <is>
          <t>avverkningsanmälan</t>
        </is>
      </c>
      <c r="C948" t="inlineStr">
        <is>
          <t>Föryngringsavverkning</t>
        </is>
      </c>
      <c r="D948" s="1" t="n">
        <v>46065</v>
      </c>
      <c r="E948" s="1" t="n">
        <v>46314</v>
      </c>
      <c r="F948" t="inlineStr">
        <is>
          <t>DALARNAS LÄN</t>
        </is>
      </c>
      <c r="G948" t="inlineStr">
        <is>
          <t>FALUN</t>
        </is>
      </c>
      <c r="I948" t="n">
        <v>6.4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s="2" t="inlineStr"/>
    </row>
    <row r="949" ht="15" customHeight="1">
      <c r="A949" t="inlineStr">
        <is>
          <t>A 8585-2026</t>
        </is>
      </c>
      <c r="B949" t="inlineStr">
        <is>
          <t>avverkningsanmälan</t>
        </is>
      </c>
      <c r="C949" t="inlineStr">
        <is>
          <t>Föryngringsavverkning</t>
        </is>
      </c>
      <c r="D949" s="1" t="n">
        <v>46065</v>
      </c>
      <c r="E949" s="1" t="n">
        <v>46314</v>
      </c>
      <c r="F949" t="inlineStr">
        <is>
          <t>DALARNAS LÄN</t>
        </is>
      </c>
      <c r="G949" t="inlineStr">
        <is>
          <t>FALUN</t>
        </is>
      </c>
      <c r="I949" t="n">
        <v>6.9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s="2" t="inlineStr"/>
    </row>
    <row r="950" ht="15" customHeight="1">
      <c r="A950" t="inlineStr">
        <is>
          <t>A 5770-2026</t>
        </is>
      </c>
      <c r="B950" t="inlineStr">
        <is>
          <t>avverkningsanmälan</t>
        </is>
      </c>
      <c r="C950" t="inlineStr">
        <is>
          <t>Föryngringsavverkning</t>
        </is>
      </c>
      <c r="D950" s="1" t="n">
        <v>46051</v>
      </c>
      <c r="E950" s="1" t="n">
        <v>46314</v>
      </c>
      <c r="F950" t="inlineStr">
        <is>
          <t>DALARNAS LÄN</t>
        </is>
      </c>
      <c r="G950" t="inlineStr">
        <is>
          <t>FALUN</t>
        </is>
      </c>
      <c r="I950" t="n">
        <v>9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s="2" t="inlineStr"/>
    </row>
    <row r="951" ht="15" customHeight="1">
      <c r="A951" t="inlineStr">
        <is>
          <t>A 5486-2026</t>
        </is>
      </c>
      <c r="B951" t="inlineStr">
        <is>
          <t>avverkningsanmälan</t>
        </is>
      </c>
      <c r="C951" t="inlineStr">
        <is>
          <t>Föryngringsavverkning</t>
        </is>
      </c>
      <c r="D951" s="1" t="n">
        <v>46050</v>
      </c>
      <c r="E951" s="1" t="n">
        <v>46314</v>
      </c>
      <c r="F951" t="inlineStr">
        <is>
          <t>DALARNAS LÄN</t>
        </is>
      </c>
      <c r="G951" t="inlineStr">
        <is>
          <t>FALUN</t>
        </is>
      </c>
      <c r="I951" t="n">
        <v>0.5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s="2" t="inlineStr"/>
    </row>
    <row r="952" ht="15" customHeight="1">
      <c r="A952" t="inlineStr">
        <is>
          <t>A 5363-2026</t>
        </is>
      </c>
      <c r="B952" t="inlineStr">
        <is>
          <t>avverkningsanmälan</t>
        </is>
      </c>
      <c r="C952" t="inlineStr">
        <is>
          <t>Föryngringsavverkning</t>
        </is>
      </c>
      <c r="D952" s="1" t="n">
        <v>46050</v>
      </c>
      <c r="E952" s="1" t="n">
        <v>46314</v>
      </c>
      <c r="F952" t="inlineStr">
        <is>
          <t>DALARNAS LÄN</t>
        </is>
      </c>
      <c r="G952" t="inlineStr">
        <is>
          <t>FALUN</t>
        </is>
      </c>
      <c r="H952" t="inlineStr">
        <is>
          <t>Kommuner</t>
        </is>
      </c>
      <c r="I952" t="n">
        <v>6.5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s="2" t="inlineStr"/>
    </row>
    <row r="953" ht="15" customHeight="1">
      <c r="A953" t="inlineStr">
        <is>
          <t>A 5695-2026</t>
        </is>
      </c>
      <c r="B953" t="inlineStr">
        <is>
          <t>avverkningsanmälan</t>
        </is>
      </c>
      <c r="C953" t="inlineStr">
        <is>
          <t>Föryngringsavverkning</t>
        </is>
      </c>
      <c r="D953" s="1" t="n">
        <v>46051</v>
      </c>
      <c r="E953" s="1" t="n">
        <v>46314</v>
      </c>
      <c r="F953" t="inlineStr">
        <is>
          <t>DALARNAS LÄN</t>
        </is>
      </c>
      <c r="G953" t="inlineStr">
        <is>
          <t>FALUN</t>
        </is>
      </c>
      <c r="I953" t="n">
        <v>1.3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s="2" t="inlineStr"/>
    </row>
    <row r="954" ht="15" customHeight="1">
      <c r="A954" t="inlineStr">
        <is>
          <t>A 5734-2026</t>
        </is>
      </c>
      <c r="B954" t="inlineStr">
        <is>
          <t>avverkningsanmälan</t>
        </is>
      </c>
      <c r="C954" t="inlineStr">
        <is>
          <t>Föryngringsavverkning</t>
        </is>
      </c>
      <c r="D954" s="1" t="n">
        <v>46051</v>
      </c>
      <c r="E954" s="1" t="n">
        <v>46314</v>
      </c>
      <c r="F954" t="inlineStr">
        <is>
          <t>DALARNAS LÄN</t>
        </is>
      </c>
      <c r="G954" t="inlineStr">
        <is>
          <t>FALUN</t>
        </is>
      </c>
      <c r="I954" t="n">
        <v>2.1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s="2" t="inlineStr"/>
    </row>
    <row r="955" ht="15" customHeight="1">
      <c r="A955" t="inlineStr">
        <is>
          <t>A 17282-2026</t>
        </is>
      </c>
      <c r="B955" t="inlineStr">
        <is>
          <t>avverkningsanmälan</t>
        </is>
      </c>
      <c r="C955" t="inlineStr">
        <is>
          <t>Föryngringsavverkning</t>
        </is>
      </c>
      <c r="D955" s="1" t="n">
        <v>46119</v>
      </c>
      <c r="E955" s="1" t="n">
        <v>46314</v>
      </c>
      <c r="F955" t="inlineStr">
        <is>
          <t>DALARNAS LÄN</t>
        </is>
      </c>
      <c r="G955" t="inlineStr">
        <is>
          <t>FALUN</t>
        </is>
      </c>
      <c r="I955" t="n">
        <v>1.5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s="2" t="inlineStr"/>
    </row>
    <row r="956" ht="15" customHeight="1">
      <c r="A956" t="inlineStr">
        <is>
          <t>A 17890-2026</t>
        </is>
      </c>
      <c r="B956" t="inlineStr">
        <is>
          <t>avverkningsanmälan</t>
        </is>
      </c>
      <c r="C956" t="inlineStr">
        <is>
          <t>Föryngringsavverkning</t>
        </is>
      </c>
      <c r="D956" s="1" t="n">
        <v>46122</v>
      </c>
      <c r="E956" s="1" t="n">
        <v>46314</v>
      </c>
      <c r="F956" t="inlineStr">
        <is>
          <t>DALARNAS LÄN</t>
        </is>
      </c>
      <c r="G956" t="inlineStr">
        <is>
          <t>FALUN</t>
        </is>
      </c>
      <c r="I956" t="n">
        <v>16.3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s="2" t="inlineStr"/>
    </row>
    <row r="957" ht="15" customHeight="1">
      <c r="A957" t="inlineStr">
        <is>
          <t>A 6231-2026</t>
        </is>
      </c>
      <c r="B957" t="inlineStr">
        <is>
          <t>avverkningsanmälan</t>
        </is>
      </c>
      <c r="C957" t="inlineStr">
        <is>
          <t>Föryngringsavverkning</t>
        </is>
      </c>
      <c r="D957" s="1" t="n">
        <v>46055</v>
      </c>
      <c r="E957" s="1" t="n">
        <v>46314</v>
      </c>
      <c r="F957" t="inlineStr">
        <is>
          <t>DALARNAS LÄN</t>
        </is>
      </c>
      <c r="G957" t="inlineStr">
        <is>
          <t>FALUN</t>
        </is>
      </c>
      <c r="I957" t="n">
        <v>6.1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s="2" t="inlineStr"/>
    </row>
    <row r="958" ht="15" customHeight="1">
      <c r="A958" t="inlineStr">
        <is>
          <t>A 17202-2023</t>
        </is>
      </c>
      <c r="B958" t="inlineStr">
        <is>
          <t>avverkningsanmälan</t>
        </is>
      </c>
      <c r="C958" t="inlineStr">
        <is>
          <t>Föryngringsavverkning</t>
        </is>
      </c>
      <c r="D958" s="1" t="n">
        <v>45034</v>
      </c>
      <c r="E958" s="1" t="n">
        <v>46314</v>
      </c>
      <c r="F958" t="inlineStr">
        <is>
          <t>DALARNAS LÄN</t>
        </is>
      </c>
      <c r="G958" t="inlineStr">
        <is>
          <t>FALUN</t>
        </is>
      </c>
      <c r="I958" t="n">
        <v>1.2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s="2" t="inlineStr"/>
    </row>
    <row r="959" ht="15" customHeight="1">
      <c r="A959" t="inlineStr">
        <is>
          <t>A 6029-2026</t>
        </is>
      </c>
      <c r="B959" t="inlineStr">
        <is>
          <t>avverkningsanmälan</t>
        </is>
      </c>
      <c r="C959" t="inlineStr">
        <is>
          <t>Föryngringsavverkning</t>
        </is>
      </c>
      <c r="D959" s="1" t="n">
        <v>46052</v>
      </c>
      <c r="E959" s="1" t="n">
        <v>46314</v>
      </c>
      <c r="F959" t="inlineStr">
        <is>
          <t>DALARNAS LÄN</t>
        </is>
      </c>
      <c r="G959" t="inlineStr">
        <is>
          <t>FALUN</t>
        </is>
      </c>
      <c r="I959" t="n">
        <v>0.6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s="2" t="inlineStr"/>
    </row>
    <row r="960" ht="15" customHeight="1">
      <c r="A960" t="inlineStr">
        <is>
          <t>A 5916-2026</t>
        </is>
      </c>
      <c r="B960" t="inlineStr">
        <is>
          <t>avverkningsanmälan</t>
        </is>
      </c>
      <c r="C960" t="inlineStr">
        <is>
          <t>Föryngringsavverkning</t>
        </is>
      </c>
      <c r="D960" s="1" t="n">
        <v>46052</v>
      </c>
      <c r="E960" s="1" t="n">
        <v>46314</v>
      </c>
      <c r="F960" t="inlineStr">
        <is>
          <t>DALARNAS LÄN</t>
        </is>
      </c>
      <c r="G960" t="inlineStr">
        <is>
          <t>FALUN</t>
        </is>
      </c>
      <c r="I960" t="n">
        <v>0.4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s="2" t="inlineStr"/>
    </row>
    <row r="961" ht="15" customHeight="1">
      <c r="A961" t="inlineStr">
        <is>
          <t>A 56557-2024</t>
        </is>
      </c>
      <c r="B961" t="inlineStr">
        <is>
          <t>avverkningsanmälan</t>
        </is>
      </c>
      <c r="C961" t="inlineStr">
        <is>
          <t>Föryngringsavverkning</t>
        </is>
      </c>
      <c r="D961" s="1" t="n">
        <v>45625</v>
      </c>
      <c r="E961" s="1" t="n">
        <v>46314</v>
      </c>
      <c r="F961" t="inlineStr">
        <is>
          <t>DALARNAS LÄN</t>
        </is>
      </c>
      <c r="G961" t="inlineStr">
        <is>
          <t>FALUN</t>
        </is>
      </c>
      <c r="H961" t="inlineStr">
        <is>
          <t>Bergvik skog väst AB</t>
        </is>
      </c>
      <c r="I961" t="n">
        <v>15.8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s="2" t="inlineStr"/>
    </row>
    <row r="962" ht="15" customHeight="1">
      <c r="A962" t="inlineStr">
        <is>
          <t>A 6284-2026</t>
        </is>
      </c>
      <c r="B962" t="inlineStr">
        <is>
          <t>avverkningsanmälan</t>
        </is>
      </c>
      <c r="C962" t="inlineStr">
        <is>
          <t>Föryngringsavverkning</t>
        </is>
      </c>
      <c r="D962" s="1" t="n">
        <v>46055</v>
      </c>
      <c r="E962" s="1" t="n">
        <v>46314</v>
      </c>
      <c r="F962" t="inlineStr">
        <is>
          <t>DALARNAS LÄN</t>
        </is>
      </c>
      <c r="G962" t="inlineStr">
        <is>
          <t>FALUN</t>
        </is>
      </c>
      <c r="I962" t="n">
        <v>7.5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s="2" t="inlineStr"/>
    </row>
    <row r="963" ht="15" customHeight="1">
      <c r="A963" t="inlineStr">
        <is>
          <t>A 5913-2026</t>
        </is>
      </c>
      <c r="B963" t="inlineStr">
        <is>
          <t>avverkningsanmälan</t>
        </is>
      </c>
      <c r="C963" t="inlineStr">
        <is>
          <t>Föryngringsavverkning</t>
        </is>
      </c>
      <c r="D963" s="1" t="n">
        <v>46052</v>
      </c>
      <c r="E963" s="1" t="n">
        <v>46314</v>
      </c>
      <c r="F963" t="inlineStr">
        <is>
          <t>DALARNAS LÄN</t>
        </is>
      </c>
      <c r="G963" t="inlineStr">
        <is>
          <t>FALUN</t>
        </is>
      </c>
      <c r="I963" t="n">
        <v>1.5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s="2" t="inlineStr"/>
    </row>
    <row r="964" ht="15" customHeight="1">
      <c r="A964" t="inlineStr">
        <is>
          <t>A 6609-2026</t>
        </is>
      </c>
      <c r="B964" t="inlineStr">
        <is>
          <t>avverkningsanmälan</t>
        </is>
      </c>
      <c r="C964" t="inlineStr">
        <is>
          <t>Föryngringsavverkning</t>
        </is>
      </c>
      <c r="D964" s="1" t="n">
        <v>46052</v>
      </c>
      <c r="E964" s="1" t="n">
        <v>46314</v>
      </c>
      <c r="F964" t="inlineStr">
        <is>
          <t>DALARNAS LÄN</t>
        </is>
      </c>
      <c r="G964" t="inlineStr">
        <is>
          <t>FALUN</t>
        </is>
      </c>
      <c r="I964" t="n">
        <v>3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s="2" t="inlineStr"/>
    </row>
    <row r="965" ht="15" customHeight="1">
      <c r="A965" t="inlineStr">
        <is>
          <t>A 8584-2026</t>
        </is>
      </c>
      <c r="B965" t="inlineStr">
        <is>
          <t>avverkningsanmälan</t>
        </is>
      </c>
      <c r="C965" t="inlineStr">
        <is>
          <t>Föryngringsavverkning</t>
        </is>
      </c>
      <c r="D965" s="1" t="n">
        <v>46065</v>
      </c>
      <c r="E965" s="1" t="n">
        <v>46314</v>
      </c>
      <c r="F965" t="inlineStr">
        <is>
          <t>DALARNAS LÄN</t>
        </is>
      </c>
      <c r="G965" t="inlineStr">
        <is>
          <t>FALUN</t>
        </is>
      </c>
      <c r="I965" t="n">
        <v>2.2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s="2" t="inlineStr"/>
    </row>
    <row r="966" ht="15" customHeight="1">
      <c r="A966" t="inlineStr">
        <is>
          <t>A 5902-2026</t>
        </is>
      </c>
      <c r="B966" t="inlineStr">
        <is>
          <t>avverkningsanmälan</t>
        </is>
      </c>
      <c r="C966" t="inlineStr">
        <is>
          <t>Föryngringsavverkning</t>
        </is>
      </c>
      <c r="D966" s="1" t="n">
        <v>46052</v>
      </c>
      <c r="E966" s="1" t="n">
        <v>46314</v>
      </c>
      <c r="F966" t="inlineStr">
        <is>
          <t>DALARNAS LÄN</t>
        </is>
      </c>
      <c r="G966" t="inlineStr">
        <is>
          <t>FALUN</t>
        </is>
      </c>
      <c r="I966" t="n">
        <v>18.9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s="2" t="inlineStr"/>
    </row>
    <row r="967" ht="15" customHeight="1">
      <c r="A967" t="inlineStr">
        <is>
          <t>A 6022-2026</t>
        </is>
      </c>
      <c r="B967" t="inlineStr">
        <is>
          <t>avverkningsanmälan</t>
        </is>
      </c>
      <c r="C967" t="inlineStr">
        <is>
          <t>Föryngringsavverkning</t>
        </is>
      </c>
      <c r="D967" s="1" t="n">
        <v>46052</v>
      </c>
      <c r="E967" s="1" t="n">
        <v>46314</v>
      </c>
      <c r="F967" t="inlineStr">
        <is>
          <t>DALARNAS LÄN</t>
        </is>
      </c>
      <c r="G967" t="inlineStr">
        <is>
          <t>FALUN</t>
        </is>
      </c>
      <c r="I967" t="n">
        <v>0.6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s="2" t="inlineStr"/>
    </row>
    <row r="968" ht="15" customHeight="1">
      <c r="A968" t="inlineStr">
        <is>
          <t>A 6213-2026</t>
        </is>
      </c>
      <c r="B968" t="inlineStr">
        <is>
          <t>avverkningsanmälan</t>
        </is>
      </c>
      <c r="C968" t="inlineStr">
        <is>
          <t>Föryngringsavverkning</t>
        </is>
      </c>
      <c r="D968" s="1" t="n">
        <v>46055</v>
      </c>
      <c r="E968" s="1" t="n">
        <v>46314</v>
      </c>
      <c r="F968" t="inlineStr">
        <is>
          <t>DALARNAS LÄN</t>
        </is>
      </c>
      <c r="G968" t="inlineStr">
        <is>
          <t>FALUN</t>
        </is>
      </c>
      <c r="I968" t="n">
        <v>0.5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s="2" t="inlineStr"/>
    </row>
    <row r="969" ht="15" customHeight="1">
      <c r="A969" t="inlineStr">
        <is>
          <t>A 6229-2026</t>
        </is>
      </c>
      <c r="B969" t="inlineStr">
        <is>
          <t>avverkningsanmälan</t>
        </is>
      </c>
      <c r="C969" t="inlineStr">
        <is>
          <t>Föryngringsavverkning</t>
        </is>
      </c>
      <c r="D969" s="1" t="n">
        <v>46055</v>
      </c>
      <c r="E969" s="1" t="n">
        <v>46314</v>
      </c>
      <c r="F969" t="inlineStr">
        <is>
          <t>DALARNAS LÄN</t>
        </is>
      </c>
      <c r="G969" t="inlineStr">
        <is>
          <t>FALUN</t>
        </is>
      </c>
      <c r="I969" t="n">
        <v>1.6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s="2" t="inlineStr"/>
    </row>
    <row r="970" ht="15" customHeight="1">
      <c r="A970" t="inlineStr">
        <is>
          <t>A 16933-2026</t>
        </is>
      </c>
      <c r="B970" t="inlineStr">
        <is>
          <t>avverkningsanmälan</t>
        </is>
      </c>
      <c r="C970" t="inlineStr">
        <is>
          <t>Föryngringsavverkning</t>
        </is>
      </c>
      <c r="D970" s="1" t="n">
        <v>46113</v>
      </c>
      <c r="E970" s="1" t="n">
        <v>46314</v>
      </c>
      <c r="F970" t="inlineStr">
        <is>
          <t>DALARNAS LÄN</t>
        </is>
      </c>
      <c r="G970" t="inlineStr">
        <is>
          <t>FALUN</t>
        </is>
      </c>
      <c r="I970" t="n">
        <v>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s="2" t="inlineStr"/>
    </row>
    <row r="971" ht="15" customHeight="1">
      <c r="A971" t="inlineStr">
        <is>
          <t>A 6607-2026</t>
        </is>
      </c>
      <c r="B971" t="inlineStr">
        <is>
          <t>avverkningsanmälan</t>
        </is>
      </c>
      <c r="C971" t="inlineStr">
        <is>
          <t>Föryngringsavverkning</t>
        </is>
      </c>
      <c r="D971" s="1" t="n">
        <v>46052</v>
      </c>
      <c r="E971" s="1" t="n">
        <v>46314</v>
      </c>
      <c r="F971" t="inlineStr">
        <is>
          <t>DALARNAS LÄN</t>
        </is>
      </c>
      <c r="G971" t="inlineStr">
        <is>
          <t>FALUN</t>
        </is>
      </c>
      <c r="I971" t="n">
        <v>2.2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s="2" t="inlineStr"/>
    </row>
    <row r="972" ht="15" customHeight="1">
      <c r="A972" t="inlineStr">
        <is>
          <t>A 6159-2026</t>
        </is>
      </c>
      <c r="B972" t="inlineStr">
        <is>
          <t>avverkningsanmälan</t>
        </is>
      </c>
      <c r="C972" t="inlineStr">
        <is>
          <t>Föryngringsavverkning</t>
        </is>
      </c>
      <c r="D972" s="1" t="n">
        <v>46055</v>
      </c>
      <c r="E972" s="1" t="n">
        <v>46314</v>
      </c>
      <c r="F972" t="inlineStr">
        <is>
          <t>DALARNAS LÄN</t>
        </is>
      </c>
      <c r="G972" t="inlineStr">
        <is>
          <t>FALUN</t>
        </is>
      </c>
      <c r="I972" t="n">
        <v>1.2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s="2" t="inlineStr"/>
    </row>
    <row r="973" ht="15" customHeight="1">
      <c r="A973" t="inlineStr">
        <is>
          <t>A 5921-2026</t>
        </is>
      </c>
      <c r="B973" t="inlineStr">
        <is>
          <t>avverkningsanmälan</t>
        </is>
      </c>
      <c r="C973" t="inlineStr">
        <is>
          <t>Föryngringsavverkning</t>
        </is>
      </c>
      <c r="D973" s="1" t="n">
        <v>46052</v>
      </c>
      <c r="E973" s="1" t="n">
        <v>46314</v>
      </c>
      <c r="F973" t="inlineStr">
        <is>
          <t>DALARNAS LÄN</t>
        </is>
      </c>
      <c r="G973" t="inlineStr">
        <is>
          <t>FALUN</t>
        </is>
      </c>
      <c r="I973" t="n">
        <v>1.6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s="2" t="inlineStr"/>
    </row>
    <row r="974" ht="15" customHeight="1">
      <c r="A974" t="inlineStr">
        <is>
          <t>A 26346-2026</t>
        </is>
      </c>
      <c r="B974" t="inlineStr">
        <is>
          <t>avverkningsanmälan</t>
        </is>
      </c>
      <c r="C974" t="inlineStr">
        <is>
          <t>Föryngringsavverkning</t>
        </is>
      </c>
      <c r="D974" s="1" t="n">
        <v>46182</v>
      </c>
      <c r="E974" s="1" t="n">
        <v>46314</v>
      </c>
      <c r="F974" t="inlineStr">
        <is>
          <t>DALARNAS LÄN</t>
        </is>
      </c>
      <c r="G974" t="inlineStr">
        <is>
          <t>FALUN</t>
        </is>
      </c>
      <c r="H974" t="inlineStr">
        <is>
          <t>Bergvik skog väst AB</t>
        </is>
      </c>
      <c r="I974" t="n">
        <v>2.2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s="2" t="inlineStr"/>
    </row>
    <row r="975" ht="15" customHeight="1">
      <c r="A975" t="inlineStr">
        <is>
          <t>A 16375-2026</t>
        </is>
      </c>
      <c r="B975" t="inlineStr">
        <is>
          <t>avverkningsanmälan</t>
        </is>
      </c>
      <c r="C975" t="inlineStr">
        <is>
          <t>Föryngringsavverkning</t>
        </is>
      </c>
      <c r="D975" s="1" t="n">
        <v>46111</v>
      </c>
      <c r="E975" s="1" t="n">
        <v>46314</v>
      </c>
      <c r="F975" t="inlineStr">
        <is>
          <t>DALARNAS LÄN</t>
        </is>
      </c>
      <c r="G975" t="inlineStr">
        <is>
          <t>FALUN</t>
        </is>
      </c>
      <c r="I975" t="n">
        <v>3.4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s="2" t="inlineStr"/>
    </row>
    <row r="976" ht="15" customHeight="1">
      <c r="A976" t="inlineStr">
        <is>
          <t>A 6756-2026</t>
        </is>
      </c>
      <c r="B976" t="inlineStr">
        <is>
          <t>avverkningsanmälan</t>
        </is>
      </c>
      <c r="C976" t="inlineStr">
        <is>
          <t>Föryngringsavverkning</t>
        </is>
      </c>
      <c r="D976" s="1" t="n">
        <v>46056</v>
      </c>
      <c r="E976" s="1" t="n">
        <v>46314</v>
      </c>
      <c r="F976" t="inlineStr">
        <is>
          <t>DALARNAS LÄN</t>
        </is>
      </c>
      <c r="G976" t="inlineStr">
        <is>
          <t>FALUN</t>
        </is>
      </c>
      <c r="I976" t="n">
        <v>1.1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s="2" t="inlineStr"/>
    </row>
    <row r="977" ht="15" customHeight="1">
      <c r="A977" t="inlineStr">
        <is>
          <t>A 6573-2026</t>
        </is>
      </c>
      <c r="B977" t="inlineStr">
        <is>
          <t>avverkningsanmälan</t>
        </is>
      </c>
      <c r="C977" t="inlineStr">
        <is>
          <t>Föryngringsavverkning</t>
        </is>
      </c>
      <c r="D977" s="1" t="n">
        <v>46056</v>
      </c>
      <c r="E977" s="1" t="n">
        <v>46314</v>
      </c>
      <c r="F977" t="inlineStr">
        <is>
          <t>DALARNAS LÄN</t>
        </is>
      </c>
      <c r="G977" t="inlineStr">
        <is>
          <t>FALUN</t>
        </is>
      </c>
      <c r="I977" t="n">
        <v>2.4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s="2" t="inlineStr"/>
    </row>
    <row r="978" ht="15" customHeight="1">
      <c r="A978" t="inlineStr">
        <is>
          <t>A 15278-2026</t>
        </is>
      </c>
      <c r="B978" t="inlineStr">
        <is>
          <t>avverkningsanmälan</t>
        </is>
      </c>
      <c r="C978" t="inlineStr">
        <is>
          <t>Föryngringsavverkning</t>
        </is>
      </c>
      <c r="D978" s="1" t="n">
        <v>46105</v>
      </c>
      <c r="E978" s="1" t="n">
        <v>46314</v>
      </c>
      <c r="F978" t="inlineStr">
        <is>
          <t>DALARNAS LÄN</t>
        </is>
      </c>
      <c r="G978" t="inlineStr">
        <is>
          <t>FALUN</t>
        </is>
      </c>
      <c r="H978" t="inlineStr">
        <is>
          <t>Bergvik skog väst AB</t>
        </is>
      </c>
      <c r="I978" t="n">
        <v>34.4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s="2" t="inlineStr"/>
    </row>
    <row r="979" ht="15" customHeight="1">
      <c r="A979" t="inlineStr">
        <is>
          <t>A 6703-2026</t>
        </is>
      </c>
      <c r="B979" t="inlineStr">
        <is>
          <t>avverkningsanmälan</t>
        </is>
      </c>
      <c r="C979" t="inlineStr">
        <is>
          <t>Föryngringsavverkning</t>
        </is>
      </c>
      <c r="D979" s="1" t="n">
        <v>46056</v>
      </c>
      <c r="E979" s="1" t="n">
        <v>46314</v>
      </c>
      <c r="F979" t="inlineStr">
        <is>
          <t>DALARNAS LÄN</t>
        </is>
      </c>
      <c r="G979" t="inlineStr">
        <is>
          <t>FALUN</t>
        </is>
      </c>
      <c r="H979" t="inlineStr">
        <is>
          <t>Bergvik skog väst AB</t>
        </is>
      </c>
      <c r="I979" t="n">
        <v>1.8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s="2" t="inlineStr"/>
    </row>
    <row r="980" ht="15" customHeight="1">
      <c r="A980" t="inlineStr">
        <is>
          <t>A 6931-2026</t>
        </is>
      </c>
      <c r="B980" t="inlineStr">
        <is>
          <t>avverkningsanmälan</t>
        </is>
      </c>
      <c r="C980" t="inlineStr">
        <is>
          <t>Föryngringsavverkning</t>
        </is>
      </c>
      <c r="D980" s="1" t="n">
        <v>46057</v>
      </c>
      <c r="E980" s="1" t="n">
        <v>46314</v>
      </c>
      <c r="F980" t="inlineStr">
        <is>
          <t>DALARNAS LÄN</t>
        </is>
      </c>
      <c r="G980" t="inlineStr">
        <is>
          <t>FALUN</t>
        </is>
      </c>
      <c r="I980" t="n">
        <v>2.7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s="2" t="inlineStr"/>
    </row>
    <row r="981" ht="15" customHeight="1">
      <c r="A981" t="inlineStr">
        <is>
          <t>A 6955-2026</t>
        </is>
      </c>
      <c r="B981" t="inlineStr">
        <is>
          <t>avverkningsanmälan</t>
        </is>
      </c>
      <c r="C981" t="inlineStr">
        <is>
          <t>Föryngringsavverkning</t>
        </is>
      </c>
      <c r="D981" s="1" t="n">
        <v>46056</v>
      </c>
      <c r="E981" s="1" t="n">
        <v>46314</v>
      </c>
      <c r="F981" t="inlineStr">
        <is>
          <t>DALARNAS LÄN</t>
        </is>
      </c>
      <c r="G981" t="inlineStr">
        <is>
          <t>FALUN</t>
        </is>
      </c>
      <c r="H981" t="inlineStr">
        <is>
          <t>Allmännings- och besparingsskogar</t>
        </is>
      </c>
      <c r="I981" t="n">
        <v>6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s="2" t="inlineStr"/>
    </row>
    <row r="982" ht="15" customHeight="1">
      <c r="A982" t="inlineStr">
        <is>
          <t>A 6974-2026</t>
        </is>
      </c>
      <c r="B982" t="inlineStr">
        <is>
          <t>avverkningsanmälan</t>
        </is>
      </c>
      <c r="C982" t="inlineStr">
        <is>
          <t>Föryngringsavverkning</t>
        </is>
      </c>
      <c r="D982" s="1" t="n">
        <v>46057</v>
      </c>
      <c r="E982" s="1" t="n">
        <v>46314</v>
      </c>
      <c r="F982" t="inlineStr">
        <is>
          <t>DALARNAS LÄN</t>
        </is>
      </c>
      <c r="G982" t="inlineStr">
        <is>
          <t>FALUN</t>
        </is>
      </c>
      <c r="I982" t="n">
        <v>1.3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s="2" t="inlineStr"/>
    </row>
    <row r="983" ht="15" customHeight="1">
      <c r="A983" t="inlineStr">
        <is>
          <t>A 6515-2026</t>
        </is>
      </c>
      <c r="B983" t="inlineStr">
        <is>
          <t>avverkningsanmälan</t>
        </is>
      </c>
      <c r="C983" t="inlineStr">
        <is>
          <t>Föryngringsavverkning</t>
        </is>
      </c>
      <c r="D983" s="1" t="n">
        <v>46056</v>
      </c>
      <c r="E983" s="1" t="n">
        <v>46314</v>
      </c>
      <c r="F983" t="inlineStr">
        <is>
          <t>DALARNAS LÄN</t>
        </is>
      </c>
      <c r="G983" t="inlineStr">
        <is>
          <t>FALUN</t>
        </is>
      </c>
      <c r="I983" t="n">
        <v>27.4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s="2" t="inlineStr"/>
    </row>
    <row r="984" ht="15" customHeight="1">
      <c r="A984" t="inlineStr">
        <is>
          <t>A 6552-2026</t>
        </is>
      </c>
      <c r="B984" t="inlineStr">
        <is>
          <t>avverkningsanmälan</t>
        </is>
      </c>
      <c r="C984" t="inlineStr">
        <is>
          <t>Föryngringsavverkning</t>
        </is>
      </c>
      <c r="D984" s="1" t="n">
        <v>46056</v>
      </c>
      <c r="E984" s="1" t="n">
        <v>46314</v>
      </c>
      <c r="F984" t="inlineStr">
        <is>
          <t>DALARNAS LÄN</t>
        </is>
      </c>
      <c r="G984" t="inlineStr">
        <is>
          <t>FALUN</t>
        </is>
      </c>
      <c r="I984" t="n">
        <v>1.4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s="2" t="inlineStr"/>
    </row>
    <row r="985" ht="15" customHeight="1">
      <c r="A985" t="inlineStr">
        <is>
          <t>A 26120-2026</t>
        </is>
      </c>
      <c r="B985" t="inlineStr">
        <is>
          <t>avverkningsanmälan</t>
        </is>
      </c>
      <c r="C985" t="inlineStr">
        <is>
          <t>Föryngringsavverkning</t>
        </is>
      </c>
      <c r="D985" s="1" t="n">
        <v>46181</v>
      </c>
      <c r="E985" s="1" t="n">
        <v>46314</v>
      </c>
      <c r="F985" t="inlineStr">
        <is>
          <t>DALARNAS LÄN</t>
        </is>
      </c>
      <c r="G985" t="inlineStr">
        <is>
          <t>FALUN</t>
        </is>
      </c>
      <c r="I985" t="n">
        <v>1.5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s="2" t="inlineStr"/>
    </row>
    <row r="986" ht="15" customHeight="1">
      <c r="A986" t="inlineStr">
        <is>
          <t>A 48702-2022</t>
        </is>
      </c>
      <c r="B986" t="inlineStr">
        <is>
          <t>avverkningsanmälan</t>
        </is>
      </c>
      <c r="C986" t="inlineStr">
        <is>
          <t>Föryngringsavverkning</t>
        </is>
      </c>
      <c r="D986" s="1" t="n">
        <v>44859</v>
      </c>
      <c r="E986" s="1" t="n">
        <v>46314</v>
      </c>
      <c r="F986" t="inlineStr">
        <is>
          <t>DALARNAS LÄN</t>
        </is>
      </c>
      <c r="G986" t="inlineStr">
        <is>
          <t>FALUN</t>
        </is>
      </c>
      <c r="I986" t="n">
        <v>11.6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s="2" t="inlineStr"/>
    </row>
    <row r="987" ht="15" customHeight="1">
      <c r="A987" t="inlineStr">
        <is>
          <t>A 6435-2026</t>
        </is>
      </c>
      <c r="B987" t="inlineStr">
        <is>
          <t>avverkningsanmälan</t>
        </is>
      </c>
      <c r="C987" t="inlineStr">
        <is>
          <t>Föryngringsavverkning</t>
        </is>
      </c>
      <c r="D987" s="1" t="n">
        <v>46055</v>
      </c>
      <c r="E987" s="1" t="n">
        <v>46314</v>
      </c>
      <c r="F987" t="inlineStr">
        <is>
          <t>DALARNAS LÄN</t>
        </is>
      </c>
      <c r="G987" t="inlineStr">
        <is>
          <t>FALUN</t>
        </is>
      </c>
      <c r="I987" t="n">
        <v>1.2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s="2" t="inlineStr"/>
    </row>
    <row r="988" ht="15" customHeight="1">
      <c r="A988" t="inlineStr">
        <is>
          <t>A 6736-2026</t>
        </is>
      </c>
      <c r="B988" t="inlineStr">
        <is>
          <t>avverkningsanmälan</t>
        </is>
      </c>
      <c r="C988" t="inlineStr">
        <is>
          <t>Föryngringsavverkning</t>
        </is>
      </c>
      <c r="D988" s="1" t="n">
        <v>46056</v>
      </c>
      <c r="E988" s="1" t="n">
        <v>46314</v>
      </c>
      <c r="F988" t="inlineStr">
        <is>
          <t>DALARNAS LÄN</t>
        </is>
      </c>
      <c r="G988" t="inlineStr">
        <is>
          <t>FALUN</t>
        </is>
      </c>
      <c r="I988" t="n">
        <v>0.5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s="2" t="inlineStr"/>
    </row>
    <row r="989" ht="15" customHeight="1">
      <c r="A989" t="inlineStr">
        <is>
          <t>A 6754-2026</t>
        </is>
      </c>
      <c r="B989" t="inlineStr">
        <is>
          <t>avverkningsanmälan</t>
        </is>
      </c>
      <c r="C989" t="inlineStr">
        <is>
          <t>Föryngringsavverkning</t>
        </is>
      </c>
      <c r="D989" s="1" t="n">
        <v>46056</v>
      </c>
      <c r="E989" s="1" t="n">
        <v>46314</v>
      </c>
      <c r="F989" t="inlineStr">
        <is>
          <t>DALARNAS LÄN</t>
        </is>
      </c>
      <c r="G989" t="inlineStr">
        <is>
          <t>FALUN</t>
        </is>
      </c>
      <c r="I989" t="n">
        <v>0.6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s="2" t="inlineStr"/>
    </row>
    <row r="990" ht="15" customHeight="1">
      <c r="A990" t="inlineStr">
        <is>
          <t>A 7055-2026</t>
        </is>
      </c>
      <c r="B990" t="inlineStr">
        <is>
          <t>avverkningsanmälan</t>
        </is>
      </c>
      <c r="C990" t="inlineStr">
        <is>
          <t>Föryngringsavverkning</t>
        </is>
      </c>
      <c r="D990" s="1" t="n">
        <v>46057</v>
      </c>
      <c r="E990" s="1" t="n">
        <v>46314</v>
      </c>
      <c r="F990" t="inlineStr">
        <is>
          <t>DALARNAS LÄN</t>
        </is>
      </c>
      <c r="G990" t="inlineStr">
        <is>
          <t>FALUN</t>
        </is>
      </c>
      <c r="I990" t="n">
        <v>2.5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s="2" t="inlineStr"/>
    </row>
    <row r="991" ht="15" customHeight="1">
      <c r="A991" t="inlineStr">
        <is>
          <t>A 6568-2026</t>
        </is>
      </c>
      <c r="B991" t="inlineStr">
        <is>
          <t>avverkningsanmälan</t>
        </is>
      </c>
      <c r="C991" t="inlineStr">
        <is>
          <t>Föryngringsavverkning</t>
        </is>
      </c>
      <c r="D991" s="1" t="n">
        <v>46056</v>
      </c>
      <c r="E991" s="1" t="n">
        <v>46314</v>
      </c>
      <c r="F991" t="inlineStr">
        <is>
          <t>DALARNAS LÄN</t>
        </is>
      </c>
      <c r="G991" t="inlineStr">
        <is>
          <t>FALUN</t>
        </is>
      </c>
      <c r="I991" t="n">
        <v>6.2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s="2" t="inlineStr"/>
    </row>
    <row r="992" ht="15" customHeight="1">
      <c r="A992" t="inlineStr">
        <is>
          <t>A 6604-2026</t>
        </is>
      </c>
      <c r="B992" t="inlineStr">
        <is>
          <t>avverkningsanmälan</t>
        </is>
      </c>
      <c r="C992" t="inlineStr">
        <is>
          <t>Föryngringsavverkning</t>
        </is>
      </c>
      <c r="D992" s="1" t="n">
        <v>46056</v>
      </c>
      <c r="E992" s="1" t="n">
        <v>46314</v>
      </c>
      <c r="F992" t="inlineStr">
        <is>
          <t>DALARNAS LÄN</t>
        </is>
      </c>
      <c r="G992" t="inlineStr">
        <is>
          <t>FALUN</t>
        </is>
      </c>
      <c r="I992" t="n">
        <v>3.5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s="2" t="inlineStr"/>
    </row>
    <row r="993" ht="15" customHeight="1">
      <c r="A993" t="inlineStr">
        <is>
          <t>A 6556-2026</t>
        </is>
      </c>
      <c r="B993" t="inlineStr">
        <is>
          <t>avverkningsanmälan</t>
        </is>
      </c>
      <c r="C993" t="inlineStr">
        <is>
          <t>Föryngringsavverkning</t>
        </is>
      </c>
      <c r="D993" s="1" t="n">
        <v>46056</v>
      </c>
      <c r="E993" s="1" t="n">
        <v>46314</v>
      </c>
      <c r="F993" t="inlineStr">
        <is>
          <t>DALARNAS LÄN</t>
        </is>
      </c>
      <c r="G993" t="inlineStr">
        <is>
          <t>FALUN</t>
        </is>
      </c>
      <c r="I993" t="n">
        <v>17.2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s="2" t="inlineStr"/>
    </row>
    <row r="994" ht="15" customHeight="1">
      <c r="A994" t="inlineStr">
        <is>
          <t>A 46959-2023</t>
        </is>
      </c>
      <c r="B994" t="inlineStr">
        <is>
          <t>avverkningsanmälan</t>
        </is>
      </c>
      <c r="C994" t="inlineStr">
        <is>
          <t>Föryngringsavverkning</t>
        </is>
      </c>
      <c r="D994" s="1" t="n">
        <v>45201</v>
      </c>
      <c r="E994" s="1" t="n">
        <v>46314</v>
      </c>
      <c r="F994" t="inlineStr">
        <is>
          <t>DALARNAS LÄN</t>
        </is>
      </c>
      <c r="G994" t="inlineStr">
        <is>
          <t>FALUN</t>
        </is>
      </c>
      <c r="I994" t="n">
        <v>2.2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s="2" t="inlineStr"/>
    </row>
    <row r="995" ht="15" customHeight="1">
      <c r="A995" t="inlineStr">
        <is>
          <t>A 37049-2023</t>
        </is>
      </c>
      <c r="B995" t="inlineStr">
        <is>
          <t>avverkningsanmälan</t>
        </is>
      </c>
      <c r="C995" t="inlineStr">
        <is>
          <t>Föryngringsavverkning</t>
        </is>
      </c>
      <c r="D995" s="1" t="n">
        <v>45155</v>
      </c>
      <c r="E995" s="1" t="n">
        <v>46314</v>
      </c>
      <c r="F995" t="inlineStr">
        <is>
          <t>DALARNAS LÄN</t>
        </is>
      </c>
      <c r="G995" t="inlineStr">
        <is>
          <t>FALUN</t>
        </is>
      </c>
      <c r="I995" t="n">
        <v>0.9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s="2" t="inlineStr"/>
    </row>
    <row r="996" ht="15" customHeight="1">
      <c r="A996" t="inlineStr">
        <is>
          <t>A 7293-2026</t>
        </is>
      </c>
      <c r="B996" t="inlineStr">
        <is>
          <t>avverkningsanmälan</t>
        </is>
      </c>
      <c r="C996" t="inlineStr">
        <is>
          <t>Föryngringsavverkning</t>
        </is>
      </c>
      <c r="D996" s="1" t="n">
        <v>46058</v>
      </c>
      <c r="E996" s="1" t="n">
        <v>46314</v>
      </c>
      <c r="F996" t="inlineStr">
        <is>
          <t>DALARNAS LÄN</t>
        </is>
      </c>
      <c r="G996" t="inlineStr">
        <is>
          <t>FALUN</t>
        </is>
      </c>
      <c r="I996" t="n">
        <v>1.9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s="2" t="inlineStr"/>
    </row>
    <row r="997" ht="15" customHeight="1">
      <c r="A997" t="inlineStr">
        <is>
          <t>A 24729-2023</t>
        </is>
      </c>
      <c r="B997" t="inlineStr">
        <is>
          <t>avverkningsanmälan</t>
        </is>
      </c>
      <c r="C997" t="inlineStr">
        <is>
          <t>Föryngringsavverkning</t>
        </is>
      </c>
      <c r="D997" s="1" t="n">
        <v>45084</v>
      </c>
      <c r="E997" s="1" t="n">
        <v>46314</v>
      </c>
      <c r="F997" t="inlineStr">
        <is>
          <t>DALARNAS LÄN</t>
        </is>
      </c>
      <c r="G997" t="inlineStr">
        <is>
          <t>FALUN</t>
        </is>
      </c>
      <c r="I997" t="n">
        <v>0.3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s="2" t="inlineStr"/>
    </row>
    <row r="998" ht="15" customHeight="1">
      <c r="A998" t="inlineStr">
        <is>
          <t>A 7314-2026</t>
        </is>
      </c>
      <c r="B998" t="inlineStr">
        <is>
          <t>avverkningsanmälan</t>
        </is>
      </c>
      <c r="C998" t="inlineStr">
        <is>
          <t>Föryngringsavverkning</t>
        </is>
      </c>
      <c r="D998" s="1" t="n">
        <v>46058</v>
      </c>
      <c r="E998" s="1" t="n">
        <v>46314</v>
      </c>
      <c r="F998" t="inlineStr">
        <is>
          <t>DALARNAS LÄN</t>
        </is>
      </c>
      <c r="G998" t="inlineStr">
        <is>
          <t>FALUN</t>
        </is>
      </c>
      <c r="I998" t="n">
        <v>7.1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s="2" t="inlineStr"/>
    </row>
    <row r="999" ht="15" customHeight="1">
      <c r="A999" t="inlineStr">
        <is>
          <t>A 27679-2024</t>
        </is>
      </c>
      <c r="B999" t="inlineStr">
        <is>
          <t>avverkningsanmälan</t>
        </is>
      </c>
      <c r="C999" t="inlineStr">
        <is>
          <t>Föryngringsavverkning</t>
        </is>
      </c>
      <c r="D999" s="1" t="n">
        <v>45475</v>
      </c>
      <c r="E999" s="1" t="n">
        <v>46314</v>
      </c>
      <c r="F999" t="inlineStr">
        <is>
          <t>DALARNAS LÄN</t>
        </is>
      </c>
      <c r="G999" t="inlineStr">
        <is>
          <t>FALUN</t>
        </is>
      </c>
      <c r="H999" t="inlineStr">
        <is>
          <t>Bergvik skog väst AB</t>
        </is>
      </c>
      <c r="I999" t="n">
        <v>2.9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s="2" t="inlineStr"/>
    </row>
    <row r="1000" ht="15" customHeight="1">
      <c r="A1000" t="inlineStr">
        <is>
          <t>A 7218-2026</t>
        </is>
      </c>
      <c r="B1000" t="inlineStr">
        <is>
          <t>avverkningsanmälan</t>
        </is>
      </c>
      <c r="C1000" t="inlineStr">
        <is>
          <t>Föryngringsavverkning</t>
        </is>
      </c>
      <c r="D1000" s="1" t="n">
        <v>46058</v>
      </c>
      <c r="E1000" s="1" t="n">
        <v>46314</v>
      </c>
      <c r="F1000" t="inlineStr">
        <is>
          <t>DALARNAS LÄN</t>
        </is>
      </c>
      <c r="G1000" t="inlineStr">
        <is>
          <t>FALUN</t>
        </is>
      </c>
      <c r="I1000" t="n">
        <v>1.8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s="2" t="inlineStr"/>
    </row>
    <row r="1001" ht="15" customHeight="1">
      <c r="A1001" t="inlineStr">
        <is>
          <t>A 18251-2026</t>
        </is>
      </c>
      <c r="B1001" t="inlineStr">
        <is>
          <t>avverkningsanmälan</t>
        </is>
      </c>
      <c r="C1001" t="inlineStr">
        <is>
          <t>Föryngringsavverkning</t>
        </is>
      </c>
      <c r="D1001" s="1" t="n">
        <v>46126</v>
      </c>
      <c r="E1001" s="1" t="n">
        <v>46314</v>
      </c>
      <c r="F1001" t="inlineStr">
        <is>
          <t>DALARNAS LÄN</t>
        </is>
      </c>
      <c r="G1001" t="inlineStr">
        <is>
          <t>FALUN</t>
        </is>
      </c>
      <c r="H1001" t="inlineStr">
        <is>
          <t>Bergvik skog väst AB</t>
        </is>
      </c>
      <c r="I1001" t="n">
        <v>21.8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s="2" t="inlineStr"/>
    </row>
    <row r="1002" ht="15" customHeight="1">
      <c r="A1002" t="inlineStr">
        <is>
          <t>A 7476-2026</t>
        </is>
      </c>
      <c r="B1002" t="inlineStr">
        <is>
          <t>avverkningsanmälan</t>
        </is>
      </c>
      <c r="C1002" t="inlineStr">
        <is>
          <t>Föryngringsavverkning</t>
        </is>
      </c>
      <c r="D1002" s="1" t="n">
        <v>46059</v>
      </c>
      <c r="E1002" s="1" t="n">
        <v>46314</v>
      </c>
      <c r="F1002" t="inlineStr">
        <is>
          <t>DALARNAS LÄN</t>
        </is>
      </c>
      <c r="G1002" t="inlineStr">
        <is>
          <t>FALUN</t>
        </is>
      </c>
      <c r="I1002" t="n">
        <v>1.1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s="2" t="inlineStr"/>
    </row>
    <row r="1003" ht="15" customHeight="1">
      <c r="A1003" t="inlineStr">
        <is>
          <t>A 7493-2026</t>
        </is>
      </c>
      <c r="B1003" t="inlineStr">
        <is>
          <t>avverkningsanmälan</t>
        </is>
      </c>
      <c r="C1003" t="inlineStr">
        <is>
          <t>Föryngringsavverkning</t>
        </is>
      </c>
      <c r="D1003" s="1" t="n">
        <v>46059</v>
      </c>
      <c r="E1003" s="1" t="n">
        <v>46314</v>
      </c>
      <c r="F1003" t="inlineStr">
        <is>
          <t>DALARNAS LÄN</t>
        </is>
      </c>
      <c r="G1003" t="inlineStr">
        <is>
          <t>FALUN</t>
        </is>
      </c>
      <c r="I1003" t="n">
        <v>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s="2" t="inlineStr"/>
    </row>
    <row r="1004" ht="15" customHeight="1">
      <c r="A1004" t="inlineStr">
        <is>
          <t>A 43030-2023</t>
        </is>
      </c>
      <c r="B1004" t="inlineStr">
        <is>
          <t>avverkningsanmälan</t>
        </is>
      </c>
      <c r="C1004" t="inlineStr">
        <is>
          <t>Föryngringsavverkning</t>
        </is>
      </c>
      <c r="D1004" s="1" t="n">
        <v>45182</v>
      </c>
      <c r="E1004" s="1" t="n">
        <v>46314</v>
      </c>
      <c r="F1004" t="inlineStr">
        <is>
          <t>DALARNAS LÄN</t>
        </is>
      </c>
      <c r="G1004" t="inlineStr">
        <is>
          <t>FALUN</t>
        </is>
      </c>
      <c r="I1004" t="n">
        <v>0.6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s="2" t="inlineStr"/>
    </row>
    <row r="1005" ht="15" customHeight="1">
      <c r="A1005" t="inlineStr">
        <is>
          <t>A 13973-2026</t>
        </is>
      </c>
      <c r="B1005" t="inlineStr">
        <is>
          <t>avverkningsanmälan</t>
        </is>
      </c>
      <c r="C1005" t="inlineStr">
        <is>
          <t>Föryngringsavverkning</t>
        </is>
      </c>
      <c r="D1005" s="1" t="n">
        <v>46090</v>
      </c>
      <c r="E1005" s="1" t="n">
        <v>46314</v>
      </c>
      <c r="F1005" t="inlineStr">
        <is>
          <t>DALARNAS LÄN</t>
        </is>
      </c>
      <c r="G1005" t="inlineStr">
        <is>
          <t>FALUN</t>
        </is>
      </c>
      <c r="I1005" t="n">
        <v>12.3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s="2" t="inlineStr"/>
    </row>
    <row r="1006" ht="15" customHeight="1">
      <c r="A1006" t="inlineStr">
        <is>
          <t>A 3657-2026</t>
        </is>
      </c>
      <c r="B1006" t="inlineStr">
        <is>
          <t>avverkningsanmälan</t>
        </is>
      </c>
      <c r="C1006" t="inlineStr">
        <is>
          <t>Föryngringsavverkning</t>
        </is>
      </c>
      <c r="D1006" s="1" t="n">
        <v>46043</v>
      </c>
      <c r="E1006" s="1" t="n">
        <v>46314</v>
      </c>
      <c r="F1006" t="inlineStr">
        <is>
          <t>DALARNAS LÄN</t>
        </is>
      </c>
      <c r="G1006" t="inlineStr">
        <is>
          <t>FALUN</t>
        </is>
      </c>
      <c r="I1006" t="n">
        <v>2.2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s="2" t="inlineStr"/>
    </row>
    <row r="1007" ht="15" customHeight="1">
      <c r="A1007" t="inlineStr">
        <is>
          <t>A 47685-2023</t>
        </is>
      </c>
      <c r="B1007" t="inlineStr">
        <is>
          <t>avverkningsanmälan</t>
        </is>
      </c>
      <c r="C1007" t="inlineStr">
        <is>
          <t>Föryngringsavverkning</t>
        </is>
      </c>
      <c r="D1007" s="1" t="n">
        <v>45203</v>
      </c>
      <c r="E1007" s="1" t="n">
        <v>46314</v>
      </c>
      <c r="F1007" t="inlineStr">
        <is>
          <t>DALARNAS LÄN</t>
        </is>
      </c>
      <c r="G1007" t="inlineStr">
        <is>
          <t>FALUN</t>
        </is>
      </c>
      <c r="I1007" t="n">
        <v>0.7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s="2" t="inlineStr"/>
    </row>
    <row r="1008" ht="15" customHeight="1">
      <c r="A1008" t="inlineStr">
        <is>
          <t>A 26546-2026</t>
        </is>
      </c>
      <c r="B1008" t="inlineStr">
        <is>
          <t>avverkningsanmälan</t>
        </is>
      </c>
      <c r="C1008" t="inlineStr">
        <is>
          <t>Föryngringsavverkning</t>
        </is>
      </c>
      <c r="D1008" s="1" t="n">
        <v>46183</v>
      </c>
      <c r="E1008" s="1" t="n">
        <v>46314</v>
      </c>
      <c r="F1008" t="inlineStr">
        <is>
          <t>DALARNAS LÄN</t>
        </is>
      </c>
      <c r="G1008" t="inlineStr">
        <is>
          <t>FALUN</t>
        </is>
      </c>
      <c r="H1008" t="inlineStr">
        <is>
          <t>Bergvik skog väst AB</t>
        </is>
      </c>
      <c r="I1008" t="n">
        <v>5.2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s="2" t="inlineStr"/>
    </row>
    <row r="1009" ht="15" customHeight="1">
      <c r="A1009" t="inlineStr">
        <is>
          <t>A 7587-2025</t>
        </is>
      </c>
      <c r="B1009" t="inlineStr">
        <is>
          <t>avverkningsanmälan</t>
        </is>
      </c>
      <c r="C1009" t="inlineStr">
        <is>
          <t>Föryngringsavverkning</t>
        </is>
      </c>
      <c r="D1009" s="1" t="n">
        <v>45705</v>
      </c>
      <c r="E1009" s="1" t="n">
        <v>46314</v>
      </c>
      <c r="F1009" t="inlineStr">
        <is>
          <t>DALARNAS LÄN</t>
        </is>
      </c>
      <c r="G1009" t="inlineStr">
        <is>
          <t>FALUN</t>
        </is>
      </c>
      <c r="I1009" t="n">
        <v>2.8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s="2" t="inlineStr"/>
    </row>
    <row r="1010" ht="15" customHeight="1">
      <c r="A1010" t="inlineStr">
        <is>
          <t>A 42954-2023</t>
        </is>
      </c>
      <c r="B1010" t="inlineStr">
        <is>
          <t>avverkningsanmälan</t>
        </is>
      </c>
      <c r="C1010" t="inlineStr">
        <is>
          <t>Föryngringsavverkning</t>
        </is>
      </c>
      <c r="D1010" s="1" t="n">
        <v>45182</v>
      </c>
      <c r="E1010" s="1" t="n">
        <v>46314</v>
      </c>
      <c r="F1010" t="inlineStr">
        <is>
          <t>DALARNAS LÄN</t>
        </is>
      </c>
      <c r="G1010" t="inlineStr">
        <is>
          <t>FALUN</t>
        </is>
      </c>
      <c r="I1010" t="n">
        <v>0.5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s="2" t="inlineStr"/>
    </row>
    <row r="1011" ht="15" customHeight="1">
      <c r="A1011" t="inlineStr">
        <is>
          <t>A 4799-2026</t>
        </is>
      </c>
      <c r="B1011" t="inlineStr">
        <is>
          <t>avverkningsanmälan</t>
        </is>
      </c>
      <c r="C1011" t="inlineStr">
        <is>
          <t>Föryngringsavverkning</t>
        </is>
      </c>
      <c r="D1011" s="1" t="n">
        <v>46048</v>
      </c>
      <c r="E1011" s="1" t="n">
        <v>46314</v>
      </c>
      <c r="F1011" t="inlineStr">
        <is>
          <t>DALARNAS LÄN</t>
        </is>
      </c>
      <c r="G1011" t="inlineStr">
        <is>
          <t>FALUN</t>
        </is>
      </c>
      <c r="I1011" t="n">
        <v>3.4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s="2" t="inlineStr"/>
    </row>
    <row r="1012" ht="15" customHeight="1">
      <c r="A1012" t="inlineStr">
        <is>
          <t>A 7965-2026</t>
        </is>
      </c>
      <c r="B1012" t="inlineStr">
        <is>
          <t>avverkningsanmälan</t>
        </is>
      </c>
      <c r="C1012" t="inlineStr">
        <is>
          <t>Föryngringsavverkning</t>
        </is>
      </c>
      <c r="D1012" s="1" t="n">
        <v>46063</v>
      </c>
      <c r="E1012" s="1" t="n">
        <v>46314</v>
      </c>
      <c r="F1012" t="inlineStr">
        <is>
          <t>DALARNAS LÄN</t>
        </is>
      </c>
      <c r="G1012" t="inlineStr">
        <is>
          <t>FALUN</t>
        </is>
      </c>
      <c r="I1012" t="n">
        <v>2.3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s="2" t="inlineStr"/>
    </row>
    <row r="1013" ht="15" customHeight="1">
      <c r="A1013" t="inlineStr">
        <is>
          <t>A 7696-2026</t>
        </is>
      </c>
      <c r="B1013" t="inlineStr">
        <is>
          <t>avverkningsanmälan</t>
        </is>
      </c>
      <c r="C1013" t="inlineStr">
        <is>
          <t>Föryngringsavverkning</t>
        </is>
      </c>
      <c r="D1013" s="1" t="n">
        <v>46062</v>
      </c>
      <c r="E1013" s="1" t="n">
        <v>46314</v>
      </c>
      <c r="F1013" t="inlineStr">
        <is>
          <t>DALARNAS LÄN</t>
        </is>
      </c>
      <c r="G1013" t="inlineStr">
        <is>
          <t>FALUN</t>
        </is>
      </c>
      <c r="I1013" t="n">
        <v>1.5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s="2" t="inlineStr"/>
    </row>
    <row r="1014" ht="15" customHeight="1">
      <c r="A1014" t="inlineStr">
        <is>
          <t>A 7857-2026</t>
        </is>
      </c>
      <c r="B1014" t="inlineStr">
        <is>
          <t>avverkningsanmälan</t>
        </is>
      </c>
      <c r="C1014" t="inlineStr">
        <is>
          <t>Föryngringsavverkning</t>
        </is>
      </c>
      <c r="D1014" s="1" t="n">
        <v>46062</v>
      </c>
      <c r="E1014" s="1" t="n">
        <v>46314</v>
      </c>
      <c r="F1014" t="inlineStr">
        <is>
          <t>DALARNAS LÄN</t>
        </is>
      </c>
      <c r="G1014" t="inlineStr">
        <is>
          <t>FALUN</t>
        </is>
      </c>
      <c r="I1014" t="n">
        <v>4.6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s="2" t="inlineStr"/>
    </row>
    <row r="1015" ht="15" customHeight="1">
      <c r="A1015" t="inlineStr">
        <is>
          <t>A 26380-2026</t>
        </is>
      </c>
      <c r="B1015" t="inlineStr">
        <is>
          <t>avverkningsanmälan</t>
        </is>
      </c>
      <c r="C1015" t="inlineStr">
        <is>
          <t>Föryngringsavverkning</t>
        </is>
      </c>
      <c r="D1015" s="1" t="n">
        <v>46183</v>
      </c>
      <c r="E1015" s="1" t="n">
        <v>46314</v>
      </c>
      <c r="F1015" t="inlineStr">
        <is>
          <t>DALARNAS LÄN</t>
        </is>
      </c>
      <c r="G1015" t="inlineStr">
        <is>
          <t>FALUN</t>
        </is>
      </c>
      <c r="I1015" t="n">
        <v>1.6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s="2" t="inlineStr"/>
    </row>
    <row r="1016" ht="15" customHeight="1">
      <c r="A1016" t="inlineStr">
        <is>
          <t>A 7967-2026</t>
        </is>
      </c>
      <c r="B1016" t="inlineStr">
        <is>
          <t>avverkningsanmälan</t>
        </is>
      </c>
      <c r="C1016" t="inlineStr">
        <is>
          <t>Föryngringsavverkning</t>
        </is>
      </c>
      <c r="D1016" s="1" t="n">
        <v>46063</v>
      </c>
      <c r="E1016" s="1" t="n">
        <v>46314</v>
      </c>
      <c r="F1016" t="inlineStr">
        <is>
          <t>DALARNAS LÄN</t>
        </is>
      </c>
      <c r="G1016" t="inlineStr">
        <is>
          <t>FALUN</t>
        </is>
      </c>
      <c r="I1016" t="n">
        <v>1.1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s="2" t="inlineStr"/>
    </row>
    <row r="1017" ht="15" customHeight="1">
      <c r="A1017" t="inlineStr">
        <is>
          <t>A 51920-2024</t>
        </is>
      </c>
      <c r="B1017" t="inlineStr">
        <is>
          <t>avverkningsanmälan</t>
        </is>
      </c>
      <c r="C1017" t="inlineStr">
        <is>
          <t>Föryngringsavverkning</t>
        </is>
      </c>
      <c r="D1017" s="1" t="n">
        <v>45607</v>
      </c>
      <c r="E1017" s="1" t="n">
        <v>46314</v>
      </c>
      <c r="F1017" t="inlineStr">
        <is>
          <t>DALARNAS LÄN</t>
        </is>
      </c>
      <c r="G1017" t="inlineStr">
        <is>
          <t>FALUN</t>
        </is>
      </c>
      <c r="H1017" t="inlineStr">
        <is>
          <t>Bergvik skog väst AB</t>
        </is>
      </c>
      <c r="I1017" t="n">
        <v>1.9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s="2" t="inlineStr"/>
    </row>
    <row r="1018" ht="15" customHeight="1">
      <c r="A1018" t="inlineStr">
        <is>
          <t>A 8409-2026</t>
        </is>
      </c>
      <c r="B1018" t="inlineStr">
        <is>
          <t>avverkningsanmälan</t>
        </is>
      </c>
      <c r="C1018" t="inlineStr">
        <is>
          <t>Föryngringsavverkning</t>
        </is>
      </c>
      <c r="D1018" s="1" t="n">
        <v>46065</v>
      </c>
      <c r="E1018" s="1" t="n">
        <v>46314</v>
      </c>
      <c r="F1018" t="inlineStr">
        <is>
          <t>DALARNAS LÄN</t>
        </is>
      </c>
      <c r="G1018" t="inlineStr">
        <is>
          <t>FALUN</t>
        </is>
      </c>
      <c r="I1018" t="n">
        <v>11.1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s="2" t="inlineStr"/>
    </row>
    <row r="1019" ht="15" customHeight="1">
      <c r="A1019" t="inlineStr">
        <is>
          <t>A 8599-2026</t>
        </is>
      </c>
      <c r="B1019" t="inlineStr">
        <is>
          <t>avverkningsanmälan</t>
        </is>
      </c>
      <c r="C1019" t="inlineStr">
        <is>
          <t>Föryngringsavverkning</t>
        </is>
      </c>
      <c r="D1019" s="1" t="n">
        <v>46065</v>
      </c>
      <c r="E1019" s="1" t="n">
        <v>46314</v>
      </c>
      <c r="F1019" t="inlineStr">
        <is>
          <t>DALARNAS LÄN</t>
        </is>
      </c>
      <c r="G1019" t="inlineStr">
        <is>
          <t>FALUN</t>
        </is>
      </c>
      <c r="I1019" t="n">
        <v>1.4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s="2" t="inlineStr"/>
    </row>
    <row r="1020" ht="15" customHeight="1">
      <c r="A1020" t="inlineStr">
        <is>
          <t>A 8589-2026</t>
        </is>
      </c>
      <c r="B1020" t="inlineStr">
        <is>
          <t>avverkningsanmälan</t>
        </is>
      </c>
      <c r="C1020" t="inlineStr">
        <is>
          <t>Föryngringsavverkning</t>
        </is>
      </c>
      <c r="D1020" s="1" t="n">
        <v>46065</v>
      </c>
      <c r="E1020" s="1" t="n">
        <v>46314</v>
      </c>
      <c r="F1020" t="inlineStr">
        <is>
          <t>DALARNAS LÄN</t>
        </is>
      </c>
      <c r="G1020" t="inlineStr">
        <is>
          <t>FALUN</t>
        </is>
      </c>
      <c r="I1020" t="n">
        <v>2.5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s="2" t="inlineStr"/>
    </row>
    <row r="1021" ht="15" customHeight="1">
      <c r="A1021" t="inlineStr">
        <is>
          <t>A 8161-2026</t>
        </is>
      </c>
      <c r="B1021" t="inlineStr">
        <is>
          <t>avverkningsanmälan</t>
        </is>
      </c>
      <c r="C1021" t="inlineStr">
        <is>
          <t>Föryngringsavverkning</t>
        </is>
      </c>
      <c r="D1021" s="1" t="n">
        <v>46064</v>
      </c>
      <c r="E1021" s="1" t="n">
        <v>46314</v>
      </c>
      <c r="F1021" t="inlineStr">
        <is>
          <t>DALARNAS LÄN</t>
        </is>
      </c>
      <c r="G1021" t="inlineStr">
        <is>
          <t>FALUN</t>
        </is>
      </c>
      <c r="I1021" t="n">
        <v>0.7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s="2" t="inlineStr"/>
    </row>
    <row r="1022" ht="15" customHeight="1">
      <c r="A1022" t="inlineStr">
        <is>
          <t>A 8626-2026</t>
        </is>
      </c>
      <c r="B1022" t="inlineStr">
        <is>
          <t>avverkningsanmälan</t>
        </is>
      </c>
      <c r="C1022" t="inlineStr">
        <is>
          <t>Föryngringsavverkning</t>
        </is>
      </c>
      <c r="D1022" s="1" t="n">
        <v>46066</v>
      </c>
      <c r="E1022" s="1" t="n">
        <v>46314</v>
      </c>
      <c r="F1022" t="inlineStr">
        <is>
          <t>DALARNAS LÄN</t>
        </is>
      </c>
      <c r="G1022" t="inlineStr">
        <is>
          <t>FALUN</t>
        </is>
      </c>
      <c r="I1022" t="n">
        <v>5.8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s="2" t="inlineStr"/>
    </row>
    <row r="1023" ht="15" customHeight="1">
      <c r="A1023" t="inlineStr">
        <is>
          <t>A 9102-2026</t>
        </is>
      </c>
      <c r="B1023" t="inlineStr">
        <is>
          <t>avverkningsanmälan</t>
        </is>
      </c>
      <c r="C1023" t="inlineStr">
        <is>
          <t>Föryngringsavverkning</t>
        </is>
      </c>
      <c r="D1023" s="1" t="n">
        <v>46069</v>
      </c>
      <c r="E1023" s="1" t="n">
        <v>46314</v>
      </c>
      <c r="F1023" t="inlineStr">
        <is>
          <t>DALARNAS LÄN</t>
        </is>
      </c>
      <c r="G1023" t="inlineStr">
        <is>
          <t>FALUN</t>
        </is>
      </c>
      <c r="I1023" t="n">
        <v>4.4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s="2" t="inlineStr"/>
    </row>
    <row r="1024" ht="15" customHeight="1">
      <c r="A1024" t="inlineStr">
        <is>
          <t>A 9128-2026</t>
        </is>
      </c>
      <c r="B1024" t="inlineStr">
        <is>
          <t>avverkningsanmälan</t>
        </is>
      </c>
      <c r="C1024" t="inlineStr">
        <is>
          <t>Föryngringsavverkning</t>
        </is>
      </c>
      <c r="D1024" s="1" t="n">
        <v>46069</v>
      </c>
      <c r="E1024" s="1" t="n">
        <v>46314</v>
      </c>
      <c r="F1024" t="inlineStr">
        <is>
          <t>DALARNAS LÄN</t>
        </is>
      </c>
      <c r="G1024" t="inlineStr">
        <is>
          <t>FALUN</t>
        </is>
      </c>
      <c r="I1024" t="n">
        <v>4.3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s="2" t="inlineStr"/>
    </row>
    <row r="1025" ht="15" customHeight="1">
      <c r="A1025" t="inlineStr">
        <is>
          <t>A 27163-2026</t>
        </is>
      </c>
      <c r="B1025" t="inlineStr">
        <is>
          <t>avverkningsanmälan</t>
        </is>
      </c>
      <c r="C1025" t="inlineStr">
        <is>
          <t>Föryngringsavverkning</t>
        </is>
      </c>
      <c r="D1025" s="1" t="n">
        <v>46188</v>
      </c>
      <c r="E1025" s="1" t="n">
        <v>46314</v>
      </c>
      <c r="F1025" t="inlineStr">
        <is>
          <t>DALARNAS LÄN</t>
        </is>
      </c>
      <c r="G1025" t="inlineStr">
        <is>
          <t>FALUN</t>
        </is>
      </c>
      <c r="I1025" t="n">
        <v>2.5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s="2" t="inlineStr"/>
    </row>
    <row r="1026" ht="15" customHeight="1">
      <c r="A1026" t="inlineStr">
        <is>
          <t>A 8797-2026</t>
        </is>
      </c>
      <c r="B1026" t="inlineStr">
        <is>
          <t>avverkningsanmälan</t>
        </is>
      </c>
      <c r="C1026" t="inlineStr">
        <is>
          <t>Föryngringsavverkning</t>
        </is>
      </c>
      <c r="D1026" s="1" t="n">
        <v>46066</v>
      </c>
      <c r="E1026" s="1" t="n">
        <v>46314</v>
      </c>
      <c r="F1026" t="inlineStr">
        <is>
          <t>DALARNAS LÄN</t>
        </is>
      </c>
      <c r="G1026" t="inlineStr">
        <is>
          <t>FALUN</t>
        </is>
      </c>
      <c r="I1026" t="n">
        <v>6.3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s="2" t="inlineStr"/>
    </row>
    <row r="1027" ht="15" customHeight="1">
      <c r="A1027" t="inlineStr">
        <is>
          <t>A 8821-2026</t>
        </is>
      </c>
      <c r="B1027" t="inlineStr">
        <is>
          <t>avverkningsanmälan</t>
        </is>
      </c>
      <c r="C1027" t="inlineStr">
        <is>
          <t>Föryngringsavverkning</t>
        </is>
      </c>
      <c r="D1027" s="1" t="n">
        <v>46066</v>
      </c>
      <c r="E1027" s="1" t="n">
        <v>46314</v>
      </c>
      <c r="F1027" t="inlineStr">
        <is>
          <t>DALARNAS LÄN</t>
        </is>
      </c>
      <c r="G1027" t="inlineStr">
        <is>
          <t>FALUN</t>
        </is>
      </c>
      <c r="I1027" t="n">
        <v>1.9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s="2" t="inlineStr"/>
    </row>
    <row r="1028" ht="15" customHeight="1">
      <c r="A1028" t="inlineStr">
        <is>
          <t>A 5275-2026</t>
        </is>
      </c>
      <c r="B1028" t="inlineStr">
        <is>
          <t>avverkningsanmälan</t>
        </is>
      </c>
      <c r="C1028" t="inlineStr">
        <is>
          <t>Föryngringsavverkning</t>
        </is>
      </c>
      <c r="D1028" s="1" t="n">
        <v>46050</v>
      </c>
      <c r="E1028" s="1" t="n">
        <v>46314</v>
      </c>
      <c r="F1028" t="inlineStr">
        <is>
          <t>DALARNAS LÄN</t>
        </is>
      </c>
      <c r="G1028" t="inlineStr">
        <is>
          <t>FALUN</t>
        </is>
      </c>
      <c r="H1028" t="inlineStr">
        <is>
          <t>Kyrkan</t>
        </is>
      </c>
      <c r="I1028" t="n">
        <v>1.7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s="2" t="inlineStr"/>
    </row>
    <row r="1029" ht="15" customHeight="1">
      <c r="A1029" t="inlineStr">
        <is>
          <t>A 8770-2026</t>
        </is>
      </c>
      <c r="B1029" t="inlineStr">
        <is>
          <t>avverkningsanmälan</t>
        </is>
      </c>
      <c r="C1029" t="inlineStr">
        <is>
          <t>Föryngringsavverkning</t>
        </is>
      </c>
      <c r="D1029" s="1" t="n">
        <v>46066</v>
      </c>
      <c r="E1029" s="1" t="n">
        <v>46314</v>
      </c>
      <c r="F1029" t="inlineStr">
        <is>
          <t>DALARNAS LÄN</t>
        </is>
      </c>
      <c r="G1029" t="inlineStr">
        <is>
          <t>FALUN</t>
        </is>
      </c>
      <c r="I1029" t="n">
        <v>4.2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s="2" t="inlineStr"/>
    </row>
    <row r="1030" ht="15" customHeight="1">
      <c r="A1030" t="inlineStr">
        <is>
          <t>A 27265-2026</t>
        </is>
      </c>
      <c r="B1030" t="inlineStr">
        <is>
          <t>avverkningsanmälan</t>
        </is>
      </c>
      <c r="C1030" t="inlineStr">
        <is>
          <t>Föryngringsavverkning</t>
        </is>
      </c>
      <c r="D1030" s="1" t="n">
        <v>46188</v>
      </c>
      <c r="E1030" s="1" t="n">
        <v>46314</v>
      </c>
      <c r="F1030" t="inlineStr">
        <is>
          <t>DALARNAS LÄN</t>
        </is>
      </c>
      <c r="G1030" t="inlineStr">
        <is>
          <t>FALUN</t>
        </is>
      </c>
      <c r="I1030" t="n">
        <v>2.5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s="2" t="inlineStr"/>
    </row>
    <row r="1031" ht="15" customHeight="1">
      <c r="A1031" t="inlineStr">
        <is>
          <t>A 27313-2026</t>
        </is>
      </c>
      <c r="B1031" t="inlineStr">
        <is>
          <t>avverkningsanmälan</t>
        </is>
      </c>
      <c r="C1031" t="inlineStr">
        <is>
          <t>Föryngringsavverkning</t>
        </is>
      </c>
      <c r="D1031" s="1" t="n">
        <v>46188</v>
      </c>
      <c r="E1031" s="1" t="n">
        <v>46314</v>
      </c>
      <c r="F1031" t="inlineStr">
        <is>
          <t>DALARNAS LÄN</t>
        </is>
      </c>
      <c r="G1031" t="inlineStr">
        <is>
          <t>FALUN</t>
        </is>
      </c>
      <c r="I1031" t="n">
        <v>2.4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s="2" t="inlineStr"/>
    </row>
    <row r="1032" ht="15" customHeight="1">
      <c r="A1032" t="inlineStr">
        <is>
          <t>A 8760-2026</t>
        </is>
      </c>
      <c r="B1032" t="inlineStr">
        <is>
          <t>avverkningsanmälan</t>
        </is>
      </c>
      <c r="C1032" t="inlineStr">
        <is>
          <t>Föryngringsavverkning</t>
        </is>
      </c>
      <c r="D1032" s="1" t="n">
        <v>46066</v>
      </c>
      <c r="E1032" s="1" t="n">
        <v>46314</v>
      </c>
      <c r="F1032" t="inlineStr">
        <is>
          <t>DALARNAS LÄN</t>
        </is>
      </c>
      <c r="G1032" t="inlineStr">
        <is>
          <t>FALUN</t>
        </is>
      </c>
      <c r="I1032" t="n">
        <v>1.3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s="2" t="inlineStr"/>
    </row>
    <row r="1033" ht="15" customHeight="1">
      <c r="A1033" t="inlineStr">
        <is>
          <t>A 5229-2026</t>
        </is>
      </c>
      <c r="B1033" t="inlineStr">
        <is>
          <t>avverkningsanmälan</t>
        </is>
      </c>
      <c r="C1033" t="inlineStr">
        <is>
          <t>Föryngringsavverkning</t>
        </is>
      </c>
      <c r="D1033" s="1" t="n">
        <v>46049</v>
      </c>
      <c r="E1033" s="1" t="n">
        <v>46314</v>
      </c>
      <c r="F1033" t="inlineStr">
        <is>
          <t>DALARNAS LÄN</t>
        </is>
      </c>
      <c r="G1033" t="inlineStr">
        <is>
          <t>FALUN</t>
        </is>
      </c>
      <c r="I1033" t="n">
        <v>5.9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s="2" t="inlineStr"/>
    </row>
    <row r="1034" ht="15" customHeight="1">
      <c r="A1034" t="inlineStr">
        <is>
          <t>A 8904-2026</t>
        </is>
      </c>
      <c r="B1034" t="inlineStr">
        <is>
          <t>avverkningsanmälan</t>
        </is>
      </c>
      <c r="C1034" t="inlineStr">
        <is>
          <t>Föryngringsavverkning</t>
        </is>
      </c>
      <c r="D1034" s="1" t="n">
        <v>46068</v>
      </c>
      <c r="E1034" s="1" t="n">
        <v>46314</v>
      </c>
      <c r="F1034" t="inlineStr">
        <is>
          <t>DALARNAS LÄN</t>
        </is>
      </c>
      <c r="G1034" t="inlineStr">
        <is>
          <t>FALUN</t>
        </is>
      </c>
      <c r="I1034" t="n">
        <v>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s="2" t="inlineStr"/>
    </row>
    <row r="1035" ht="15" customHeight="1">
      <c r="A1035" t="inlineStr">
        <is>
          <t>A 8808-2026</t>
        </is>
      </c>
      <c r="B1035" t="inlineStr">
        <is>
          <t>avverkningsanmälan</t>
        </is>
      </c>
      <c r="C1035" t="inlineStr">
        <is>
          <t>Föryngringsavverkning</t>
        </is>
      </c>
      <c r="D1035" s="1" t="n">
        <v>46066</v>
      </c>
      <c r="E1035" s="1" t="n">
        <v>46314</v>
      </c>
      <c r="F1035" t="inlineStr">
        <is>
          <t>DALARNAS LÄN</t>
        </is>
      </c>
      <c r="G1035" t="inlineStr">
        <is>
          <t>FALUN</t>
        </is>
      </c>
      <c r="I1035" t="n">
        <v>1.6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s="2" t="inlineStr"/>
    </row>
    <row r="1036" ht="15" customHeight="1">
      <c r="A1036" t="inlineStr">
        <is>
          <t>A 8978-2026</t>
        </is>
      </c>
      <c r="B1036" t="inlineStr">
        <is>
          <t>avverkningsanmälan</t>
        </is>
      </c>
      <c r="C1036" t="inlineStr">
        <is>
          <t>Föryngringsavverkning</t>
        </is>
      </c>
      <c r="D1036" s="1" t="n">
        <v>46069</v>
      </c>
      <c r="E1036" s="1" t="n">
        <v>46314</v>
      </c>
      <c r="F1036" t="inlineStr">
        <is>
          <t>DALARNAS LÄN</t>
        </is>
      </c>
      <c r="G1036" t="inlineStr">
        <is>
          <t>FALUN</t>
        </is>
      </c>
      <c r="I1036" t="n">
        <v>11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s="2" t="inlineStr"/>
    </row>
    <row r="1037" ht="15" customHeight="1">
      <c r="A1037" t="inlineStr">
        <is>
          <t>A 43187-2024</t>
        </is>
      </c>
      <c r="B1037" t="inlineStr">
        <is>
          <t>avverkningsanmälan</t>
        </is>
      </c>
      <c r="C1037" t="inlineStr">
        <is>
          <t>Avverkning för annat ändamål</t>
        </is>
      </c>
      <c r="D1037" s="1" t="n">
        <v>45567</v>
      </c>
      <c r="E1037" s="1" t="n">
        <v>46314</v>
      </c>
      <c r="F1037" t="inlineStr">
        <is>
          <t>DALARNAS LÄN</t>
        </is>
      </c>
      <c r="G1037" t="inlineStr">
        <is>
          <t>FALUN</t>
        </is>
      </c>
      <c r="I1037" t="n">
        <v>0.2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s="2" t="inlineStr"/>
    </row>
    <row r="1038" ht="15" customHeight="1">
      <c r="A1038" t="inlineStr">
        <is>
          <t>A 9683-2026</t>
        </is>
      </c>
      <c r="B1038" t="inlineStr">
        <is>
          <t>avverkningsanmälan</t>
        </is>
      </c>
      <c r="C1038" t="inlineStr">
        <is>
          <t>Föryngringsavverkning</t>
        </is>
      </c>
      <c r="D1038" s="1" t="n">
        <v>46071</v>
      </c>
      <c r="E1038" s="1" t="n">
        <v>46314</v>
      </c>
      <c r="F1038" t="inlineStr">
        <is>
          <t>DALARNAS LÄN</t>
        </is>
      </c>
      <c r="G1038" t="inlineStr">
        <is>
          <t>FALUN</t>
        </is>
      </c>
      <c r="H1038" t="inlineStr">
        <is>
          <t>Allmännings- och besparingsskogar</t>
        </is>
      </c>
      <c r="I1038" t="n">
        <v>17.5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s="2" t="inlineStr"/>
    </row>
    <row r="1039" ht="15" customHeight="1">
      <c r="A1039" t="inlineStr">
        <is>
          <t>A 4719-2026</t>
        </is>
      </c>
      <c r="B1039" t="inlineStr">
        <is>
          <t>avverkningsanmälan</t>
        </is>
      </c>
      <c r="C1039" t="inlineStr">
        <is>
          <t>Föryngringsavverkning</t>
        </is>
      </c>
      <c r="D1039" s="1" t="n">
        <v>46048</v>
      </c>
      <c r="E1039" s="1" t="n">
        <v>46314</v>
      </c>
      <c r="F1039" t="inlineStr">
        <is>
          <t>DALARNAS LÄN</t>
        </is>
      </c>
      <c r="G1039" t="inlineStr">
        <is>
          <t>FALUN</t>
        </is>
      </c>
      <c r="I1039" t="n">
        <v>7.7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s="2" t="inlineStr"/>
    </row>
    <row r="1040" ht="15" customHeight="1">
      <c r="A1040" t="inlineStr">
        <is>
          <t>A 26965-2026</t>
        </is>
      </c>
      <c r="B1040" t="inlineStr">
        <is>
          <t>avverkningsanmälan</t>
        </is>
      </c>
      <c r="C1040" t="inlineStr">
        <is>
          <t>Föryngringsavverkning</t>
        </is>
      </c>
      <c r="D1040" s="1" t="n">
        <v>46185</v>
      </c>
      <c r="E1040" s="1" t="n">
        <v>46314</v>
      </c>
      <c r="F1040" t="inlineStr">
        <is>
          <t>DALARNAS LÄN</t>
        </is>
      </c>
      <c r="G1040" t="inlineStr">
        <is>
          <t>FALUN</t>
        </is>
      </c>
      <c r="I1040" t="n">
        <v>0.6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s="2" t="inlineStr"/>
    </row>
    <row r="1041" ht="15" customHeight="1">
      <c r="A1041" t="inlineStr">
        <is>
          <t>A 26968-2026</t>
        </is>
      </c>
      <c r="B1041" t="inlineStr">
        <is>
          <t>avverkningsanmälan</t>
        </is>
      </c>
      <c r="C1041" t="inlineStr">
        <is>
          <t>Föryngringsavverkning</t>
        </is>
      </c>
      <c r="D1041" s="1" t="n">
        <v>46185</v>
      </c>
      <c r="E1041" s="1" t="n">
        <v>46314</v>
      </c>
      <c r="F1041" t="inlineStr">
        <is>
          <t>DALARNAS LÄN</t>
        </is>
      </c>
      <c r="G1041" t="inlineStr">
        <is>
          <t>FALUN</t>
        </is>
      </c>
      <c r="I1041" t="n">
        <v>0.8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s="2" t="inlineStr"/>
    </row>
    <row r="1042" ht="15" customHeight="1">
      <c r="A1042" t="inlineStr">
        <is>
          <t>A 9429-2026</t>
        </is>
      </c>
      <c r="B1042" t="inlineStr">
        <is>
          <t>avverkningsanmälan</t>
        </is>
      </c>
      <c r="C1042" t="inlineStr">
        <is>
          <t>Föryngringsavverkning</t>
        </is>
      </c>
      <c r="D1042" s="1" t="n">
        <v>46071</v>
      </c>
      <c r="E1042" s="1" t="n">
        <v>46314</v>
      </c>
      <c r="F1042" t="inlineStr">
        <is>
          <t>DALARNAS LÄN</t>
        </is>
      </c>
      <c r="G1042" t="inlineStr">
        <is>
          <t>FALUN</t>
        </is>
      </c>
      <c r="I1042" t="n">
        <v>2.2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s="2" t="inlineStr"/>
    </row>
    <row r="1043" ht="15" customHeight="1">
      <c r="A1043" t="inlineStr">
        <is>
          <t>A 4036-2026</t>
        </is>
      </c>
      <c r="B1043" t="inlineStr">
        <is>
          <t>avverkningsanmälan</t>
        </is>
      </c>
      <c r="C1043" t="inlineStr">
        <is>
          <t>Föryngringsavverkning</t>
        </is>
      </c>
      <c r="D1043" s="1" t="n">
        <v>46044</v>
      </c>
      <c r="E1043" s="1" t="n">
        <v>46314</v>
      </c>
      <c r="F1043" t="inlineStr">
        <is>
          <t>DALARNAS LÄN</t>
        </is>
      </c>
      <c r="G1043" t="inlineStr">
        <is>
          <t>FALUN</t>
        </is>
      </c>
      <c r="H1043" t="inlineStr">
        <is>
          <t>Kyrkan</t>
        </is>
      </c>
      <c r="I1043" t="n">
        <v>18.5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s="2" t="inlineStr"/>
    </row>
    <row r="1044" ht="15" customHeight="1">
      <c r="A1044" t="inlineStr">
        <is>
          <t>A 9231-2026</t>
        </is>
      </c>
      <c r="B1044" t="inlineStr">
        <is>
          <t>avverkningsanmälan</t>
        </is>
      </c>
      <c r="C1044" t="inlineStr">
        <is>
          <t>Föryngringsavverkning</t>
        </is>
      </c>
      <c r="D1044" s="1" t="n">
        <v>46070</v>
      </c>
      <c r="E1044" s="1" t="n">
        <v>46314</v>
      </c>
      <c r="F1044" t="inlineStr">
        <is>
          <t>DALARNAS LÄN</t>
        </is>
      </c>
      <c r="G1044" t="inlineStr">
        <is>
          <t>FALUN</t>
        </is>
      </c>
      <c r="H1044" t="inlineStr">
        <is>
          <t>Bergvik skog väst AB</t>
        </is>
      </c>
      <c r="I1044" t="n">
        <v>9.800000000000001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s="2" t="inlineStr"/>
    </row>
    <row r="1045" ht="15" customHeight="1">
      <c r="A1045" t="inlineStr">
        <is>
          <t>A 9337-2026</t>
        </is>
      </c>
      <c r="B1045" t="inlineStr">
        <is>
          <t>avverkningsanmälan</t>
        </is>
      </c>
      <c r="C1045" t="inlineStr">
        <is>
          <t>Föryngringsavverkning</t>
        </is>
      </c>
      <c r="D1045" s="1" t="n">
        <v>46070</v>
      </c>
      <c r="E1045" s="1" t="n">
        <v>46314</v>
      </c>
      <c r="F1045" t="inlineStr">
        <is>
          <t>DALARNAS LÄN</t>
        </is>
      </c>
      <c r="G1045" t="inlineStr">
        <is>
          <t>FALUN</t>
        </is>
      </c>
      <c r="I1045" t="n">
        <v>4.6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s="2" t="inlineStr"/>
    </row>
    <row r="1046" ht="15" customHeight="1">
      <c r="A1046" t="inlineStr">
        <is>
          <t>A 9342-2026</t>
        </is>
      </c>
      <c r="B1046" t="inlineStr">
        <is>
          <t>avverkningsanmälan</t>
        </is>
      </c>
      <c r="C1046" t="inlineStr">
        <is>
          <t>Föryngringsavverkning</t>
        </is>
      </c>
      <c r="D1046" s="1" t="n">
        <v>46070</v>
      </c>
      <c r="E1046" s="1" t="n">
        <v>46314</v>
      </c>
      <c r="F1046" t="inlineStr">
        <is>
          <t>DALARNAS LÄN</t>
        </is>
      </c>
      <c r="G1046" t="inlineStr">
        <is>
          <t>FALUN</t>
        </is>
      </c>
      <c r="I1046" t="n">
        <v>4.9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s="2" t="inlineStr"/>
    </row>
    <row r="1047" ht="15" customHeight="1">
      <c r="A1047" t="inlineStr">
        <is>
          <t>A 9840-2026</t>
        </is>
      </c>
      <c r="B1047" t="inlineStr">
        <is>
          <t>avverkningsanmälan</t>
        </is>
      </c>
      <c r="C1047" t="inlineStr">
        <is>
          <t>Föryngringsavverkning</t>
        </is>
      </c>
      <c r="D1047" s="1" t="n">
        <v>46072</v>
      </c>
      <c r="E1047" s="1" t="n">
        <v>46314</v>
      </c>
      <c r="F1047" t="inlineStr">
        <is>
          <t>DALARNAS LÄN</t>
        </is>
      </c>
      <c r="G1047" t="inlineStr">
        <is>
          <t>FALUN</t>
        </is>
      </c>
      <c r="I1047" t="n">
        <v>6.7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s="2" t="inlineStr"/>
    </row>
    <row r="1048" ht="15" customHeight="1">
      <c r="A1048" t="inlineStr">
        <is>
          <t>A 9842-2026</t>
        </is>
      </c>
      <c r="B1048" t="inlineStr">
        <is>
          <t>avverkningsanmälan</t>
        </is>
      </c>
      <c r="C1048" t="inlineStr">
        <is>
          <t>Föryngringsavverkning</t>
        </is>
      </c>
      <c r="D1048" s="1" t="n">
        <v>46072</v>
      </c>
      <c r="E1048" s="1" t="n">
        <v>46314</v>
      </c>
      <c r="F1048" t="inlineStr">
        <is>
          <t>DALARNAS LÄN</t>
        </is>
      </c>
      <c r="G1048" t="inlineStr">
        <is>
          <t>FALUN</t>
        </is>
      </c>
      <c r="H1048" t="inlineStr">
        <is>
          <t>Bergvik skog väst AB</t>
        </is>
      </c>
      <c r="I1048" t="n">
        <v>5.4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s="2" t="inlineStr"/>
    </row>
    <row r="1049" ht="15" customHeight="1">
      <c r="A1049" t="inlineStr">
        <is>
          <t>A 6456-2026</t>
        </is>
      </c>
      <c r="B1049" t="inlineStr">
        <is>
          <t>avverkningsanmälan</t>
        </is>
      </c>
      <c r="C1049" t="inlineStr">
        <is>
          <t>Föryngringsavverkning</t>
        </is>
      </c>
      <c r="D1049" s="1" t="n">
        <v>46055</v>
      </c>
      <c r="E1049" s="1" t="n">
        <v>46314</v>
      </c>
      <c r="F1049" t="inlineStr">
        <is>
          <t>DALARNAS LÄN</t>
        </is>
      </c>
      <c r="G1049" t="inlineStr">
        <is>
          <t>FALUN</t>
        </is>
      </c>
      <c r="I1049" t="n">
        <v>2.1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s="2" t="inlineStr"/>
    </row>
    <row r="1050" ht="15" customHeight="1">
      <c r="A1050" t="inlineStr">
        <is>
          <t>A 9746-2026</t>
        </is>
      </c>
      <c r="B1050" t="inlineStr">
        <is>
          <t>avverkningsanmälan</t>
        </is>
      </c>
      <c r="C1050" t="inlineStr">
        <is>
          <t>Föryngringsavverkning</t>
        </is>
      </c>
      <c r="D1050" s="1" t="n">
        <v>46072</v>
      </c>
      <c r="E1050" s="1" t="n">
        <v>46314</v>
      </c>
      <c r="F1050" t="inlineStr">
        <is>
          <t>DALARNAS LÄN</t>
        </is>
      </c>
      <c r="G1050" t="inlineStr">
        <is>
          <t>FALUN</t>
        </is>
      </c>
      <c r="H1050" t="inlineStr">
        <is>
          <t>Bergvik skog väst AB</t>
        </is>
      </c>
      <c r="I1050" t="n">
        <v>0.6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s="2" t="inlineStr"/>
    </row>
    <row r="1051" ht="15" customHeight="1">
      <c r="A1051" t="inlineStr">
        <is>
          <t>A 9606-2026</t>
        </is>
      </c>
      <c r="B1051" t="inlineStr">
        <is>
          <t>avverkningsanmälan</t>
        </is>
      </c>
      <c r="C1051" t="inlineStr">
        <is>
          <t>Föryngringsavverkning</t>
        </is>
      </c>
      <c r="D1051" s="1" t="n">
        <v>46071</v>
      </c>
      <c r="E1051" s="1" t="n">
        <v>46314</v>
      </c>
      <c r="F1051" t="inlineStr">
        <is>
          <t>DALARNAS LÄN</t>
        </is>
      </c>
      <c r="G1051" t="inlineStr">
        <is>
          <t>FALUN</t>
        </is>
      </c>
      <c r="I1051" t="n">
        <v>2.4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s="2" t="inlineStr"/>
    </row>
    <row r="1052" ht="15" customHeight="1">
      <c r="A1052" t="inlineStr">
        <is>
          <t>A 27152-2026</t>
        </is>
      </c>
      <c r="B1052" t="inlineStr">
        <is>
          <t>avverkningsanmälan</t>
        </is>
      </c>
      <c r="C1052" t="inlineStr">
        <is>
          <t>Föryngringsavverkning</t>
        </is>
      </c>
      <c r="D1052" s="1" t="n">
        <v>46188</v>
      </c>
      <c r="E1052" s="1" t="n">
        <v>46314</v>
      </c>
      <c r="F1052" t="inlineStr">
        <is>
          <t>DALARNAS LÄN</t>
        </is>
      </c>
      <c r="G1052" t="inlineStr">
        <is>
          <t>FALUN</t>
        </is>
      </c>
      <c r="I1052" t="n">
        <v>1.7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s="2" t="inlineStr"/>
    </row>
    <row r="1053" ht="15" customHeight="1">
      <c r="A1053" t="inlineStr">
        <is>
          <t>A 9696-2026</t>
        </is>
      </c>
      <c r="B1053" t="inlineStr">
        <is>
          <t>avverkningsanmälan</t>
        </is>
      </c>
      <c r="C1053" t="inlineStr">
        <is>
          <t>Föryngringsavverkning</t>
        </is>
      </c>
      <c r="D1053" s="1" t="n">
        <v>46072</v>
      </c>
      <c r="E1053" s="1" t="n">
        <v>46314</v>
      </c>
      <c r="F1053" t="inlineStr">
        <is>
          <t>DALARNAS LÄN</t>
        </is>
      </c>
      <c r="G1053" t="inlineStr">
        <is>
          <t>FALUN</t>
        </is>
      </c>
      <c r="I1053" t="n">
        <v>8.9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s="2" t="inlineStr"/>
    </row>
    <row r="1054" ht="15" customHeight="1">
      <c r="A1054" t="inlineStr">
        <is>
          <t>A 10531-2026</t>
        </is>
      </c>
      <c r="B1054" t="inlineStr">
        <is>
          <t>avverkningsanmälan</t>
        </is>
      </c>
      <c r="C1054" t="inlineStr">
        <is>
          <t>Föryngringsavverkning</t>
        </is>
      </c>
      <c r="D1054" s="1" t="n">
        <v>46077</v>
      </c>
      <c r="E1054" s="1" t="n">
        <v>46314</v>
      </c>
      <c r="F1054" t="inlineStr">
        <is>
          <t>DALARNAS LÄN</t>
        </is>
      </c>
      <c r="G1054" t="inlineStr">
        <is>
          <t>FALUN</t>
        </is>
      </c>
      <c r="I1054" t="n">
        <v>0.5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s="2" t="inlineStr"/>
    </row>
    <row r="1055" ht="15" customHeight="1">
      <c r="A1055" t="inlineStr">
        <is>
          <t>A 12224-2022</t>
        </is>
      </c>
      <c r="B1055" t="inlineStr">
        <is>
          <t>avverkningsanmälan</t>
        </is>
      </c>
      <c r="C1055" t="inlineStr">
        <is>
          <t>Föryngringsavverkning</t>
        </is>
      </c>
      <c r="D1055" s="1" t="n">
        <v>44637</v>
      </c>
      <c r="E1055" s="1" t="n">
        <v>46314</v>
      </c>
      <c r="F1055" t="inlineStr">
        <is>
          <t>DALARNAS LÄN</t>
        </is>
      </c>
      <c r="G1055" t="inlineStr">
        <is>
          <t>FALUN</t>
        </is>
      </c>
      <c r="I1055" t="n">
        <v>1.6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s="2" t="inlineStr"/>
    </row>
    <row r="1056" ht="15" customHeight="1">
      <c r="A1056" t="inlineStr">
        <is>
          <t>A 10325-2026</t>
        </is>
      </c>
      <c r="B1056" t="inlineStr">
        <is>
          <t>avverkningsanmälan</t>
        </is>
      </c>
      <c r="C1056" t="inlineStr">
        <is>
          <t>Föryngringsavverkning</t>
        </is>
      </c>
      <c r="D1056" s="1" t="n">
        <v>46076</v>
      </c>
      <c r="E1056" s="1" t="n">
        <v>46314</v>
      </c>
      <c r="F1056" t="inlineStr">
        <is>
          <t>DALARNAS LÄN</t>
        </is>
      </c>
      <c r="G1056" t="inlineStr">
        <is>
          <t>FALUN</t>
        </is>
      </c>
      <c r="I1056" t="n">
        <v>0.7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s="2" t="inlineStr"/>
    </row>
    <row r="1057" ht="15" customHeight="1">
      <c r="A1057" t="inlineStr">
        <is>
          <t>A 10539-2026</t>
        </is>
      </c>
      <c r="B1057" t="inlineStr">
        <is>
          <t>avverkningsanmälan</t>
        </is>
      </c>
      <c r="C1057" t="inlineStr">
        <is>
          <t>Föryngringsavverkning</t>
        </is>
      </c>
      <c r="D1057" s="1" t="n">
        <v>46077</v>
      </c>
      <c r="E1057" s="1" t="n">
        <v>46314</v>
      </c>
      <c r="F1057" t="inlineStr">
        <is>
          <t>DALARNAS LÄN</t>
        </is>
      </c>
      <c r="G1057" t="inlineStr">
        <is>
          <t>FALUN</t>
        </is>
      </c>
      <c r="I1057" t="n">
        <v>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s="2" t="inlineStr"/>
    </row>
    <row r="1058" ht="15" customHeight="1">
      <c r="A1058" t="inlineStr">
        <is>
          <t>A 10566-2026</t>
        </is>
      </c>
      <c r="B1058" t="inlineStr">
        <is>
          <t>avverkningsanmälan</t>
        </is>
      </c>
      <c r="C1058" t="inlineStr">
        <is>
          <t>Föryngringsavverkning</t>
        </is>
      </c>
      <c r="D1058" s="1" t="n">
        <v>46077</v>
      </c>
      <c r="E1058" s="1" t="n">
        <v>46314</v>
      </c>
      <c r="F1058" t="inlineStr">
        <is>
          <t>DALARNAS LÄN</t>
        </is>
      </c>
      <c r="G1058" t="inlineStr">
        <is>
          <t>FALUN</t>
        </is>
      </c>
      <c r="I1058" t="n">
        <v>0.9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s="2" t="inlineStr"/>
    </row>
    <row r="1059" ht="15" customHeight="1">
      <c r="A1059" t="inlineStr">
        <is>
          <t>A 10822-2026</t>
        </is>
      </c>
      <c r="B1059" t="inlineStr">
        <is>
          <t>avverkningsanmälan</t>
        </is>
      </c>
      <c r="C1059" t="inlineStr">
        <is>
          <t>Föryngringsavverkning</t>
        </is>
      </c>
      <c r="D1059" s="1" t="n">
        <v>46078</v>
      </c>
      <c r="E1059" s="1" t="n">
        <v>46314</v>
      </c>
      <c r="F1059" t="inlineStr">
        <is>
          <t>DALARNAS LÄN</t>
        </is>
      </c>
      <c r="G1059" t="inlineStr">
        <is>
          <t>FALUN</t>
        </is>
      </c>
      <c r="H1059" t="inlineStr">
        <is>
          <t>Bergvik skog väst AB</t>
        </is>
      </c>
      <c r="I1059" t="n">
        <v>2.4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s="2" t="inlineStr"/>
    </row>
    <row r="1060" ht="15" customHeight="1">
      <c r="A1060" t="inlineStr">
        <is>
          <t>A 39872-2022</t>
        </is>
      </c>
      <c r="B1060" t="inlineStr">
        <is>
          <t>avverkningsanmälan</t>
        </is>
      </c>
      <c r="C1060" t="inlineStr">
        <is>
          <t>Föryngringsavverkning</t>
        </is>
      </c>
      <c r="D1060" s="1" t="n">
        <v>44819</v>
      </c>
      <c r="E1060" s="1" t="n">
        <v>46314</v>
      </c>
      <c r="F1060" t="inlineStr">
        <is>
          <t>DALARNAS LÄN</t>
        </is>
      </c>
      <c r="G1060" t="inlineStr">
        <is>
          <t>FALUN</t>
        </is>
      </c>
      <c r="I1060" t="n">
        <v>3.8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s="2" t="inlineStr"/>
    </row>
    <row r="1061" ht="15" customHeight="1">
      <c r="A1061" t="inlineStr">
        <is>
          <t>A 26830-2026</t>
        </is>
      </c>
      <c r="B1061" t="inlineStr">
        <is>
          <t>avverkningsanmälan</t>
        </is>
      </c>
      <c r="C1061" t="inlineStr">
        <is>
          <t>Föryngringsavverkning</t>
        </is>
      </c>
      <c r="D1061" s="1" t="n">
        <v>46185</v>
      </c>
      <c r="E1061" s="1" t="n">
        <v>46314</v>
      </c>
      <c r="F1061" t="inlineStr">
        <is>
          <t>DALARNAS LÄN</t>
        </is>
      </c>
      <c r="G1061" t="inlineStr">
        <is>
          <t>FALUN</t>
        </is>
      </c>
      <c r="I1061" t="n">
        <v>0.4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s="2" t="inlineStr"/>
    </row>
    <row r="1062" ht="15" customHeight="1">
      <c r="A1062" t="inlineStr">
        <is>
          <t>A 26969-2026</t>
        </is>
      </c>
      <c r="B1062" t="inlineStr">
        <is>
          <t>avverkningsanmälan</t>
        </is>
      </c>
      <c r="C1062" t="inlineStr">
        <is>
          <t>Föryngringsavverkning</t>
        </is>
      </c>
      <c r="D1062" s="1" t="n">
        <v>46185</v>
      </c>
      <c r="E1062" s="1" t="n">
        <v>46314</v>
      </c>
      <c r="F1062" t="inlineStr">
        <is>
          <t>DALARNAS LÄN</t>
        </is>
      </c>
      <c r="G1062" t="inlineStr">
        <is>
          <t>FALUN</t>
        </is>
      </c>
      <c r="I1062" t="n">
        <v>2.9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s="2" t="inlineStr"/>
    </row>
    <row r="1063" ht="15" customHeight="1">
      <c r="A1063" t="inlineStr">
        <is>
          <t>A 27267-2026</t>
        </is>
      </c>
      <c r="B1063" t="inlineStr">
        <is>
          <t>avverkningsanmälan</t>
        </is>
      </c>
      <c r="C1063" t="inlineStr">
        <is>
          <t>Föryngringsavverkning</t>
        </is>
      </c>
      <c r="D1063" s="1" t="n">
        <v>46188</v>
      </c>
      <c r="E1063" s="1" t="n">
        <v>46314</v>
      </c>
      <c r="F1063" t="inlineStr">
        <is>
          <t>DALARNAS LÄN</t>
        </is>
      </c>
      <c r="G1063" t="inlineStr">
        <is>
          <t>FALUN</t>
        </is>
      </c>
      <c r="I1063" t="n">
        <v>4.8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s="2" t="inlineStr"/>
    </row>
    <row r="1064" ht="15" customHeight="1">
      <c r="A1064" t="inlineStr">
        <is>
          <t>A 10952-2026</t>
        </is>
      </c>
      <c r="B1064" t="inlineStr">
        <is>
          <t>avverkningsanmälan</t>
        </is>
      </c>
      <c r="C1064" t="inlineStr">
        <is>
          <t>Föryngringsavverkning</t>
        </is>
      </c>
      <c r="D1064" s="1" t="n">
        <v>46079</v>
      </c>
      <c r="E1064" s="1" t="n">
        <v>46314</v>
      </c>
      <c r="F1064" t="inlineStr">
        <is>
          <t>DALARNAS LÄN</t>
        </is>
      </c>
      <c r="G1064" t="inlineStr">
        <is>
          <t>FALUN</t>
        </is>
      </c>
      <c r="I1064" t="n">
        <v>1.2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s="2" t="inlineStr"/>
    </row>
    <row r="1065" ht="15" customHeight="1">
      <c r="A1065" t="inlineStr">
        <is>
          <t>A 27335-2026</t>
        </is>
      </c>
      <c r="B1065" t="inlineStr">
        <is>
          <t>avverkningsanmälan</t>
        </is>
      </c>
      <c r="C1065" t="inlineStr">
        <is>
          <t>Föryngringsavverkning</t>
        </is>
      </c>
      <c r="D1065" s="1" t="n">
        <v>46188</v>
      </c>
      <c r="E1065" s="1" t="n">
        <v>46314</v>
      </c>
      <c r="F1065" t="inlineStr">
        <is>
          <t>DALARNAS LÄN</t>
        </is>
      </c>
      <c r="G1065" t="inlineStr">
        <is>
          <t>FALUN</t>
        </is>
      </c>
      <c r="H1065" t="inlineStr">
        <is>
          <t>Bergvik skog väst AB</t>
        </is>
      </c>
      <c r="I1065" t="n">
        <v>11.5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s="2" t="inlineStr"/>
    </row>
    <row r="1066" ht="15" customHeight="1">
      <c r="A1066" t="inlineStr">
        <is>
          <t>A 52856-2023</t>
        </is>
      </c>
      <c r="B1066" t="inlineStr">
        <is>
          <t>avverkningsanmälan</t>
        </is>
      </c>
      <c r="C1066" t="inlineStr">
        <is>
          <t>Avverkning för annat ändamål</t>
        </is>
      </c>
      <c r="D1066" s="1" t="n">
        <v>45226</v>
      </c>
      <c r="E1066" s="1" t="n">
        <v>46314</v>
      </c>
      <c r="F1066" t="inlineStr">
        <is>
          <t>DALARNAS LÄN</t>
        </is>
      </c>
      <c r="G1066" t="inlineStr">
        <is>
          <t>FALUN</t>
        </is>
      </c>
      <c r="I1066" t="n">
        <v>3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s="2" t="inlineStr"/>
    </row>
    <row r="1067" ht="15" customHeight="1">
      <c r="A1067" t="inlineStr">
        <is>
          <t>A 11140-2026</t>
        </is>
      </c>
      <c r="B1067" t="inlineStr">
        <is>
          <t>avverkningsanmälan</t>
        </is>
      </c>
      <c r="C1067" t="inlineStr">
        <is>
          <t>Föryngringsavverkning</t>
        </is>
      </c>
      <c r="D1067" s="1" t="n">
        <v>46079</v>
      </c>
      <c r="E1067" s="1" t="n">
        <v>46314</v>
      </c>
      <c r="F1067" t="inlineStr">
        <is>
          <t>DALARNAS LÄN</t>
        </is>
      </c>
      <c r="G1067" t="inlineStr">
        <is>
          <t>FALUN</t>
        </is>
      </c>
      <c r="I1067" t="n">
        <v>6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s="2" t="inlineStr"/>
    </row>
    <row r="1068" ht="15" customHeight="1">
      <c r="A1068" t="inlineStr">
        <is>
          <t>A 26828-2026</t>
        </is>
      </c>
      <c r="B1068" t="inlineStr">
        <is>
          <t>avverkningsanmälan</t>
        </is>
      </c>
      <c r="C1068" t="inlineStr">
        <is>
          <t>Föryngringsavverkning</t>
        </is>
      </c>
      <c r="D1068" s="1" t="n">
        <v>46185</v>
      </c>
      <c r="E1068" s="1" t="n">
        <v>46314</v>
      </c>
      <c r="F1068" t="inlineStr">
        <is>
          <t>DALARNAS LÄN</t>
        </is>
      </c>
      <c r="G1068" t="inlineStr">
        <is>
          <t>FALUN</t>
        </is>
      </c>
      <c r="I1068" t="n">
        <v>0.8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s="2" t="inlineStr"/>
    </row>
    <row r="1069" ht="15" customHeight="1">
      <c r="A1069" t="inlineStr">
        <is>
          <t>A 26832-2026</t>
        </is>
      </c>
      <c r="B1069" t="inlineStr">
        <is>
          <t>avverkningsanmälan</t>
        </is>
      </c>
      <c r="C1069" t="inlineStr">
        <is>
          <t>Föryngringsavverkning</t>
        </is>
      </c>
      <c r="D1069" s="1" t="n">
        <v>46185</v>
      </c>
      <c r="E1069" s="1" t="n">
        <v>46314</v>
      </c>
      <c r="F1069" t="inlineStr">
        <is>
          <t>DALARNAS LÄN</t>
        </is>
      </c>
      <c r="G1069" t="inlineStr">
        <is>
          <t>FALUN</t>
        </is>
      </c>
      <c r="I1069" t="n">
        <v>0.6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s="2" t="inlineStr"/>
    </row>
    <row r="1070" ht="15" customHeight="1">
      <c r="A1070" t="inlineStr">
        <is>
          <t>A 2463-2024</t>
        </is>
      </c>
      <c r="B1070" t="inlineStr">
        <is>
          <t>avverkningsanmälan</t>
        </is>
      </c>
      <c r="C1070" t="inlineStr">
        <is>
          <t>Föryngringsavverkning</t>
        </is>
      </c>
      <c r="D1070" s="1" t="n">
        <v>45313</v>
      </c>
      <c r="E1070" s="1" t="n">
        <v>46314</v>
      </c>
      <c r="F1070" t="inlineStr">
        <is>
          <t>DALARNAS LÄN</t>
        </is>
      </c>
      <c r="G1070" t="inlineStr">
        <is>
          <t>FALUN</t>
        </is>
      </c>
      <c r="I1070" t="n">
        <v>4.4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s="2" t="inlineStr"/>
    </row>
    <row r="1071" ht="15" customHeight="1">
      <c r="A1071" t="inlineStr">
        <is>
          <t>A 11156-2026</t>
        </is>
      </c>
      <c r="B1071" t="inlineStr">
        <is>
          <t>avverkningsanmälan</t>
        </is>
      </c>
      <c r="C1071" t="inlineStr">
        <is>
          <t>Föryngringsavverkning</t>
        </is>
      </c>
      <c r="D1071" s="1" t="n">
        <v>46080</v>
      </c>
      <c r="E1071" s="1" t="n">
        <v>46314</v>
      </c>
      <c r="F1071" t="inlineStr">
        <is>
          <t>DALARNAS LÄN</t>
        </is>
      </c>
      <c r="G1071" t="inlineStr">
        <is>
          <t>FALUN</t>
        </is>
      </c>
      <c r="I1071" t="n">
        <v>5.3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s="2" t="inlineStr"/>
    </row>
    <row r="1072" ht="15" customHeight="1">
      <c r="A1072" t="inlineStr">
        <is>
          <t>A 27145-2026</t>
        </is>
      </c>
      <c r="B1072" t="inlineStr">
        <is>
          <t>avverkningsanmälan</t>
        </is>
      </c>
      <c r="C1072" t="inlineStr">
        <is>
          <t>Föryngringsavverkning</t>
        </is>
      </c>
      <c r="D1072" s="1" t="n">
        <v>46188</v>
      </c>
      <c r="E1072" s="1" t="n">
        <v>46314</v>
      </c>
      <c r="F1072" t="inlineStr">
        <is>
          <t>DALARNAS LÄN</t>
        </is>
      </c>
      <c r="G1072" t="inlineStr">
        <is>
          <t>FALUN</t>
        </is>
      </c>
      <c r="I1072" t="n">
        <v>1.9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s="2" t="inlineStr"/>
    </row>
    <row r="1073" ht="15" customHeight="1">
      <c r="A1073" t="inlineStr">
        <is>
          <t>A 63312-2023</t>
        </is>
      </c>
      <c r="B1073" t="inlineStr">
        <is>
          <t>avverkningsanmälan</t>
        </is>
      </c>
      <c r="C1073" t="inlineStr">
        <is>
          <t>Föryngringsavverkning</t>
        </is>
      </c>
      <c r="D1073" s="1" t="n">
        <v>45274</v>
      </c>
      <c r="E1073" s="1" t="n">
        <v>46314</v>
      </c>
      <c r="F1073" t="inlineStr">
        <is>
          <t>DALARNAS LÄN</t>
        </is>
      </c>
      <c r="G1073" t="inlineStr">
        <is>
          <t>FALUN</t>
        </is>
      </c>
      <c r="I1073" t="n">
        <v>16.2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s="2" t="inlineStr"/>
    </row>
    <row r="1074" ht="15" customHeight="1">
      <c r="A1074" t="inlineStr">
        <is>
          <t>A 11080-2026</t>
        </is>
      </c>
      <c r="B1074" t="inlineStr">
        <is>
          <t>avverkningsanmälan</t>
        </is>
      </c>
      <c r="C1074" t="inlineStr">
        <is>
          <t>Föryngringsavverkning</t>
        </is>
      </c>
      <c r="D1074" s="1" t="n">
        <v>46079</v>
      </c>
      <c r="E1074" s="1" t="n">
        <v>46314</v>
      </c>
      <c r="F1074" t="inlineStr">
        <is>
          <t>DALARNAS LÄN</t>
        </is>
      </c>
      <c r="G1074" t="inlineStr">
        <is>
          <t>FALUN</t>
        </is>
      </c>
      <c r="I1074" t="n">
        <v>1.6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s="2" t="inlineStr"/>
    </row>
    <row r="1075" ht="15" customHeight="1">
      <c r="A1075" t="inlineStr">
        <is>
          <t>A 11270-2026</t>
        </is>
      </c>
      <c r="B1075" t="inlineStr">
        <is>
          <t>avverkningsanmälan</t>
        </is>
      </c>
      <c r="C1075" t="inlineStr">
        <is>
          <t>Föryngringsavverkning</t>
        </is>
      </c>
      <c r="D1075" s="1" t="n">
        <v>46080</v>
      </c>
      <c r="E1075" s="1" t="n">
        <v>46314</v>
      </c>
      <c r="F1075" t="inlineStr">
        <is>
          <t>DALARNAS LÄN</t>
        </is>
      </c>
      <c r="G1075" t="inlineStr">
        <is>
          <t>FALUN</t>
        </is>
      </c>
      <c r="I1075" t="n">
        <v>3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s="2" t="inlineStr"/>
    </row>
    <row r="1076" ht="15" customHeight="1">
      <c r="A1076" t="inlineStr">
        <is>
          <t>A 11306-2026</t>
        </is>
      </c>
      <c r="B1076" t="inlineStr">
        <is>
          <t>avverkningsanmälan</t>
        </is>
      </c>
      <c r="C1076" t="inlineStr">
        <is>
          <t>Föryngringsavverkning</t>
        </is>
      </c>
      <c r="D1076" s="1" t="n">
        <v>46080</v>
      </c>
      <c r="E1076" s="1" t="n">
        <v>46314</v>
      </c>
      <c r="F1076" t="inlineStr">
        <is>
          <t>DALARNAS LÄN</t>
        </is>
      </c>
      <c r="G1076" t="inlineStr">
        <is>
          <t>FALUN</t>
        </is>
      </c>
      <c r="I1076" t="n">
        <v>0.5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s="2" t="inlineStr"/>
    </row>
    <row r="1077" ht="15" customHeight="1">
      <c r="A1077" t="inlineStr">
        <is>
          <t>A 11265-2026</t>
        </is>
      </c>
      <c r="B1077" t="inlineStr">
        <is>
          <t>avverkningsanmälan</t>
        </is>
      </c>
      <c r="C1077" t="inlineStr">
        <is>
          <t>Föryngringsavverkning</t>
        </is>
      </c>
      <c r="D1077" s="1" t="n">
        <v>46080</v>
      </c>
      <c r="E1077" s="1" t="n">
        <v>46314</v>
      </c>
      <c r="F1077" t="inlineStr">
        <is>
          <t>DALARNAS LÄN</t>
        </is>
      </c>
      <c r="G1077" t="inlineStr">
        <is>
          <t>FALUN</t>
        </is>
      </c>
      <c r="I1077" t="n">
        <v>10.4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s="2" t="inlineStr"/>
    </row>
    <row r="1078" ht="15" customHeight="1">
      <c r="A1078" t="inlineStr">
        <is>
          <t>A 11275-2026</t>
        </is>
      </c>
      <c r="B1078" t="inlineStr">
        <is>
          <t>avverkningsanmälan</t>
        </is>
      </c>
      <c r="C1078" t="inlineStr">
        <is>
          <t>Föryngringsavverkning</t>
        </is>
      </c>
      <c r="D1078" s="1" t="n">
        <v>46080</v>
      </c>
      <c r="E1078" s="1" t="n">
        <v>46314</v>
      </c>
      <c r="F1078" t="inlineStr">
        <is>
          <t>DALARNAS LÄN</t>
        </is>
      </c>
      <c r="G1078" t="inlineStr">
        <is>
          <t>FALUN</t>
        </is>
      </c>
      <c r="I1078" t="n">
        <v>0.9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s="2" t="inlineStr"/>
    </row>
    <row r="1079" ht="15" customHeight="1">
      <c r="A1079" t="inlineStr">
        <is>
          <t>A 11050-2026</t>
        </is>
      </c>
      <c r="B1079" t="inlineStr">
        <is>
          <t>avverkningsanmälan</t>
        </is>
      </c>
      <c r="C1079" t="inlineStr">
        <is>
          <t>Föryngringsavverkning</t>
        </is>
      </c>
      <c r="D1079" s="1" t="n">
        <v>46079</v>
      </c>
      <c r="E1079" s="1" t="n">
        <v>46314</v>
      </c>
      <c r="F1079" t="inlineStr">
        <is>
          <t>DALARNAS LÄN</t>
        </is>
      </c>
      <c r="G1079" t="inlineStr">
        <is>
          <t>FALUN</t>
        </is>
      </c>
      <c r="I1079" t="n">
        <v>1.6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s="2" t="inlineStr"/>
    </row>
    <row r="1080" ht="15" customHeight="1">
      <c r="A1080" t="inlineStr">
        <is>
          <t>A 11481-2026</t>
        </is>
      </c>
      <c r="B1080" t="inlineStr">
        <is>
          <t>avverkningsanmälan</t>
        </is>
      </c>
      <c r="C1080" t="inlineStr">
        <is>
          <t>Föryngringsavverkning</t>
        </is>
      </c>
      <c r="D1080" s="1" t="n">
        <v>46083</v>
      </c>
      <c r="E1080" s="1" t="n">
        <v>46314</v>
      </c>
      <c r="F1080" t="inlineStr">
        <is>
          <t>DALARNAS LÄN</t>
        </is>
      </c>
      <c r="G1080" t="inlineStr">
        <is>
          <t>FALUN</t>
        </is>
      </c>
      <c r="I1080" t="n">
        <v>1.4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s="2" t="inlineStr"/>
    </row>
    <row r="1081" ht="15" customHeight="1">
      <c r="A1081" t="inlineStr">
        <is>
          <t>A 1465-2026</t>
        </is>
      </c>
      <c r="B1081" t="inlineStr">
        <is>
          <t>avverkningsanmälan</t>
        </is>
      </c>
      <c r="C1081" t="inlineStr">
        <is>
          <t>Föryngringsavverkning</t>
        </is>
      </c>
      <c r="D1081" s="1" t="n">
        <v>46033</v>
      </c>
      <c r="E1081" s="1" t="n">
        <v>46314</v>
      </c>
      <c r="F1081" t="inlineStr">
        <is>
          <t>DALARNAS LÄN</t>
        </is>
      </c>
      <c r="G1081" t="inlineStr">
        <is>
          <t>FALUN</t>
        </is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s="2" t="inlineStr"/>
    </row>
    <row r="1082" ht="15" customHeight="1">
      <c r="A1082" t="inlineStr">
        <is>
          <t>A 11598-2026</t>
        </is>
      </c>
      <c r="B1082" t="inlineStr">
        <is>
          <t>avverkningsanmälan</t>
        </is>
      </c>
      <c r="C1082" t="inlineStr">
        <is>
          <t>Föryngringsavverkning</t>
        </is>
      </c>
      <c r="D1082" s="1" t="n">
        <v>46084</v>
      </c>
      <c r="E1082" s="1" t="n">
        <v>46314</v>
      </c>
      <c r="F1082" t="inlineStr">
        <is>
          <t>DALARNAS LÄN</t>
        </is>
      </c>
      <c r="G1082" t="inlineStr">
        <is>
          <t>FALUN</t>
        </is>
      </c>
      <c r="I1082" t="n">
        <v>9.9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s="2" t="inlineStr"/>
    </row>
    <row r="1083" ht="15" customHeight="1">
      <c r="A1083" t="inlineStr">
        <is>
          <t>A 11387-2026</t>
        </is>
      </c>
      <c r="B1083" t="inlineStr">
        <is>
          <t>avverkningsanmälan</t>
        </is>
      </c>
      <c r="C1083" t="inlineStr">
        <is>
          <t>Föryngringsavverkning</t>
        </is>
      </c>
      <c r="D1083" s="1" t="n">
        <v>46083</v>
      </c>
      <c r="E1083" s="1" t="n">
        <v>46314</v>
      </c>
      <c r="F1083" t="inlineStr">
        <is>
          <t>DALARNAS LÄN</t>
        </is>
      </c>
      <c r="G1083" t="inlineStr">
        <is>
          <t>FALUN</t>
        </is>
      </c>
      <c r="I1083" t="n">
        <v>1.7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s="2" t="inlineStr"/>
    </row>
    <row r="1084" ht="15" customHeight="1">
      <c r="A1084" t="inlineStr">
        <is>
          <t>A 1308-2026</t>
        </is>
      </c>
      <c r="B1084" t="inlineStr">
        <is>
          <t>avverkningsanmälan</t>
        </is>
      </c>
      <c r="C1084" t="inlineStr">
        <is>
          <t>Föryngringsavverkning</t>
        </is>
      </c>
      <c r="D1084" s="1" t="n">
        <v>46031</v>
      </c>
      <c r="E1084" s="1" t="n">
        <v>46314</v>
      </c>
      <c r="F1084" t="inlineStr">
        <is>
          <t>DALARNAS LÄN</t>
        </is>
      </c>
      <c r="G1084" t="inlineStr">
        <is>
          <t>FALUN</t>
        </is>
      </c>
      <c r="I1084" t="n">
        <v>9.5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s="2" t="inlineStr"/>
    </row>
    <row r="1085" ht="15" customHeight="1">
      <c r="A1085" t="inlineStr">
        <is>
          <t>A 53640-2024</t>
        </is>
      </c>
      <c r="B1085" t="inlineStr">
        <is>
          <t>avverkningsanmälan</t>
        </is>
      </c>
      <c r="C1085" t="inlineStr">
        <is>
          <t>Föryngringsavverkning</t>
        </is>
      </c>
      <c r="D1085" s="1" t="n">
        <v>45614</v>
      </c>
      <c r="E1085" s="1" t="n">
        <v>46314</v>
      </c>
      <c r="F1085" t="inlineStr">
        <is>
          <t>DALARNAS LÄN</t>
        </is>
      </c>
      <c r="G1085" t="inlineStr">
        <is>
          <t>FALUN</t>
        </is>
      </c>
      <c r="I1085" t="n">
        <v>3.9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s="2" t="inlineStr"/>
    </row>
    <row r="1086" ht="15" customHeight="1">
      <c r="A1086" t="inlineStr">
        <is>
          <t>A 3209-2022</t>
        </is>
      </c>
      <c r="B1086" t="inlineStr">
        <is>
          <t>avverkningsanmälan</t>
        </is>
      </c>
      <c r="C1086" t="inlineStr">
        <is>
          <t>Föryngringsavverkning</t>
        </is>
      </c>
      <c r="D1086" s="1" t="n">
        <v>44582</v>
      </c>
      <c r="E1086" s="1" t="n">
        <v>46314</v>
      </c>
      <c r="F1086" t="inlineStr">
        <is>
          <t>DALARNAS LÄN</t>
        </is>
      </c>
      <c r="G1086" t="inlineStr">
        <is>
          <t>FALUN</t>
        </is>
      </c>
      <c r="I1086" t="n">
        <v>0.7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s="2" t="inlineStr"/>
    </row>
    <row r="1087" ht="15" customHeight="1">
      <c r="A1087" t="inlineStr">
        <is>
          <t>A 11347-2026</t>
        </is>
      </c>
      <c r="B1087" t="inlineStr">
        <is>
          <t>avverkningsanmälan</t>
        </is>
      </c>
      <c r="C1087" t="inlineStr">
        <is>
          <t>Föryngringsavverkning</t>
        </is>
      </c>
      <c r="D1087" s="1" t="n">
        <v>46082</v>
      </c>
      <c r="E1087" s="1" t="n">
        <v>46314</v>
      </c>
      <c r="F1087" t="inlineStr">
        <is>
          <t>DALARNAS LÄN</t>
        </is>
      </c>
      <c r="G1087" t="inlineStr">
        <is>
          <t>FALUN</t>
        </is>
      </c>
      <c r="I1087" t="n">
        <v>2.2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s="2" t="inlineStr"/>
    </row>
    <row r="1088" ht="15" customHeight="1">
      <c r="A1088" t="inlineStr">
        <is>
          <t>A 11330-2026</t>
        </is>
      </c>
      <c r="B1088" t="inlineStr">
        <is>
          <t>avverkningsanmälan</t>
        </is>
      </c>
      <c r="C1088" t="inlineStr">
        <is>
          <t>Föryngringsavverkning</t>
        </is>
      </c>
      <c r="D1088" s="1" t="n">
        <v>46081</v>
      </c>
      <c r="E1088" s="1" t="n">
        <v>46314</v>
      </c>
      <c r="F1088" t="inlineStr">
        <is>
          <t>DALARNAS LÄN</t>
        </is>
      </c>
      <c r="G1088" t="inlineStr">
        <is>
          <t>FALUN</t>
        </is>
      </c>
      <c r="I1088" t="n">
        <v>0.9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s="2" t="inlineStr"/>
    </row>
    <row r="1089" ht="15" customHeight="1">
      <c r="A1089" t="inlineStr">
        <is>
          <t>A 11455-2026</t>
        </is>
      </c>
      <c r="B1089" t="inlineStr">
        <is>
          <t>avverkningsanmälan</t>
        </is>
      </c>
      <c r="C1089" t="inlineStr">
        <is>
          <t>Föryngringsavverkning</t>
        </is>
      </c>
      <c r="D1089" s="1" t="n">
        <v>46083</v>
      </c>
      <c r="E1089" s="1" t="n">
        <v>46314</v>
      </c>
      <c r="F1089" t="inlineStr">
        <is>
          <t>DALARNAS LÄN</t>
        </is>
      </c>
      <c r="G1089" t="inlineStr">
        <is>
          <t>FALUN</t>
        </is>
      </c>
      <c r="I1089" t="n">
        <v>3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s="2" t="inlineStr"/>
    </row>
    <row r="1090" ht="15" customHeight="1">
      <c r="A1090" t="inlineStr">
        <is>
          <t>A 11930-2026</t>
        </is>
      </c>
      <c r="B1090" t="inlineStr">
        <is>
          <t>avverkningsanmälan</t>
        </is>
      </c>
      <c r="C1090" t="inlineStr">
        <is>
          <t>Föryngringsavverkning</t>
        </is>
      </c>
      <c r="D1090" s="1" t="n">
        <v>46085</v>
      </c>
      <c r="E1090" s="1" t="n">
        <v>46314</v>
      </c>
      <c r="F1090" t="inlineStr">
        <is>
          <t>DALARNAS LÄN</t>
        </is>
      </c>
      <c r="G1090" t="inlineStr">
        <is>
          <t>FALUN</t>
        </is>
      </c>
      <c r="I1090" t="n">
        <v>0.5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s="2" t="inlineStr"/>
    </row>
    <row r="1091" ht="15" customHeight="1">
      <c r="A1091" t="inlineStr">
        <is>
          <t>A 11972-2026</t>
        </is>
      </c>
      <c r="B1091" t="inlineStr">
        <is>
          <t>avverkningsanmälan</t>
        </is>
      </c>
      <c r="C1091" t="inlineStr">
        <is>
          <t>Föryngringsavverkning</t>
        </is>
      </c>
      <c r="D1091" s="1" t="n">
        <v>46085</v>
      </c>
      <c r="E1091" s="1" t="n">
        <v>46314</v>
      </c>
      <c r="F1091" t="inlineStr">
        <is>
          <t>DALARNAS LÄN</t>
        </is>
      </c>
      <c r="G1091" t="inlineStr">
        <is>
          <t>FALUN</t>
        </is>
      </c>
      <c r="I1091" t="n">
        <v>5.7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s="2" t="inlineStr"/>
    </row>
    <row r="1092" ht="15" customHeight="1">
      <c r="A1092" t="inlineStr">
        <is>
          <t>A 12094-2026</t>
        </is>
      </c>
      <c r="B1092" t="inlineStr">
        <is>
          <t>avverkningsanmälan</t>
        </is>
      </c>
      <c r="C1092" t="inlineStr">
        <is>
          <t>Föryngringsavverkning</t>
        </is>
      </c>
      <c r="D1092" s="1" t="n">
        <v>46086</v>
      </c>
      <c r="E1092" s="1" t="n">
        <v>46314</v>
      </c>
      <c r="F1092" t="inlineStr">
        <is>
          <t>DALARNAS LÄN</t>
        </is>
      </c>
      <c r="G1092" t="inlineStr">
        <is>
          <t>FALUN</t>
        </is>
      </c>
      <c r="H1092" t="inlineStr">
        <is>
          <t>Bergvik skog väst AB</t>
        </is>
      </c>
      <c r="I1092" t="n">
        <v>1.3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s="2" t="inlineStr"/>
    </row>
    <row r="1093" ht="15" customHeight="1">
      <c r="A1093" t="inlineStr">
        <is>
          <t>A 27626-2026</t>
        </is>
      </c>
      <c r="B1093" t="inlineStr">
        <is>
          <t>avverkningsanmälan</t>
        </is>
      </c>
      <c r="C1093" t="inlineStr">
        <is>
          <t>Föryngringsavverkning</t>
        </is>
      </c>
      <c r="D1093" s="1" t="n">
        <v>46190</v>
      </c>
      <c r="E1093" s="1" t="n">
        <v>46314</v>
      </c>
      <c r="F1093" t="inlineStr">
        <is>
          <t>DALARNAS LÄN</t>
        </is>
      </c>
      <c r="G1093" t="inlineStr">
        <is>
          <t>FALUN</t>
        </is>
      </c>
      <c r="H1093" t="inlineStr">
        <is>
          <t>Bergvik skog väst AB</t>
        </is>
      </c>
      <c r="I1093" t="n">
        <v>6.4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s="2" t="inlineStr"/>
    </row>
    <row r="1094" ht="15" customHeight="1">
      <c r="A1094" t="inlineStr">
        <is>
          <t>A 12041-2026</t>
        </is>
      </c>
      <c r="B1094" t="inlineStr">
        <is>
          <t>avverkningsanmälan</t>
        </is>
      </c>
      <c r="C1094" t="inlineStr">
        <is>
          <t>Föryngringsavverkning</t>
        </is>
      </c>
      <c r="D1094" s="1" t="n">
        <v>46086</v>
      </c>
      <c r="E1094" s="1" t="n">
        <v>46314</v>
      </c>
      <c r="F1094" t="inlineStr">
        <is>
          <t>DALARNAS LÄN</t>
        </is>
      </c>
      <c r="G1094" t="inlineStr">
        <is>
          <t>FALUN</t>
        </is>
      </c>
      <c r="I1094" t="n">
        <v>0.6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s="2" t="inlineStr"/>
    </row>
    <row r="1095" ht="15" customHeight="1">
      <c r="A1095" t="inlineStr">
        <is>
          <t>A 12507-2026</t>
        </is>
      </c>
      <c r="B1095" t="inlineStr">
        <is>
          <t>avverkningsanmälan</t>
        </is>
      </c>
      <c r="C1095" t="inlineStr">
        <is>
          <t>Föryngringsavverkning</t>
        </is>
      </c>
      <c r="D1095" s="1" t="n">
        <v>46090</v>
      </c>
      <c r="E1095" s="1" t="n">
        <v>46314</v>
      </c>
      <c r="F1095" t="inlineStr">
        <is>
          <t>DALARNAS LÄN</t>
        </is>
      </c>
      <c r="G1095" t="inlineStr">
        <is>
          <t>FALUN</t>
        </is>
      </c>
      <c r="I1095" t="n">
        <v>1.2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s="2" t="inlineStr"/>
    </row>
    <row r="1096" ht="15" customHeight="1">
      <c r="A1096" t="inlineStr">
        <is>
          <t>A 12689-2026</t>
        </is>
      </c>
      <c r="B1096" t="inlineStr">
        <is>
          <t>avverkningsanmälan</t>
        </is>
      </c>
      <c r="C1096" t="inlineStr">
        <is>
          <t>Föryngringsavverkning</t>
        </is>
      </c>
      <c r="D1096" s="1" t="n">
        <v>46090</v>
      </c>
      <c r="E1096" s="1" t="n">
        <v>46314</v>
      </c>
      <c r="F1096" t="inlineStr">
        <is>
          <t>DALARNAS LÄN</t>
        </is>
      </c>
      <c r="G1096" t="inlineStr">
        <is>
          <t>FALUN</t>
        </is>
      </c>
      <c r="H1096" t="inlineStr">
        <is>
          <t>Allmännings- och besparingsskogar</t>
        </is>
      </c>
      <c r="I1096" t="n">
        <v>122.4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s="2" t="inlineStr"/>
    </row>
    <row r="1097" ht="15" customHeight="1">
      <c r="A1097" t="inlineStr">
        <is>
          <t>A 12542-2026</t>
        </is>
      </c>
      <c r="B1097" t="inlineStr">
        <is>
          <t>avverkningsanmälan</t>
        </is>
      </c>
      <c r="C1097" t="inlineStr">
        <is>
          <t>Föryngringsavverkning</t>
        </is>
      </c>
      <c r="D1097" s="1" t="n">
        <v>46090</v>
      </c>
      <c r="E1097" s="1" t="n">
        <v>46314</v>
      </c>
      <c r="F1097" t="inlineStr">
        <is>
          <t>DALARNAS LÄN</t>
        </is>
      </c>
      <c r="G1097" t="inlineStr">
        <is>
          <t>FALUN</t>
        </is>
      </c>
      <c r="I1097" t="n">
        <v>5.8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s="2" t="inlineStr"/>
    </row>
    <row r="1098" ht="15" customHeight="1">
      <c r="A1098" t="inlineStr">
        <is>
          <t>A 12195-2026</t>
        </is>
      </c>
      <c r="B1098" t="inlineStr">
        <is>
          <t>avverkningsanmälan</t>
        </is>
      </c>
      <c r="C1098" t="inlineStr">
        <is>
          <t>Föryngringsavverkning</t>
        </is>
      </c>
      <c r="D1098" s="1" t="n">
        <v>46086</v>
      </c>
      <c r="E1098" s="1" t="n">
        <v>46314</v>
      </c>
      <c r="F1098" t="inlineStr">
        <is>
          <t>DALARNAS LÄN</t>
        </is>
      </c>
      <c r="G1098" t="inlineStr">
        <is>
          <t>FALUN</t>
        </is>
      </c>
      <c r="I1098" t="n">
        <v>3.6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s="2" t="inlineStr"/>
    </row>
    <row r="1099" ht="15" customHeight="1">
      <c r="A1099" t="inlineStr">
        <is>
          <t>A 12245-2026</t>
        </is>
      </c>
      <c r="B1099" t="inlineStr">
        <is>
          <t>avverkningsanmälan</t>
        </is>
      </c>
      <c r="C1099" t="inlineStr">
        <is>
          <t>Föryngringsavverkning</t>
        </is>
      </c>
      <c r="D1099" s="1" t="n">
        <v>46087</v>
      </c>
      <c r="E1099" s="1" t="n">
        <v>46314</v>
      </c>
      <c r="F1099" t="inlineStr">
        <is>
          <t>DALARNAS LÄN</t>
        </is>
      </c>
      <c r="G1099" t="inlineStr">
        <is>
          <t>FALUN</t>
        </is>
      </c>
      <c r="I1099" t="n">
        <v>4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s="2" t="inlineStr"/>
    </row>
    <row r="1100" ht="15" customHeight="1">
      <c r="A1100" t="inlineStr">
        <is>
          <t>A 12504-2026</t>
        </is>
      </c>
      <c r="B1100" t="inlineStr">
        <is>
          <t>avverkningsanmälan</t>
        </is>
      </c>
      <c r="C1100" t="inlineStr">
        <is>
          <t>Föryngringsavverkning</t>
        </is>
      </c>
      <c r="D1100" s="1" t="n">
        <v>46090</v>
      </c>
      <c r="E1100" s="1" t="n">
        <v>46314</v>
      </c>
      <c r="F1100" t="inlineStr">
        <is>
          <t>DALARNAS LÄN</t>
        </is>
      </c>
      <c r="G1100" t="inlineStr">
        <is>
          <t>FALUN</t>
        </is>
      </c>
      <c r="I1100" t="n">
        <v>3.6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s="2" t="inlineStr"/>
    </row>
    <row r="1101" ht="15" customHeight="1">
      <c r="A1101" t="inlineStr">
        <is>
          <t>A 10318-2024</t>
        </is>
      </c>
      <c r="B1101" t="inlineStr">
        <is>
          <t>avverkningsanmälan</t>
        </is>
      </c>
      <c r="C1101" t="inlineStr">
        <is>
          <t>Föryngringsavverkning</t>
        </is>
      </c>
      <c r="D1101" s="1" t="n">
        <v>45365</v>
      </c>
      <c r="E1101" s="1" t="n">
        <v>46314</v>
      </c>
      <c r="F1101" t="inlineStr">
        <is>
          <t>DALARNAS LÄN</t>
        </is>
      </c>
      <c r="G1101" t="inlineStr">
        <is>
          <t>FALUN</t>
        </is>
      </c>
      <c r="I1101" t="n">
        <v>1.2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s="2" t="inlineStr"/>
    </row>
    <row r="1102" ht="15" customHeight="1">
      <c r="A1102" t="inlineStr">
        <is>
          <t>A 12695-2026</t>
        </is>
      </c>
      <c r="B1102" t="inlineStr">
        <is>
          <t>avverkningsanmälan</t>
        </is>
      </c>
      <c r="C1102" t="inlineStr">
        <is>
          <t>Föryngringsavverkning</t>
        </is>
      </c>
      <c r="D1102" s="1" t="n">
        <v>46090</v>
      </c>
      <c r="E1102" s="1" t="n">
        <v>46314</v>
      </c>
      <c r="F1102" t="inlineStr">
        <is>
          <t>DALARNAS LÄN</t>
        </is>
      </c>
      <c r="G1102" t="inlineStr">
        <is>
          <t>FALUN</t>
        </is>
      </c>
      <c r="H1102" t="inlineStr">
        <is>
          <t>Allmännings- och besparingsskogar</t>
        </is>
      </c>
      <c r="I1102" t="n">
        <v>9.4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s="2" t="inlineStr"/>
    </row>
    <row r="1103" ht="15" customHeight="1">
      <c r="A1103" t="inlineStr">
        <is>
          <t>A 12397-2026</t>
        </is>
      </c>
      <c r="B1103" t="inlineStr">
        <is>
          <t>avverkningsanmälan</t>
        </is>
      </c>
      <c r="C1103" t="inlineStr">
        <is>
          <t>Föryngringsavverkning</t>
        </is>
      </c>
      <c r="D1103" s="1" t="n">
        <v>46087</v>
      </c>
      <c r="E1103" s="1" t="n">
        <v>46314</v>
      </c>
      <c r="F1103" t="inlineStr">
        <is>
          <t>DALARNAS LÄN</t>
        </is>
      </c>
      <c r="G1103" t="inlineStr">
        <is>
          <t>FALUN</t>
        </is>
      </c>
      <c r="H1103" t="inlineStr">
        <is>
          <t>Allmännings- och besparingsskogar</t>
        </is>
      </c>
      <c r="I1103" t="n">
        <v>44.4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s="2" t="inlineStr"/>
    </row>
    <row r="1104" ht="15" customHeight="1">
      <c r="A1104" t="inlineStr">
        <is>
          <t>A 12483-2026</t>
        </is>
      </c>
      <c r="B1104" t="inlineStr">
        <is>
          <t>avverkningsanmälan</t>
        </is>
      </c>
      <c r="C1104" t="inlineStr">
        <is>
          <t>Föryngringsavverkning</t>
        </is>
      </c>
      <c r="D1104" s="1" t="n">
        <v>46090</v>
      </c>
      <c r="E1104" s="1" t="n">
        <v>46314</v>
      </c>
      <c r="F1104" t="inlineStr">
        <is>
          <t>DALARNAS LÄN</t>
        </is>
      </c>
      <c r="G1104" t="inlineStr">
        <is>
          <t>FALUN</t>
        </is>
      </c>
      <c r="H1104" t="inlineStr">
        <is>
          <t>Bergvik skog väst AB</t>
        </is>
      </c>
      <c r="I1104" t="n">
        <v>38.7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s="2" t="inlineStr"/>
    </row>
    <row r="1105" ht="15" customHeight="1">
      <c r="A1105" t="inlineStr">
        <is>
          <t>A 27628-2026</t>
        </is>
      </c>
      <c r="B1105" t="inlineStr">
        <is>
          <t>avverkningsanmälan</t>
        </is>
      </c>
      <c r="C1105" t="inlineStr">
        <is>
          <t>Föryngringsavverkning</t>
        </is>
      </c>
      <c r="D1105" s="1" t="n">
        <v>46190</v>
      </c>
      <c r="E1105" s="1" t="n">
        <v>46314</v>
      </c>
      <c r="F1105" t="inlineStr">
        <is>
          <t>DALARNAS LÄN</t>
        </is>
      </c>
      <c r="G1105" t="inlineStr">
        <is>
          <t>FALUN</t>
        </is>
      </c>
      <c r="H1105" t="inlineStr">
        <is>
          <t>Bergvik skog väst AB</t>
        </is>
      </c>
      <c r="I1105" t="n">
        <v>0.7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s="2" t="inlineStr"/>
    </row>
    <row r="1106" ht="15" customHeight="1">
      <c r="A1106" t="inlineStr">
        <is>
          <t>A 12501-2026</t>
        </is>
      </c>
      <c r="B1106" t="inlineStr">
        <is>
          <t>avverkningsanmälan</t>
        </is>
      </c>
      <c r="C1106" t="inlineStr">
        <is>
          <t>Föryngringsavverkning</t>
        </is>
      </c>
      <c r="D1106" s="1" t="n">
        <v>46090</v>
      </c>
      <c r="E1106" s="1" t="n">
        <v>46314</v>
      </c>
      <c r="F1106" t="inlineStr">
        <is>
          <t>DALARNAS LÄN</t>
        </is>
      </c>
      <c r="G1106" t="inlineStr">
        <is>
          <t>FALUN</t>
        </is>
      </c>
      <c r="I1106" t="n">
        <v>1.7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s="2" t="inlineStr"/>
    </row>
    <row r="1107" ht="15" customHeight="1">
      <c r="A1107" t="inlineStr">
        <is>
          <t>A 11579-2024</t>
        </is>
      </c>
      <c r="B1107" t="inlineStr">
        <is>
          <t>avverkningsanmälan</t>
        </is>
      </c>
      <c r="C1107" t="inlineStr">
        <is>
          <t>Föryngringsavverkning</t>
        </is>
      </c>
      <c r="D1107" s="1" t="n">
        <v>45373</v>
      </c>
      <c r="E1107" s="1" t="n">
        <v>46314</v>
      </c>
      <c r="F1107" t="inlineStr">
        <is>
          <t>DALARNAS LÄN</t>
        </is>
      </c>
      <c r="G1107" t="inlineStr">
        <is>
          <t>FALUN</t>
        </is>
      </c>
      <c r="I1107" t="n">
        <v>0.5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s="2" t="inlineStr"/>
    </row>
    <row r="1108" ht="15" customHeight="1">
      <c r="A1108" t="inlineStr">
        <is>
          <t>A 11584-2024</t>
        </is>
      </c>
      <c r="B1108" t="inlineStr">
        <is>
          <t>avverkningsanmälan</t>
        </is>
      </c>
      <c r="C1108" t="inlineStr">
        <is>
          <t>Föryngringsavverkning</t>
        </is>
      </c>
      <c r="D1108" s="1" t="n">
        <v>45373</v>
      </c>
      <c r="E1108" s="1" t="n">
        <v>46314</v>
      </c>
      <c r="F1108" t="inlineStr">
        <is>
          <t>DALARNAS LÄN</t>
        </is>
      </c>
      <c r="G1108" t="inlineStr">
        <is>
          <t>FALUN</t>
        </is>
      </c>
      <c r="H1108" t="inlineStr">
        <is>
          <t>Bergvik skog väst AB</t>
        </is>
      </c>
      <c r="I1108" t="n">
        <v>2.3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s="2" t="inlineStr"/>
    </row>
    <row r="1109" ht="15" customHeight="1">
      <c r="A1109" t="inlineStr">
        <is>
          <t>A 56136-2024</t>
        </is>
      </c>
      <c r="B1109" t="inlineStr">
        <is>
          <t>avverkningsanmälan</t>
        </is>
      </c>
      <c r="C1109" t="inlineStr">
        <is>
          <t>Föryngringsavverkning</t>
        </is>
      </c>
      <c r="D1109" s="1" t="n">
        <v>45624</v>
      </c>
      <c r="E1109" s="1" t="n">
        <v>46314</v>
      </c>
      <c r="F1109" t="inlineStr">
        <is>
          <t>DALARNAS LÄN</t>
        </is>
      </c>
      <c r="G1109" t="inlineStr">
        <is>
          <t>FALUN</t>
        </is>
      </c>
      <c r="I1109" t="n">
        <v>2.1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s="2" t="inlineStr"/>
    </row>
    <row r="1110" ht="15" customHeight="1">
      <c r="A1110" t="inlineStr">
        <is>
          <t>A 56141-2024</t>
        </is>
      </c>
      <c r="B1110" t="inlineStr">
        <is>
          <t>avverkningsanmälan</t>
        </is>
      </c>
      <c r="C1110" t="inlineStr">
        <is>
          <t>Föryngringsavverkning</t>
        </is>
      </c>
      <c r="D1110" s="1" t="n">
        <v>45624</v>
      </c>
      <c r="E1110" s="1" t="n">
        <v>46314</v>
      </c>
      <c r="F1110" t="inlineStr">
        <is>
          <t>DALARNAS LÄN</t>
        </is>
      </c>
      <c r="G1110" t="inlineStr">
        <is>
          <t>FALUN</t>
        </is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s="2" t="inlineStr"/>
    </row>
    <row r="1111" ht="15" customHeight="1">
      <c r="A1111" t="inlineStr">
        <is>
          <t>A 1-2026</t>
        </is>
      </c>
      <c r="B1111" t="inlineStr">
        <is>
          <t>avverkningsanmälan</t>
        </is>
      </c>
      <c r="C1111" t="inlineStr">
        <is>
          <t>Föryngringsavverkning</t>
        </is>
      </c>
      <c r="D1111" s="1" t="n">
        <v>46023</v>
      </c>
      <c r="E1111" s="1" t="n">
        <v>46314</v>
      </c>
      <c r="F1111" t="inlineStr">
        <is>
          <t>DALARNAS LÄN</t>
        </is>
      </c>
      <c r="G1111" t="inlineStr">
        <is>
          <t>FALUN</t>
        </is>
      </c>
      <c r="I1111" t="n">
        <v>0.8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s="2" t="inlineStr"/>
    </row>
    <row r="1112" ht="15" customHeight="1">
      <c r="A1112" t="inlineStr">
        <is>
          <t>A 27649-2026</t>
        </is>
      </c>
      <c r="B1112" t="inlineStr">
        <is>
          <t>avverkningsanmälan</t>
        </is>
      </c>
      <c r="C1112" t="inlineStr">
        <is>
          <t>Föryngringsavverkning</t>
        </is>
      </c>
      <c r="D1112" s="1" t="n">
        <v>46190</v>
      </c>
      <c r="E1112" s="1" t="n">
        <v>46314</v>
      </c>
      <c r="F1112" t="inlineStr">
        <is>
          <t>DALARNAS LÄN</t>
        </is>
      </c>
      <c r="G1112" t="inlineStr">
        <is>
          <t>FALUN</t>
        </is>
      </c>
      <c r="I1112" t="n">
        <v>0.5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s="2" t="inlineStr"/>
    </row>
    <row r="1113" ht="15" customHeight="1">
      <c r="A1113" t="inlineStr">
        <is>
          <t>A 12855-2026</t>
        </is>
      </c>
      <c r="B1113" t="inlineStr">
        <is>
          <t>avverkningsanmälan</t>
        </is>
      </c>
      <c r="C1113" t="inlineStr">
        <is>
          <t>Föryngringsavverkning</t>
        </is>
      </c>
      <c r="D1113" s="1" t="n">
        <v>46092</v>
      </c>
      <c r="E1113" s="1" t="n">
        <v>46314</v>
      </c>
      <c r="F1113" t="inlineStr">
        <is>
          <t>DALARNAS LÄN</t>
        </is>
      </c>
      <c r="G1113" t="inlineStr">
        <is>
          <t>FALUN</t>
        </is>
      </c>
      <c r="H1113" t="inlineStr">
        <is>
          <t>Bergvik skog väst AB</t>
        </is>
      </c>
      <c r="I1113" t="n">
        <v>30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s="2" t="inlineStr"/>
    </row>
    <row r="1114" ht="15" customHeight="1">
      <c r="A1114" t="inlineStr">
        <is>
          <t>A 18623-2026</t>
        </is>
      </c>
      <c r="B1114" t="inlineStr">
        <is>
          <t>avverkningsanmälan</t>
        </is>
      </c>
      <c r="C1114" t="inlineStr">
        <is>
          <t>Föryngringsavverkning</t>
        </is>
      </c>
      <c r="D1114" s="1" t="n">
        <v>46127</v>
      </c>
      <c r="E1114" s="1" t="n">
        <v>46314</v>
      </c>
      <c r="F1114" t="inlineStr">
        <is>
          <t>DALARNAS LÄN</t>
        </is>
      </c>
      <c r="G1114" t="inlineStr">
        <is>
          <t>FALUN</t>
        </is>
      </c>
      <c r="I1114" t="n">
        <v>1.7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s="2" t="inlineStr"/>
    </row>
    <row r="1115" ht="15" customHeight="1">
      <c r="A1115" t="inlineStr">
        <is>
          <t>A 21174-2026</t>
        </is>
      </c>
      <c r="B1115" t="inlineStr">
        <is>
          <t>avverkningsanmälan</t>
        </is>
      </c>
      <c r="C1115" t="inlineStr">
        <is>
          <t>Föryngringsavverkning</t>
        </is>
      </c>
      <c r="D1115" s="1" t="n">
        <v>46146</v>
      </c>
      <c r="E1115" s="1" t="n">
        <v>46314</v>
      </c>
      <c r="F1115" t="inlineStr">
        <is>
          <t>DALARNAS LÄN</t>
        </is>
      </c>
      <c r="G1115" t="inlineStr">
        <is>
          <t>FALUN</t>
        </is>
      </c>
      <c r="I1115" t="n">
        <v>1.5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s="2" t="inlineStr"/>
    </row>
    <row r="1116" ht="15" customHeight="1">
      <c r="A1116" t="inlineStr">
        <is>
          <t>A 12986-2026</t>
        </is>
      </c>
      <c r="B1116" t="inlineStr">
        <is>
          <t>avverkningsanmälan</t>
        </is>
      </c>
      <c r="C1116" t="inlineStr">
        <is>
          <t>Föryngringsavverkning</t>
        </is>
      </c>
      <c r="D1116" s="1" t="n">
        <v>46092</v>
      </c>
      <c r="E1116" s="1" t="n">
        <v>46314</v>
      </c>
      <c r="F1116" t="inlineStr">
        <is>
          <t>DALARNAS LÄN</t>
        </is>
      </c>
      <c r="G1116" t="inlineStr">
        <is>
          <t>FALUN</t>
        </is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s="2" t="inlineStr"/>
    </row>
    <row r="1117" ht="15" customHeight="1">
      <c r="A1117" t="inlineStr">
        <is>
          <t>A 2293-2026</t>
        </is>
      </c>
      <c r="B1117" t="inlineStr">
        <is>
          <t>avverkningsanmälan</t>
        </is>
      </c>
      <c r="C1117" t="inlineStr">
        <is>
          <t>Föryngringsavverkning</t>
        </is>
      </c>
      <c r="D1117" s="1" t="n">
        <v>46036</v>
      </c>
      <c r="E1117" s="1" t="n">
        <v>46314</v>
      </c>
      <c r="F1117" t="inlineStr">
        <is>
          <t>DALARNAS LÄN</t>
        </is>
      </c>
      <c r="G1117" t="inlineStr">
        <is>
          <t>FALUN</t>
        </is>
      </c>
      <c r="I1117" t="n">
        <v>1.9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s="2" t="inlineStr"/>
    </row>
    <row r="1118" ht="15" customHeight="1">
      <c r="A1118" t="inlineStr">
        <is>
          <t>A 10219-2026</t>
        </is>
      </c>
      <c r="B1118" t="inlineStr">
        <is>
          <t>avverkningsanmälan</t>
        </is>
      </c>
      <c r="C1118" t="inlineStr">
        <is>
          <t>Föryngringsavverkning</t>
        </is>
      </c>
      <c r="D1118" s="1" t="n">
        <v>46076</v>
      </c>
      <c r="E1118" s="1" t="n">
        <v>46314</v>
      </c>
      <c r="F1118" t="inlineStr">
        <is>
          <t>DALARNAS LÄN</t>
        </is>
      </c>
      <c r="G1118" t="inlineStr">
        <is>
          <t>FALUN</t>
        </is>
      </c>
      <c r="I1118" t="n">
        <v>0.5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s="2" t="inlineStr"/>
    </row>
    <row r="1119" ht="15" customHeight="1">
      <c r="A1119" t="inlineStr">
        <is>
          <t>A 12885-2026</t>
        </is>
      </c>
      <c r="B1119" t="inlineStr">
        <is>
          <t>avverkningsanmälan</t>
        </is>
      </c>
      <c r="C1119" t="inlineStr">
        <is>
          <t>Föryngringsavverkning</t>
        </is>
      </c>
      <c r="D1119" s="1" t="n">
        <v>46092</v>
      </c>
      <c r="E1119" s="1" t="n">
        <v>46314</v>
      </c>
      <c r="F1119" t="inlineStr">
        <is>
          <t>DALARNAS LÄN</t>
        </is>
      </c>
      <c r="G1119" t="inlineStr">
        <is>
          <t>FALUN</t>
        </is>
      </c>
      <c r="H1119" t="inlineStr">
        <is>
          <t>Bergvik skog väst AB</t>
        </is>
      </c>
      <c r="I1119" t="n">
        <v>4.6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s="2" t="inlineStr"/>
    </row>
    <row r="1120" ht="15" customHeight="1">
      <c r="A1120" t="inlineStr">
        <is>
          <t>A 5760-2026</t>
        </is>
      </c>
      <c r="B1120" t="inlineStr">
        <is>
          <t>avverkningsanmälan</t>
        </is>
      </c>
      <c r="C1120" t="inlineStr">
        <is>
          <t>Föryngringsavverkning</t>
        </is>
      </c>
      <c r="D1120" s="1" t="n">
        <v>46051</v>
      </c>
      <c r="E1120" s="1" t="n">
        <v>46314</v>
      </c>
      <c r="F1120" t="inlineStr">
        <is>
          <t>DALARNAS LÄN</t>
        </is>
      </c>
      <c r="G1120" t="inlineStr">
        <is>
          <t>FALUN</t>
        </is>
      </c>
      <c r="I1120" t="n">
        <v>2.7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s="2" t="inlineStr"/>
    </row>
    <row r="1121" ht="15" customHeight="1">
      <c r="A1121" t="inlineStr">
        <is>
          <t>A 12775-2026</t>
        </is>
      </c>
      <c r="B1121" t="inlineStr">
        <is>
          <t>avverkningsanmälan</t>
        </is>
      </c>
      <c r="C1121" t="inlineStr">
        <is>
          <t>Avverkning för att bevara och utveckla /försöksver</t>
        </is>
      </c>
      <c r="D1121" s="1" t="n">
        <v>46091</v>
      </c>
      <c r="E1121" s="1" t="n">
        <v>46314</v>
      </c>
      <c r="F1121" t="inlineStr">
        <is>
          <t>DALARNAS LÄN</t>
        </is>
      </c>
      <c r="G1121" t="inlineStr">
        <is>
          <t>FALUN</t>
        </is>
      </c>
      <c r="I1121" t="n">
        <v>3.5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s="2" t="inlineStr"/>
    </row>
    <row r="1122" ht="15" customHeight="1">
      <c r="A1122" t="inlineStr">
        <is>
          <t>A 7755-2024</t>
        </is>
      </c>
      <c r="B1122" t="inlineStr">
        <is>
          <t>avverkningsanmälan</t>
        </is>
      </c>
      <c r="C1122" t="inlineStr">
        <is>
          <t>Föryngringsavverkning</t>
        </is>
      </c>
      <c r="D1122" s="1" t="n">
        <v>45349</v>
      </c>
      <c r="E1122" s="1" t="n">
        <v>46314</v>
      </c>
      <c r="F1122" t="inlineStr">
        <is>
          <t>DALARNAS LÄN</t>
        </is>
      </c>
      <c r="G1122" t="inlineStr">
        <is>
          <t>FALUN</t>
        </is>
      </c>
      <c r="I1122" t="n">
        <v>0.3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s="2" t="inlineStr"/>
    </row>
    <row r="1123" ht="15" customHeight="1">
      <c r="A1123" t="inlineStr">
        <is>
          <t>A 13541-2026</t>
        </is>
      </c>
      <c r="B1123" t="inlineStr">
        <is>
          <t>avverkningsanmälan</t>
        </is>
      </c>
      <c r="C1123" t="inlineStr">
        <is>
          <t>Föryngringsavverkning</t>
        </is>
      </c>
      <c r="D1123" s="1" t="n">
        <v>46094</v>
      </c>
      <c r="E1123" s="1" t="n">
        <v>46314</v>
      </c>
      <c r="F1123" t="inlineStr">
        <is>
          <t>DALARNAS LÄN</t>
        </is>
      </c>
      <c r="G1123" t="inlineStr">
        <is>
          <t>FALUN</t>
        </is>
      </c>
      <c r="H1123" t="inlineStr">
        <is>
          <t>Bergvik skog väst AB</t>
        </is>
      </c>
      <c r="I1123" t="n">
        <v>8.5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s="2" t="inlineStr"/>
    </row>
    <row r="1124" ht="15" customHeight="1">
      <c r="A1124" t="inlineStr">
        <is>
          <t>A 13454-2026</t>
        </is>
      </c>
      <c r="B1124" t="inlineStr">
        <is>
          <t>avverkningsanmälan</t>
        </is>
      </c>
      <c r="C1124" t="inlineStr">
        <is>
          <t>Föryngringsavverkning</t>
        </is>
      </c>
      <c r="D1124" s="1" t="n">
        <v>46094</v>
      </c>
      <c r="E1124" s="1" t="n">
        <v>46314</v>
      </c>
      <c r="F1124" t="inlineStr">
        <is>
          <t>DALARNAS LÄN</t>
        </is>
      </c>
      <c r="G1124" t="inlineStr">
        <is>
          <t>FALUN</t>
        </is>
      </c>
      <c r="H1124" t="inlineStr">
        <is>
          <t>Bergvik skog väst AB</t>
        </is>
      </c>
      <c r="I1124" t="n">
        <v>2.9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s="2" t="inlineStr"/>
    </row>
    <row r="1125" ht="15" customHeight="1">
      <c r="A1125" t="inlineStr">
        <is>
          <t>A 27821-2026</t>
        </is>
      </c>
      <c r="B1125" t="inlineStr">
        <is>
          <t>avverkningsanmälan</t>
        </is>
      </c>
      <c r="C1125" t="inlineStr">
        <is>
          <t>Föryngringsavverkning</t>
        </is>
      </c>
      <c r="D1125" s="1" t="n">
        <v>46191</v>
      </c>
      <c r="E1125" s="1" t="n">
        <v>46314</v>
      </c>
      <c r="F1125" t="inlineStr">
        <is>
          <t>DALARNAS LÄN</t>
        </is>
      </c>
      <c r="G1125" t="inlineStr">
        <is>
          <t>FALUN</t>
        </is>
      </c>
      <c r="I1125" t="n">
        <v>1.7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s="2" t="inlineStr"/>
    </row>
    <row r="1126" ht="15" customHeight="1">
      <c r="A1126" t="inlineStr">
        <is>
          <t>A 27822-2026</t>
        </is>
      </c>
      <c r="B1126" t="inlineStr">
        <is>
          <t>avverkningsanmälan</t>
        </is>
      </c>
      <c r="C1126" t="inlineStr">
        <is>
          <t>Föryngringsavverkning</t>
        </is>
      </c>
      <c r="D1126" s="1" t="n">
        <v>46191</v>
      </c>
      <c r="E1126" s="1" t="n">
        <v>46314</v>
      </c>
      <c r="F1126" t="inlineStr">
        <is>
          <t>DALARNAS LÄN</t>
        </is>
      </c>
      <c r="G1126" t="inlineStr">
        <is>
          <t>FALUN</t>
        </is>
      </c>
      <c r="I1126" t="n">
        <v>0.6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s="2" t="inlineStr"/>
    </row>
    <row r="1127" ht="15" customHeight="1">
      <c r="A1127" t="inlineStr">
        <is>
          <t>A 13209-2026</t>
        </is>
      </c>
      <c r="B1127" t="inlineStr">
        <is>
          <t>avverkningsanmälan</t>
        </is>
      </c>
      <c r="C1127" t="inlineStr">
        <is>
          <t>Föryngringsavverkning</t>
        </is>
      </c>
      <c r="D1127" s="1" t="n">
        <v>46093</v>
      </c>
      <c r="E1127" s="1" t="n">
        <v>46314</v>
      </c>
      <c r="F1127" t="inlineStr">
        <is>
          <t>DALARNAS LÄN</t>
        </is>
      </c>
      <c r="G1127" t="inlineStr">
        <is>
          <t>FALUN</t>
        </is>
      </c>
      <c r="H1127" t="inlineStr">
        <is>
          <t>Bergvik skog väst AB</t>
        </is>
      </c>
      <c r="I1127" t="n">
        <v>5.8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s="2" t="inlineStr"/>
    </row>
    <row r="1128" ht="15" customHeight="1">
      <c r="A1128" t="inlineStr">
        <is>
          <t>A 27834-2026</t>
        </is>
      </c>
      <c r="B1128" t="inlineStr">
        <is>
          <t>avverkningsanmälan</t>
        </is>
      </c>
      <c r="C1128" t="inlineStr">
        <is>
          <t>Föryngringsavverkning</t>
        </is>
      </c>
      <c r="D1128" s="1" t="n">
        <v>46191</v>
      </c>
      <c r="E1128" s="1" t="n">
        <v>46314</v>
      </c>
      <c r="F1128" t="inlineStr">
        <is>
          <t>DALARNAS LÄN</t>
        </is>
      </c>
      <c r="G1128" t="inlineStr">
        <is>
          <t>FALUN</t>
        </is>
      </c>
      <c r="I1128" t="n">
        <v>1.1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s="2" t="inlineStr"/>
    </row>
    <row r="1129" ht="15" customHeight="1">
      <c r="A1129" t="inlineStr">
        <is>
          <t>A 27850-2026</t>
        </is>
      </c>
      <c r="B1129" t="inlineStr">
        <is>
          <t>avverkningsanmälan</t>
        </is>
      </c>
      <c r="C1129" t="inlineStr">
        <is>
          <t>Föryngringsavverkning</t>
        </is>
      </c>
      <c r="D1129" s="1" t="n">
        <v>46191</v>
      </c>
      <c r="E1129" s="1" t="n">
        <v>46314</v>
      </c>
      <c r="F1129" t="inlineStr">
        <is>
          <t>DALARNAS LÄN</t>
        </is>
      </c>
      <c r="G1129" t="inlineStr">
        <is>
          <t>FALUN</t>
        </is>
      </c>
      <c r="I1129" t="n">
        <v>1.2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s="2" t="inlineStr"/>
    </row>
    <row r="1130" ht="15" customHeight="1">
      <c r="A1130" t="inlineStr">
        <is>
          <t>A 27896-2026</t>
        </is>
      </c>
      <c r="B1130" t="inlineStr">
        <is>
          <t>avverkningsanmälan</t>
        </is>
      </c>
      <c r="C1130" t="inlineStr">
        <is>
          <t>Föryngringsavverkning</t>
        </is>
      </c>
      <c r="D1130" s="1" t="n">
        <v>46191</v>
      </c>
      <c r="E1130" s="1" t="n">
        <v>46314</v>
      </c>
      <c r="F1130" t="inlineStr">
        <is>
          <t>DALARNAS LÄN</t>
        </is>
      </c>
      <c r="G1130" t="inlineStr">
        <is>
          <t>FALUN</t>
        </is>
      </c>
      <c r="H1130" t="inlineStr">
        <is>
          <t>Bergvik skog väst AB</t>
        </is>
      </c>
      <c r="I1130" t="n">
        <v>6.9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s="2" t="inlineStr"/>
    </row>
    <row r="1131" ht="15" customHeight="1">
      <c r="A1131" t="inlineStr">
        <is>
          <t>A 13262-2026</t>
        </is>
      </c>
      <c r="B1131" t="inlineStr">
        <is>
          <t>avverkningsanmälan</t>
        </is>
      </c>
      <c r="C1131" t="inlineStr">
        <is>
          <t>Föryngringsavverkning</t>
        </is>
      </c>
      <c r="D1131" s="1" t="n">
        <v>46093</v>
      </c>
      <c r="E1131" s="1" t="n">
        <v>46314</v>
      </c>
      <c r="F1131" t="inlineStr">
        <is>
          <t>DALARNAS LÄN</t>
        </is>
      </c>
      <c r="G1131" t="inlineStr">
        <is>
          <t>FALUN</t>
        </is>
      </c>
      <c r="I1131" t="n">
        <v>3.8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s="2" t="inlineStr"/>
    </row>
    <row r="1132" ht="15" customHeight="1">
      <c r="A1132" t="inlineStr">
        <is>
          <t>A 13101-2026</t>
        </is>
      </c>
      <c r="B1132" t="inlineStr">
        <is>
          <t>avverkningsanmälan</t>
        </is>
      </c>
      <c r="C1132" t="inlineStr">
        <is>
          <t>Föryngringsavverkning</t>
        </is>
      </c>
      <c r="D1132" s="1" t="n">
        <v>46093</v>
      </c>
      <c r="E1132" s="1" t="n">
        <v>46314</v>
      </c>
      <c r="F1132" t="inlineStr">
        <is>
          <t>DALARNAS LÄN</t>
        </is>
      </c>
      <c r="G1132" t="inlineStr">
        <is>
          <t>FALUN</t>
        </is>
      </c>
      <c r="I1132" t="n">
        <v>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s="2" t="inlineStr"/>
    </row>
    <row r="1133" ht="15" customHeight="1">
      <c r="A1133" t="inlineStr">
        <is>
          <t>A 13078-2026</t>
        </is>
      </c>
      <c r="B1133" t="inlineStr">
        <is>
          <t>avverkningsanmälan</t>
        </is>
      </c>
      <c r="C1133" t="inlineStr">
        <is>
          <t>Föryngringsavverkning</t>
        </is>
      </c>
      <c r="D1133" s="1" t="n">
        <v>46093</v>
      </c>
      <c r="E1133" s="1" t="n">
        <v>46314</v>
      </c>
      <c r="F1133" t="inlineStr">
        <is>
          <t>DALARNAS LÄN</t>
        </is>
      </c>
      <c r="G1133" t="inlineStr">
        <is>
          <t>FALUN</t>
        </is>
      </c>
      <c r="I1133" t="n">
        <v>7.2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s="2" t="inlineStr"/>
    </row>
    <row r="1134" ht="15" customHeight="1">
      <c r="A1134" t="inlineStr">
        <is>
          <t>A 13219-2026</t>
        </is>
      </c>
      <c r="B1134" t="inlineStr">
        <is>
          <t>avverkningsanmälan</t>
        </is>
      </c>
      <c r="C1134" t="inlineStr">
        <is>
          <t>Föryngringsavverkning</t>
        </is>
      </c>
      <c r="D1134" s="1" t="n">
        <v>46093</v>
      </c>
      <c r="E1134" s="1" t="n">
        <v>46314</v>
      </c>
      <c r="F1134" t="inlineStr">
        <is>
          <t>DALARNAS LÄN</t>
        </is>
      </c>
      <c r="G1134" t="inlineStr">
        <is>
          <t>FALUN</t>
        </is>
      </c>
      <c r="H1134" t="inlineStr">
        <is>
          <t>Bergvik skog väst AB</t>
        </is>
      </c>
      <c r="I1134" t="n">
        <v>78.3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s="2" t="inlineStr"/>
    </row>
    <row r="1135" ht="15" customHeight="1">
      <c r="A1135" t="inlineStr">
        <is>
          <t>A 27847-2026</t>
        </is>
      </c>
      <c r="B1135" t="inlineStr">
        <is>
          <t>avverkningsanmälan</t>
        </is>
      </c>
      <c r="C1135" t="inlineStr">
        <is>
          <t>Föryngringsavverkning</t>
        </is>
      </c>
      <c r="D1135" s="1" t="n">
        <v>46191</v>
      </c>
      <c r="E1135" s="1" t="n">
        <v>46314</v>
      </c>
      <c r="F1135" t="inlineStr">
        <is>
          <t>DALARNAS LÄN</t>
        </is>
      </c>
      <c r="G1135" t="inlineStr">
        <is>
          <t>FALUN</t>
        </is>
      </c>
      <c r="I1135" t="n">
        <v>1.7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s="2" t="inlineStr"/>
    </row>
    <row r="1136" ht="15" customHeight="1">
      <c r="A1136" t="inlineStr">
        <is>
          <t>A 13261-2026</t>
        </is>
      </c>
      <c r="B1136" t="inlineStr">
        <is>
          <t>avverkningsanmälan</t>
        </is>
      </c>
      <c r="C1136" t="inlineStr">
        <is>
          <t>Föryngringsavverkning</t>
        </is>
      </c>
      <c r="D1136" s="1" t="n">
        <v>46093</v>
      </c>
      <c r="E1136" s="1" t="n">
        <v>46314</v>
      </c>
      <c r="F1136" t="inlineStr">
        <is>
          <t>DALARNAS LÄN</t>
        </is>
      </c>
      <c r="G1136" t="inlineStr">
        <is>
          <t>FALUN</t>
        </is>
      </c>
      <c r="I1136" t="n">
        <v>1.8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s="2" t="inlineStr"/>
    </row>
    <row r="1137" ht="15" customHeight="1">
      <c r="A1137" t="inlineStr">
        <is>
          <t>A 27800-2026</t>
        </is>
      </c>
      <c r="B1137" t="inlineStr">
        <is>
          <t>avverkningsanmälan</t>
        </is>
      </c>
      <c r="C1137" t="inlineStr">
        <is>
          <t>Föryngringsavverkning</t>
        </is>
      </c>
      <c r="D1137" s="1" t="n">
        <v>46191</v>
      </c>
      <c r="E1137" s="1" t="n">
        <v>46314</v>
      </c>
      <c r="F1137" t="inlineStr">
        <is>
          <t>DALARNAS LÄN</t>
        </is>
      </c>
      <c r="G1137" t="inlineStr">
        <is>
          <t>FALUN</t>
        </is>
      </c>
      <c r="I1137" t="n">
        <v>0.8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s="2" t="inlineStr"/>
    </row>
    <row r="1138" ht="15" customHeight="1">
      <c r="A1138" t="inlineStr">
        <is>
          <t>A 19916-2026</t>
        </is>
      </c>
      <c r="B1138" t="inlineStr">
        <is>
          <t>avverkningsanmälan</t>
        </is>
      </c>
      <c r="C1138" t="inlineStr">
        <is>
          <t>Föryngringsavverkning</t>
        </is>
      </c>
      <c r="D1138" s="1" t="n">
        <v>46136</v>
      </c>
      <c r="E1138" s="1" t="n">
        <v>46314</v>
      </c>
      <c r="F1138" t="inlineStr">
        <is>
          <t>DALARNAS LÄN</t>
        </is>
      </c>
      <c r="G1138" t="inlineStr">
        <is>
          <t>FALUN</t>
        </is>
      </c>
      <c r="I1138" t="n">
        <v>0.8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s="2" t="inlineStr"/>
    </row>
    <row r="1139" ht="15" customHeight="1">
      <c r="A1139" t="inlineStr">
        <is>
          <t>A 27832-2026</t>
        </is>
      </c>
      <c r="B1139" t="inlineStr">
        <is>
          <t>avverkningsanmälan</t>
        </is>
      </c>
      <c r="C1139" t="inlineStr">
        <is>
          <t>Föryngringsavverkning</t>
        </is>
      </c>
      <c r="D1139" s="1" t="n">
        <v>46191</v>
      </c>
      <c r="E1139" s="1" t="n">
        <v>46314</v>
      </c>
      <c r="F1139" t="inlineStr">
        <is>
          <t>DALARNAS LÄN</t>
        </is>
      </c>
      <c r="G1139" t="inlineStr">
        <is>
          <t>FALUN</t>
        </is>
      </c>
      <c r="I1139" t="n">
        <v>1.6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s="2" t="inlineStr"/>
    </row>
    <row r="1140" ht="15" customHeight="1">
      <c r="A1140" t="inlineStr">
        <is>
          <t>A 17403-2026</t>
        </is>
      </c>
      <c r="B1140" t="inlineStr">
        <is>
          <t>avverkningsanmälan</t>
        </is>
      </c>
      <c r="C1140" t="inlineStr">
        <is>
          <t>Föryngringsavverkning</t>
        </is>
      </c>
      <c r="D1140" s="1" t="n">
        <v>46120</v>
      </c>
      <c r="E1140" s="1" t="n">
        <v>46314</v>
      </c>
      <c r="F1140" t="inlineStr">
        <is>
          <t>DALARNAS LÄN</t>
        </is>
      </c>
      <c r="G1140" t="inlineStr">
        <is>
          <t>FALUN</t>
        </is>
      </c>
      <c r="I1140" t="n">
        <v>2.6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s="2" t="inlineStr"/>
    </row>
    <row r="1141" ht="15" customHeight="1">
      <c r="A1141" t="inlineStr">
        <is>
          <t>A 28817-2026</t>
        </is>
      </c>
      <c r="B1141" t="inlineStr">
        <is>
          <t>avverkningsanmälan</t>
        </is>
      </c>
      <c r="C1141" t="inlineStr">
        <is>
          <t>Föryngringsavverkning</t>
        </is>
      </c>
      <c r="D1141" s="1" t="n">
        <v>46195</v>
      </c>
      <c r="E1141" s="1" t="n">
        <v>46314</v>
      </c>
      <c r="F1141" t="inlineStr">
        <is>
          <t>DALARNAS LÄN</t>
        </is>
      </c>
      <c r="G1141" t="inlineStr">
        <is>
          <t>FALUN</t>
        </is>
      </c>
      <c r="H1141" t="inlineStr">
        <is>
          <t>Allmännings- och besparingsskogar</t>
        </is>
      </c>
      <c r="I1141" t="n">
        <v>14.2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s="2" t="inlineStr"/>
    </row>
    <row r="1142" ht="15" customHeight="1">
      <c r="A1142" t="inlineStr">
        <is>
          <t>A 13829-2026</t>
        </is>
      </c>
      <c r="B1142" t="inlineStr">
        <is>
          <t>avverkningsanmälan</t>
        </is>
      </c>
      <c r="C1142" t="inlineStr">
        <is>
          <t>Föryngringsavverkning</t>
        </is>
      </c>
      <c r="D1142" s="1" t="n">
        <v>46098</v>
      </c>
      <c r="E1142" s="1" t="n">
        <v>46314</v>
      </c>
      <c r="F1142" t="inlineStr">
        <is>
          <t>DALARNAS LÄN</t>
        </is>
      </c>
      <c r="G1142" t="inlineStr">
        <is>
          <t>FALUN</t>
        </is>
      </c>
      <c r="I1142" t="n">
        <v>13.1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s="2" t="inlineStr"/>
    </row>
    <row r="1143" ht="15" customHeight="1">
      <c r="A1143" t="inlineStr">
        <is>
          <t>A 13711-2026</t>
        </is>
      </c>
      <c r="B1143" t="inlineStr">
        <is>
          <t>avverkningsanmälan</t>
        </is>
      </c>
      <c r="C1143" t="inlineStr">
        <is>
          <t>Föryngringsavverkning</t>
        </is>
      </c>
      <c r="D1143" s="1" t="n">
        <v>46097</v>
      </c>
      <c r="E1143" s="1" t="n">
        <v>46314</v>
      </c>
      <c r="F1143" t="inlineStr">
        <is>
          <t>DALARNAS LÄN</t>
        </is>
      </c>
      <c r="G1143" t="inlineStr">
        <is>
          <t>FALUN</t>
        </is>
      </c>
      <c r="I1143" t="n">
        <v>5.8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s="2" t="inlineStr"/>
    </row>
    <row r="1144" ht="15" customHeight="1">
      <c r="A1144" t="inlineStr">
        <is>
          <t>A 13786-2026</t>
        </is>
      </c>
      <c r="B1144" t="inlineStr">
        <is>
          <t>avverkningsanmälan</t>
        </is>
      </c>
      <c r="C1144" t="inlineStr">
        <is>
          <t>Föryngringsavverkning</t>
        </is>
      </c>
      <c r="D1144" s="1" t="n">
        <v>46097</v>
      </c>
      <c r="E1144" s="1" t="n">
        <v>46314</v>
      </c>
      <c r="F1144" t="inlineStr">
        <is>
          <t>DALARNAS LÄN</t>
        </is>
      </c>
      <c r="G1144" t="inlineStr">
        <is>
          <t>FALUN</t>
        </is>
      </c>
      <c r="I1144" t="n">
        <v>1.6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s="2" t="inlineStr"/>
    </row>
    <row r="1145" ht="15" customHeight="1">
      <c r="A1145" t="inlineStr">
        <is>
          <t>A 14022-2026</t>
        </is>
      </c>
      <c r="B1145" t="inlineStr">
        <is>
          <t>avverkningsanmälan</t>
        </is>
      </c>
      <c r="C1145" t="inlineStr">
        <is>
          <t>Föryngringsavverkning</t>
        </is>
      </c>
      <c r="D1145" s="1" t="n">
        <v>46098</v>
      </c>
      <c r="E1145" s="1" t="n">
        <v>46314</v>
      </c>
      <c r="F1145" t="inlineStr">
        <is>
          <t>DALARNAS LÄN</t>
        </is>
      </c>
      <c r="G1145" t="inlineStr">
        <is>
          <t>FALUN</t>
        </is>
      </c>
      <c r="H1145" t="inlineStr">
        <is>
          <t>Bergvik skog väst AB</t>
        </is>
      </c>
      <c r="I1145" t="n">
        <v>33.9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s="2" t="inlineStr"/>
    </row>
    <row r="1146" ht="15" customHeight="1">
      <c r="A1146" t="inlineStr">
        <is>
          <t>A 13816-2026</t>
        </is>
      </c>
      <c r="B1146" t="inlineStr">
        <is>
          <t>avverkningsanmälan</t>
        </is>
      </c>
      <c r="C1146" t="inlineStr">
        <is>
          <t>Föryngringsavverkning</t>
        </is>
      </c>
      <c r="D1146" s="1" t="n">
        <v>46098</v>
      </c>
      <c r="E1146" s="1" t="n">
        <v>46314</v>
      </c>
      <c r="F1146" t="inlineStr">
        <is>
          <t>DALARNAS LÄN</t>
        </is>
      </c>
      <c r="G1146" t="inlineStr">
        <is>
          <t>FALUN</t>
        </is>
      </c>
      <c r="I1146" t="n">
        <v>2.1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s="2" t="inlineStr"/>
    </row>
    <row r="1147" ht="15" customHeight="1">
      <c r="A1147" t="inlineStr">
        <is>
          <t>A 13817-2026</t>
        </is>
      </c>
      <c r="B1147" t="inlineStr">
        <is>
          <t>avverkningsanmälan</t>
        </is>
      </c>
      <c r="C1147" t="inlineStr">
        <is>
          <t>Föryngringsavverkning</t>
        </is>
      </c>
      <c r="D1147" s="1" t="n">
        <v>46098</v>
      </c>
      <c r="E1147" s="1" t="n">
        <v>46314</v>
      </c>
      <c r="F1147" t="inlineStr">
        <is>
          <t>DALARNAS LÄN</t>
        </is>
      </c>
      <c r="G1147" t="inlineStr">
        <is>
          <t>FALUN</t>
        </is>
      </c>
      <c r="I1147" t="n">
        <v>19.6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s="2" t="inlineStr"/>
    </row>
    <row r="1148" ht="15" customHeight="1">
      <c r="A1148" t="inlineStr">
        <is>
          <t>A 28306-2026</t>
        </is>
      </c>
      <c r="B1148" t="inlineStr">
        <is>
          <t>avverkningsanmälan</t>
        </is>
      </c>
      <c r="C1148" t="inlineStr">
        <is>
          <t>Föryngringsavverkning</t>
        </is>
      </c>
      <c r="D1148" s="1" t="n">
        <v>46196</v>
      </c>
      <c r="E1148" s="1" t="n">
        <v>46314</v>
      </c>
      <c r="F1148" t="inlineStr">
        <is>
          <t>DALARNAS LÄN</t>
        </is>
      </c>
      <c r="G1148" t="inlineStr">
        <is>
          <t>FALUN</t>
        </is>
      </c>
      <c r="I1148" t="n">
        <v>0.8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s="2" t="inlineStr"/>
    </row>
    <row r="1149" ht="15" customHeight="1">
      <c r="A1149" t="inlineStr">
        <is>
          <t>A 13782-2026</t>
        </is>
      </c>
      <c r="B1149" t="inlineStr">
        <is>
          <t>avverkningsanmälan</t>
        </is>
      </c>
      <c r="C1149" t="inlineStr">
        <is>
          <t>Föryngringsavverkning</t>
        </is>
      </c>
      <c r="D1149" s="1" t="n">
        <v>46097</v>
      </c>
      <c r="E1149" s="1" t="n">
        <v>46314</v>
      </c>
      <c r="F1149" t="inlineStr">
        <is>
          <t>DALARNAS LÄN</t>
        </is>
      </c>
      <c r="G1149" t="inlineStr">
        <is>
          <t>FALUN</t>
        </is>
      </c>
      <c r="I1149" t="n">
        <v>0.7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s="2" t="inlineStr"/>
    </row>
    <row r="1150" ht="15" customHeight="1">
      <c r="A1150" t="inlineStr">
        <is>
          <t>A 14023-2026</t>
        </is>
      </c>
      <c r="B1150" t="inlineStr">
        <is>
          <t>avverkningsanmälan</t>
        </is>
      </c>
      <c r="C1150" t="inlineStr">
        <is>
          <t>Föryngringsavverkning</t>
        </is>
      </c>
      <c r="D1150" s="1" t="n">
        <v>46098</v>
      </c>
      <c r="E1150" s="1" t="n">
        <v>46314</v>
      </c>
      <c r="F1150" t="inlineStr">
        <is>
          <t>DALARNAS LÄN</t>
        </is>
      </c>
      <c r="G1150" t="inlineStr">
        <is>
          <t>FALUN</t>
        </is>
      </c>
      <c r="H1150" t="inlineStr">
        <is>
          <t>Bergvik skog väst AB</t>
        </is>
      </c>
      <c r="I1150" t="n">
        <v>38.2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s="2" t="inlineStr"/>
    </row>
    <row r="1151" ht="15" customHeight="1">
      <c r="A1151" t="inlineStr">
        <is>
          <t>A 13634-2026</t>
        </is>
      </c>
      <c r="B1151" t="inlineStr">
        <is>
          <t>avverkningsanmälan</t>
        </is>
      </c>
      <c r="C1151" t="inlineStr">
        <is>
          <t>Föryngringsavverkning</t>
        </is>
      </c>
      <c r="D1151" s="1" t="n">
        <v>46097</v>
      </c>
      <c r="E1151" s="1" t="n">
        <v>46314</v>
      </c>
      <c r="F1151" t="inlineStr">
        <is>
          <t>DALARNAS LÄN</t>
        </is>
      </c>
      <c r="G1151" t="inlineStr">
        <is>
          <t>FALUN</t>
        </is>
      </c>
      <c r="I1151" t="n">
        <v>4.1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s="2" t="inlineStr"/>
    </row>
    <row r="1152" ht="15" customHeight="1">
      <c r="A1152" t="inlineStr">
        <is>
          <t>A 13636-2026</t>
        </is>
      </c>
      <c r="B1152" t="inlineStr">
        <is>
          <t>avverkningsanmälan</t>
        </is>
      </c>
      <c r="C1152" t="inlineStr">
        <is>
          <t>Föryngringsavverkning</t>
        </is>
      </c>
      <c r="D1152" s="1" t="n">
        <v>46097</v>
      </c>
      <c r="E1152" s="1" t="n">
        <v>46314</v>
      </c>
      <c r="F1152" t="inlineStr">
        <is>
          <t>DALARNAS LÄN</t>
        </is>
      </c>
      <c r="G1152" t="inlineStr">
        <is>
          <t>FALUN</t>
        </is>
      </c>
      <c r="I1152" t="n">
        <v>3.3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s="2" t="inlineStr"/>
    </row>
    <row r="1153" ht="15" customHeight="1">
      <c r="A1153" t="inlineStr">
        <is>
          <t>A 13592-2026</t>
        </is>
      </c>
      <c r="B1153" t="inlineStr">
        <is>
          <t>avverkningsanmälan</t>
        </is>
      </c>
      <c r="C1153" t="inlineStr">
        <is>
          <t>Föryngringsavverkning</t>
        </is>
      </c>
      <c r="D1153" s="1" t="n">
        <v>46096</v>
      </c>
      <c r="E1153" s="1" t="n">
        <v>46314</v>
      </c>
      <c r="F1153" t="inlineStr">
        <is>
          <t>DALARNAS LÄN</t>
        </is>
      </c>
      <c r="G1153" t="inlineStr">
        <is>
          <t>FALUN</t>
        </is>
      </c>
      <c r="H1153" t="inlineStr">
        <is>
          <t>Bergvik skog väst AB</t>
        </is>
      </c>
      <c r="I1153" t="n">
        <v>30.3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s="2" t="inlineStr"/>
    </row>
    <row r="1154" ht="15" customHeight="1">
      <c r="A1154" t="inlineStr">
        <is>
          <t>A 13784-2026</t>
        </is>
      </c>
      <c r="B1154" t="inlineStr">
        <is>
          <t>avverkningsanmälan</t>
        </is>
      </c>
      <c r="C1154" t="inlineStr">
        <is>
          <t>Föryngringsavverkning</t>
        </is>
      </c>
      <c r="D1154" s="1" t="n">
        <v>46097</v>
      </c>
      <c r="E1154" s="1" t="n">
        <v>46314</v>
      </c>
      <c r="F1154" t="inlineStr">
        <is>
          <t>DALARNAS LÄN</t>
        </is>
      </c>
      <c r="G1154" t="inlineStr">
        <is>
          <t>FALUN</t>
        </is>
      </c>
      <c r="I1154" t="n">
        <v>0.6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s="2" t="inlineStr"/>
    </row>
    <row r="1155" ht="15" customHeight="1">
      <c r="A1155" t="inlineStr">
        <is>
          <t>A 5311-2025</t>
        </is>
      </c>
      <c r="B1155" t="inlineStr">
        <is>
          <t>avverkningsanmälan</t>
        </is>
      </c>
      <c r="C1155" t="inlineStr">
        <is>
          <t>Föryngringsavverkning</t>
        </is>
      </c>
      <c r="D1155" s="1" t="n">
        <v>45692</v>
      </c>
      <c r="E1155" s="1" t="n">
        <v>46314</v>
      </c>
      <c r="F1155" t="inlineStr">
        <is>
          <t>DALARNAS LÄN</t>
        </is>
      </c>
      <c r="G1155" t="inlineStr">
        <is>
          <t>FALUN</t>
        </is>
      </c>
      <c r="I1155" t="n">
        <v>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s="2" t="inlineStr"/>
    </row>
    <row r="1156" ht="15" customHeight="1">
      <c r="A1156" t="inlineStr">
        <is>
          <t>A 14212-2026</t>
        </is>
      </c>
      <c r="B1156" t="inlineStr">
        <is>
          <t>avverkningsanmälan</t>
        </is>
      </c>
      <c r="C1156" t="inlineStr">
        <is>
          <t>Föryngringsavverkning</t>
        </is>
      </c>
      <c r="D1156" s="1" t="n">
        <v>46099</v>
      </c>
      <c r="E1156" s="1" t="n">
        <v>46314</v>
      </c>
      <c r="F1156" t="inlineStr">
        <is>
          <t>DALARNAS LÄN</t>
        </is>
      </c>
      <c r="G1156" t="inlineStr">
        <is>
          <t>FALUN</t>
        </is>
      </c>
      <c r="H1156" t="inlineStr">
        <is>
          <t>Bergvik skog väst AB</t>
        </is>
      </c>
      <c r="I1156" t="n">
        <v>1.1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s="2" t="inlineStr"/>
    </row>
    <row r="1157" ht="15" customHeight="1">
      <c r="A1157" t="inlineStr">
        <is>
          <t>A 14214-2026</t>
        </is>
      </c>
      <c r="B1157" t="inlineStr">
        <is>
          <t>avverkningsanmälan</t>
        </is>
      </c>
      <c r="C1157" t="inlineStr">
        <is>
          <t>Föryngringsavverkning</t>
        </is>
      </c>
      <c r="D1157" s="1" t="n">
        <v>46099</v>
      </c>
      <c r="E1157" s="1" t="n">
        <v>46314</v>
      </c>
      <c r="F1157" t="inlineStr">
        <is>
          <t>DALARNAS LÄN</t>
        </is>
      </c>
      <c r="G1157" t="inlineStr">
        <is>
          <t>FALUN</t>
        </is>
      </c>
      <c r="H1157" t="inlineStr">
        <is>
          <t>Bergvik skog väst AB</t>
        </is>
      </c>
      <c r="I1157" t="n">
        <v>1.4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s="2" t="inlineStr"/>
    </row>
    <row r="1158" ht="15" customHeight="1">
      <c r="A1158" t="inlineStr">
        <is>
          <t>A 14231-2026</t>
        </is>
      </c>
      <c r="B1158" t="inlineStr">
        <is>
          <t>avverkningsanmälan</t>
        </is>
      </c>
      <c r="C1158" t="inlineStr">
        <is>
          <t>Föryngringsavverkning</t>
        </is>
      </c>
      <c r="D1158" s="1" t="n">
        <v>46099</v>
      </c>
      <c r="E1158" s="1" t="n">
        <v>46314</v>
      </c>
      <c r="F1158" t="inlineStr">
        <is>
          <t>DALARNAS LÄN</t>
        </is>
      </c>
      <c r="G1158" t="inlineStr">
        <is>
          <t>FALUN</t>
        </is>
      </c>
      <c r="H1158" t="inlineStr">
        <is>
          <t>Bergvik skog väst AB</t>
        </is>
      </c>
      <c r="I1158" t="n">
        <v>2.6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s="2" t="inlineStr"/>
    </row>
    <row r="1159" ht="15" customHeight="1">
      <c r="A1159" t="inlineStr">
        <is>
          <t>A 14407-2026</t>
        </is>
      </c>
      <c r="B1159" t="inlineStr">
        <is>
          <t>avverkningsanmälan</t>
        </is>
      </c>
      <c r="C1159" t="inlineStr">
        <is>
          <t>Föryngringsavverkning</t>
        </is>
      </c>
      <c r="D1159" s="1" t="n">
        <v>46100</v>
      </c>
      <c r="E1159" s="1" t="n">
        <v>46314</v>
      </c>
      <c r="F1159" t="inlineStr">
        <is>
          <t>DALARNAS LÄN</t>
        </is>
      </c>
      <c r="G1159" t="inlineStr">
        <is>
          <t>FALUN</t>
        </is>
      </c>
      <c r="I1159" t="n">
        <v>9.6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s="2" t="inlineStr"/>
    </row>
    <row r="1160" ht="15" customHeight="1">
      <c r="A1160" t="inlineStr">
        <is>
          <t>A 27998-2026</t>
        </is>
      </c>
      <c r="B1160" t="inlineStr">
        <is>
          <t>avverkningsanmälan</t>
        </is>
      </c>
      <c r="C1160" t="inlineStr">
        <is>
          <t>Föryngringsavverkning</t>
        </is>
      </c>
      <c r="D1160" s="1" t="n">
        <v>46195</v>
      </c>
      <c r="E1160" s="1" t="n">
        <v>46314</v>
      </c>
      <c r="F1160" t="inlineStr">
        <is>
          <t>DALARNAS LÄN</t>
        </is>
      </c>
      <c r="G1160" t="inlineStr">
        <is>
          <t>FALUN</t>
        </is>
      </c>
      <c r="H1160" t="inlineStr">
        <is>
          <t>Bergvik skog väst AB</t>
        </is>
      </c>
      <c r="I1160" t="n">
        <v>7.2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s="2" t="inlineStr"/>
    </row>
    <row r="1161" ht="15" customHeight="1">
      <c r="A1161" t="inlineStr">
        <is>
          <t>A 14571-2026</t>
        </is>
      </c>
      <c r="B1161" t="inlineStr">
        <is>
          <t>avverkningsanmälan</t>
        </is>
      </c>
      <c r="C1161" t="inlineStr">
        <is>
          <t>Föryngringsavverkning</t>
        </is>
      </c>
      <c r="D1161" s="1" t="n">
        <v>46100</v>
      </c>
      <c r="E1161" s="1" t="n">
        <v>46314</v>
      </c>
      <c r="F1161" t="inlineStr">
        <is>
          <t>DALARNAS LÄN</t>
        </is>
      </c>
      <c r="G1161" t="inlineStr">
        <is>
          <t>FALUN</t>
        </is>
      </c>
      <c r="I1161" t="n">
        <v>5.3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s="2" t="inlineStr"/>
    </row>
    <row r="1162" ht="15" customHeight="1">
      <c r="A1162" t="inlineStr">
        <is>
          <t>A 14409-2026</t>
        </is>
      </c>
      <c r="B1162" t="inlineStr">
        <is>
          <t>avverkningsanmälan</t>
        </is>
      </c>
      <c r="C1162" t="inlineStr">
        <is>
          <t>Föryngringsavverkning</t>
        </is>
      </c>
      <c r="D1162" s="1" t="n">
        <v>46100</v>
      </c>
      <c r="E1162" s="1" t="n">
        <v>46314</v>
      </c>
      <c r="F1162" t="inlineStr">
        <is>
          <t>DALARNAS LÄN</t>
        </is>
      </c>
      <c r="G1162" t="inlineStr">
        <is>
          <t>FALUN</t>
        </is>
      </c>
      <c r="I1162" t="n">
        <v>2.3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s="2" t="inlineStr"/>
    </row>
    <row r="1163" ht="15" customHeight="1">
      <c r="A1163" t="inlineStr">
        <is>
          <t>A 14122-2026</t>
        </is>
      </c>
      <c r="B1163" t="inlineStr">
        <is>
          <t>avverkningsanmälan</t>
        </is>
      </c>
      <c r="C1163" t="inlineStr">
        <is>
          <t>Föryngringsavverkning</t>
        </is>
      </c>
      <c r="D1163" s="1" t="n">
        <v>46099</v>
      </c>
      <c r="E1163" s="1" t="n">
        <v>46314</v>
      </c>
      <c r="F1163" t="inlineStr">
        <is>
          <t>DALARNAS LÄN</t>
        </is>
      </c>
      <c r="G1163" t="inlineStr">
        <is>
          <t>FALUN</t>
        </is>
      </c>
      <c r="I1163" t="n">
        <v>1.3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s="2" t="inlineStr"/>
    </row>
    <row r="1164" ht="15" customHeight="1">
      <c r="A1164" t="inlineStr">
        <is>
          <t>A 14209-2026</t>
        </is>
      </c>
      <c r="B1164" t="inlineStr">
        <is>
          <t>avverkningsanmälan</t>
        </is>
      </c>
      <c r="C1164" t="inlineStr">
        <is>
          <t>Föryngringsavverkning</t>
        </is>
      </c>
      <c r="D1164" s="1" t="n">
        <v>46099</v>
      </c>
      <c r="E1164" s="1" t="n">
        <v>46314</v>
      </c>
      <c r="F1164" t="inlineStr">
        <is>
          <t>DALARNAS LÄN</t>
        </is>
      </c>
      <c r="G1164" t="inlineStr">
        <is>
          <t>FALUN</t>
        </is>
      </c>
      <c r="H1164" t="inlineStr">
        <is>
          <t>Bergvik skog väst AB</t>
        </is>
      </c>
      <c r="I1164" t="n">
        <v>5.7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s="2" t="inlineStr"/>
    </row>
    <row r="1165" ht="15" customHeight="1">
      <c r="A1165" t="inlineStr">
        <is>
          <t>A 47328-2023</t>
        </is>
      </c>
      <c r="B1165" t="inlineStr">
        <is>
          <t>avverkningsanmälan</t>
        </is>
      </c>
      <c r="C1165" t="inlineStr">
        <is>
          <t>Föryngringsavverkning</t>
        </is>
      </c>
      <c r="D1165" s="1" t="n">
        <v>45202</v>
      </c>
      <c r="E1165" s="1" t="n">
        <v>46314</v>
      </c>
      <c r="F1165" t="inlineStr">
        <is>
          <t>DALARNAS LÄN</t>
        </is>
      </c>
      <c r="G1165" t="inlineStr">
        <is>
          <t>FALUN</t>
        </is>
      </c>
      <c r="I1165" t="n">
        <v>2.2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s="2" t="inlineStr"/>
    </row>
    <row r="1166" ht="15" customHeight="1">
      <c r="A1166" t="inlineStr">
        <is>
          <t>A 14558-2026</t>
        </is>
      </c>
      <c r="B1166" t="inlineStr">
        <is>
          <t>avverkningsanmälan</t>
        </is>
      </c>
      <c r="C1166" t="inlineStr">
        <is>
          <t>Föryngringsavverkning</t>
        </is>
      </c>
      <c r="D1166" s="1" t="n">
        <v>46100</v>
      </c>
      <c r="E1166" s="1" t="n">
        <v>46314</v>
      </c>
      <c r="F1166" t="inlineStr">
        <is>
          <t>DALARNAS LÄN</t>
        </is>
      </c>
      <c r="G1166" t="inlineStr">
        <is>
          <t>FALUN</t>
        </is>
      </c>
      <c r="H1166" t="inlineStr">
        <is>
          <t>Allmännings- och besparingsskogar</t>
        </is>
      </c>
      <c r="I1166" t="n">
        <v>9.800000000000001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s="2" t="inlineStr"/>
    </row>
    <row r="1167" ht="15" customHeight="1">
      <c r="A1167" t="inlineStr">
        <is>
          <t>A 14310-2026</t>
        </is>
      </c>
      <c r="B1167" t="inlineStr">
        <is>
          <t>avverkningsanmälan</t>
        </is>
      </c>
      <c r="C1167" t="inlineStr">
        <is>
          <t>Föryngringsavverkning</t>
        </is>
      </c>
      <c r="D1167" s="1" t="n">
        <v>46099</v>
      </c>
      <c r="E1167" s="1" t="n">
        <v>46314</v>
      </c>
      <c r="F1167" t="inlineStr">
        <is>
          <t>DALARNAS LÄN</t>
        </is>
      </c>
      <c r="G1167" t="inlineStr">
        <is>
          <t>FALUN</t>
        </is>
      </c>
      <c r="H1167" t="inlineStr">
        <is>
          <t>Bergvik skog väst AB</t>
        </is>
      </c>
      <c r="I1167" t="n">
        <v>29.8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s="2" t="inlineStr"/>
    </row>
    <row r="1168" ht="15" customHeight="1">
      <c r="A1168" t="inlineStr">
        <is>
          <t>A 14311-2026</t>
        </is>
      </c>
      <c r="B1168" t="inlineStr">
        <is>
          <t>avverkningsanmälan</t>
        </is>
      </c>
      <c r="C1168" t="inlineStr">
        <is>
          <t>Föryngringsavverkning</t>
        </is>
      </c>
      <c r="D1168" s="1" t="n">
        <v>46099</v>
      </c>
      <c r="E1168" s="1" t="n">
        <v>46314</v>
      </c>
      <c r="F1168" t="inlineStr">
        <is>
          <t>DALARNAS LÄN</t>
        </is>
      </c>
      <c r="G1168" t="inlineStr">
        <is>
          <t>FALUN</t>
        </is>
      </c>
      <c r="H1168" t="inlineStr">
        <is>
          <t>Bergvik skog väst AB</t>
        </is>
      </c>
      <c r="I1168" t="n">
        <v>63.9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s="2" t="inlineStr"/>
    </row>
    <row r="1169" ht="15" customHeight="1">
      <c r="A1169" t="inlineStr">
        <is>
          <t>A 14199-2026</t>
        </is>
      </c>
      <c r="B1169" t="inlineStr">
        <is>
          <t>avverkningsanmälan</t>
        </is>
      </c>
      <c r="C1169" t="inlineStr">
        <is>
          <t>Föryngringsavverkning</t>
        </is>
      </c>
      <c r="D1169" s="1" t="n">
        <v>46099</v>
      </c>
      <c r="E1169" s="1" t="n">
        <v>46314</v>
      </c>
      <c r="F1169" t="inlineStr">
        <is>
          <t>DALARNAS LÄN</t>
        </is>
      </c>
      <c r="G1169" t="inlineStr">
        <is>
          <t>FALUN</t>
        </is>
      </c>
      <c r="I1169" t="n">
        <v>2.7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s="2" t="inlineStr"/>
    </row>
    <row r="1170" ht="15" customHeight="1">
      <c r="A1170" t="inlineStr">
        <is>
          <t>A 14217-2026</t>
        </is>
      </c>
      <c r="B1170" t="inlineStr">
        <is>
          <t>avverkningsanmälan</t>
        </is>
      </c>
      <c r="C1170" t="inlineStr">
        <is>
          <t>Föryngringsavverkning</t>
        </is>
      </c>
      <c r="D1170" s="1" t="n">
        <v>46099</v>
      </c>
      <c r="E1170" s="1" t="n">
        <v>46314</v>
      </c>
      <c r="F1170" t="inlineStr">
        <is>
          <t>DALARNAS LÄN</t>
        </is>
      </c>
      <c r="G1170" t="inlineStr">
        <is>
          <t>FALUN</t>
        </is>
      </c>
      <c r="H1170" t="inlineStr">
        <is>
          <t>Bergvik skog väst AB</t>
        </is>
      </c>
      <c r="I1170" t="n">
        <v>24.5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s="2" t="inlineStr"/>
    </row>
    <row r="1171" ht="15" customHeight="1">
      <c r="A1171" t="inlineStr">
        <is>
          <t>A 14373-2026</t>
        </is>
      </c>
      <c r="B1171" t="inlineStr">
        <is>
          <t>avverkningsanmälan</t>
        </is>
      </c>
      <c r="C1171" t="inlineStr">
        <is>
          <t>Föryngringsavverkning</t>
        </is>
      </c>
      <c r="D1171" s="1" t="n">
        <v>46100</v>
      </c>
      <c r="E1171" s="1" t="n">
        <v>46314</v>
      </c>
      <c r="F1171" t="inlineStr">
        <is>
          <t>DALARNAS LÄN</t>
        </is>
      </c>
      <c r="G1171" t="inlineStr">
        <is>
          <t>FALUN</t>
        </is>
      </c>
      <c r="H1171" t="inlineStr">
        <is>
          <t>Bergvik skog väst AB</t>
        </is>
      </c>
      <c r="I1171" t="n">
        <v>7.2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s="2" t="inlineStr"/>
    </row>
    <row r="1172" ht="15" customHeight="1">
      <c r="A1172" t="inlineStr">
        <is>
          <t>A 14559-2026</t>
        </is>
      </c>
      <c r="B1172" t="inlineStr">
        <is>
          <t>avverkningsanmälan</t>
        </is>
      </c>
      <c r="C1172" t="inlineStr">
        <is>
          <t>Föryngringsavverkning</t>
        </is>
      </c>
      <c r="D1172" s="1" t="n">
        <v>46100</v>
      </c>
      <c r="E1172" s="1" t="n">
        <v>46314</v>
      </c>
      <c r="F1172" t="inlineStr">
        <is>
          <t>DALARNAS LÄN</t>
        </is>
      </c>
      <c r="G1172" t="inlineStr">
        <is>
          <t>FALUN</t>
        </is>
      </c>
      <c r="H1172" t="inlineStr">
        <is>
          <t>Allmännings- och besparingsskogar</t>
        </is>
      </c>
      <c r="I1172" t="n">
        <v>5.9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s="2" t="inlineStr"/>
    </row>
    <row r="1173" ht="15" customHeight="1">
      <c r="A1173" t="inlineStr">
        <is>
          <t>A 14850-2026</t>
        </is>
      </c>
      <c r="B1173" t="inlineStr">
        <is>
          <t>avverkningsanmälan</t>
        </is>
      </c>
      <c r="C1173" t="inlineStr">
        <is>
          <t>Föryngringsavverkning</t>
        </is>
      </c>
      <c r="D1173" s="1" t="n">
        <v>46104</v>
      </c>
      <c r="E1173" s="1" t="n">
        <v>46314</v>
      </c>
      <c r="F1173" t="inlineStr">
        <is>
          <t>DALARNAS LÄN</t>
        </is>
      </c>
      <c r="G1173" t="inlineStr">
        <is>
          <t>FALUN</t>
        </is>
      </c>
      <c r="I1173" t="n">
        <v>0.8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s="2" t="inlineStr"/>
    </row>
    <row r="1174" ht="15" customHeight="1">
      <c r="A1174" t="inlineStr">
        <is>
          <t>A 14907-2026</t>
        </is>
      </c>
      <c r="B1174" t="inlineStr">
        <is>
          <t>avverkningsanmälan</t>
        </is>
      </c>
      <c r="C1174" t="inlineStr">
        <is>
          <t>Föryngringsavverkning</t>
        </is>
      </c>
      <c r="D1174" s="1" t="n">
        <v>46104</v>
      </c>
      <c r="E1174" s="1" t="n">
        <v>46314</v>
      </c>
      <c r="F1174" t="inlineStr">
        <is>
          <t>DALARNAS LÄN</t>
        </is>
      </c>
      <c r="G1174" t="inlineStr">
        <is>
          <t>FALUN</t>
        </is>
      </c>
      <c r="I1174" t="n">
        <v>0.5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s="2" t="inlineStr"/>
    </row>
    <row r="1175" ht="15" customHeight="1">
      <c r="A1175" t="inlineStr">
        <is>
          <t>A 14841-2026</t>
        </is>
      </c>
      <c r="B1175" t="inlineStr">
        <is>
          <t>avverkningsanmälan</t>
        </is>
      </c>
      <c r="C1175" t="inlineStr">
        <is>
          <t>Föryngringsavverkning</t>
        </is>
      </c>
      <c r="D1175" s="1" t="n">
        <v>46104</v>
      </c>
      <c r="E1175" s="1" t="n">
        <v>46314</v>
      </c>
      <c r="F1175" t="inlineStr">
        <is>
          <t>DALARNAS LÄN</t>
        </is>
      </c>
      <c r="G1175" t="inlineStr">
        <is>
          <t>FALUN</t>
        </is>
      </c>
      <c r="I1175" t="n">
        <v>2.8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s="2" t="inlineStr"/>
    </row>
    <row r="1176" ht="15" customHeight="1">
      <c r="A1176" t="inlineStr">
        <is>
          <t>A 27969-2026</t>
        </is>
      </c>
      <c r="B1176" t="inlineStr">
        <is>
          <t>avverkningsanmälan</t>
        </is>
      </c>
      <c r="C1176" t="inlineStr">
        <is>
          <t>Föryngringsavverkning</t>
        </is>
      </c>
      <c r="D1176" s="1" t="n">
        <v>46195</v>
      </c>
      <c r="E1176" s="1" t="n">
        <v>46314</v>
      </c>
      <c r="F1176" t="inlineStr">
        <is>
          <t>DALARNAS LÄN</t>
        </is>
      </c>
      <c r="G1176" t="inlineStr">
        <is>
          <t>FALUN</t>
        </is>
      </c>
      <c r="I1176" t="n">
        <v>2.4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s="2" t="inlineStr"/>
    </row>
    <row r="1177" ht="15" customHeight="1">
      <c r="A1177" t="inlineStr">
        <is>
          <t>A 14806-2026</t>
        </is>
      </c>
      <c r="B1177" t="inlineStr">
        <is>
          <t>avverkningsanmälan</t>
        </is>
      </c>
      <c r="C1177" t="inlineStr">
        <is>
          <t>Föryngringsavverkning</t>
        </is>
      </c>
      <c r="D1177" s="1" t="n">
        <v>46103</v>
      </c>
      <c r="E1177" s="1" t="n">
        <v>46314</v>
      </c>
      <c r="F1177" t="inlineStr">
        <is>
          <t>DALARNAS LÄN</t>
        </is>
      </c>
      <c r="G1177" t="inlineStr">
        <is>
          <t>FALUN</t>
        </is>
      </c>
      <c r="I1177" t="n">
        <v>3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s="2" t="inlineStr"/>
    </row>
    <row r="1178" ht="15" customHeight="1">
      <c r="A1178" t="inlineStr">
        <is>
          <t>A 14961-2026</t>
        </is>
      </c>
      <c r="B1178" t="inlineStr">
        <is>
          <t>avverkningsanmälan</t>
        </is>
      </c>
      <c r="C1178" t="inlineStr">
        <is>
          <t>Föryngringsavverkning</t>
        </is>
      </c>
      <c r="D1178" s="1" t="n">
        <v>46104</v>
      </c>
      <c r="E1178" s="1" t="n">
        <v>46314</v>
      </c>
      <c r="F1178" t="inlineStr">
        <is>
          <t>DALARNAS LÄN</t>
        </is>
      </c>
      <c r="G1178" t="inlineStr">
        <is>
          <t>FALUN</t>
        </is>
      </c>
      <c r="I1178" t="n">
        <v>4.2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s="2" t="inlineStr"/>
    </row>
    <row r="1179" ht="15" customHeight="1">
      <c r="A1179" t="inlineStr">
        <is>
          <t>A 14964-2026</t>
        </is>
      </c>
      <c r="B1179" t="inlineStr">
        <is>
          <t>avverkningsanmälan</t>
        </is>
      </c>
      <c r="C1179" t="inlineStr">
        <is>
          <t>Föryngringsavverkning</t>
        </is>
      </c>
      <c r="D1179" s="1" t="n">
        <v>46104</v>
      </c>
      <c r="E1179" s="1" t="n">
        <v>46314</v>
      </c>
      <c r="F1179" t="inlineStr">
        <is>
          <t>DALARNAS LÄN</t>
        </is>
      </c>
      <c r="G1179" t="inlineStr">
        <is>
          <t>FALUN</t>
        </is>
      </c>
      <c r="I1179" t="n">
        <v>3.1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s="2" t="inlineStr"/>
    </row>
    <row r="1180" ht="15" customHeight="1">
      <c r="A1180" t="inlineStr">
        <is>
          <t>A 14847-2026</t>
        </is>
      </c>
      <c r="B1180" t="inlineStr">
        <is>
          <t>avverkningsanmälan</t>
        </is>
      </c>
      <c r="C1180" t="inlineStr">
        <is>
          <t>Föryngringsavverkning</t>
        </is>
      </c>
      <c r="D1180" s="1" t="n">
        <v>46104</v>
      </c>
      <c r="E1180" s="1" t="n">
        <v>46314</v>
      </c>
      <c r="F1180" t="inlineStr">
        <is>
          <t>DALARNAS LÄN</t>
        </is>
      </c>
      <c r="G1180" t="inlineStr">
        <is>
          <t>FALUN</t>
        </is>
      </c>
      <c r="I1180" t="n">
        <v>14.9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s="2" t="inlineStr"/>
    </row>
    <row r="1181" ht="15" customHeight="1">
      <c r="A1181" t="inlineStr">
        <is>
          <t>A 14932-2026</t>
        </is>
      </c>
      <c r="B1181" t="inlineStr">
        <is>
          <t>avverkningsanmälan</t>
        </is>
      </c>
      <c r="C1181" t="inlineStr">
        <is>
          <t>Föryngringsavverkning</t>
        </is>
      </c>
      <c r="D1181" s="1" t="n">
        <v>46104</v>
      </c>
      <c r="E1181" s="1" t="n">
        <v>46314</v>
      </c>
      <c r="F1181" t="inlineStr">
        <is>
          <t>DALARNAS LÄN</t>
        </is>
      </c>
      <c r="G1181" t="inlineStr">
        <is>
          <t>FALUN</t>
        </is>
      </c>
      <c r="I1181" t="n">
        <v>4.5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s="2" t="inlineStr"/>
    </row>
    <row r="1182" ht="15" customHeight="1">
      <c r="A1182" t="inlineStr">
        <is>
          <t>A 14657-2026</t>
        </is>
      </c>
      <c r="B1182" t="inlineStr">
        <is>
          <t>avverkningsanmälan</t>
        </is>
      </c>
      <c r="C1182" t="inlineStr">
        <is>
          <t>Föryngringsavverkning</t>
        </is>
      </c>
      <c r="D1182" s="1" t="n">
        <v>46101</v>
      </c>
      <c r="E1182" s="1" t="n">
        <v>46314</v>
      </c>
      <c r="F1182" t="inlineStr">
        <is>
          <t>DALARNAS LÄN</t>
        </is>
      </c>
      <c r="G1182" t="inlineStr">
        <is>
          <t>FALUN</t>
        </is>
      </c>
      <c r="I1182" t="n">
        <v>3.3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s="2" t="inlineStr"/>
    </row>
    <row r="1183" ht="15" customHeight="1">
      <c r="A1183" t="inlineStr">
        <is>
          <t>A 15642-2026</t>
        </is>
      </c>
      <c r="B1183" t="inlineStr">
        <is>
          <t>avverkningsanmälan</t>
        </is>
      </c>
      <c r="C1183" t="inlineStr">
        <is>
          <t>Föryngringsavverkning</t>
        </is>
      </c>
      <c r="D1183" s="1" t="n">
        <v>46106</v>
      </c>
      <c r="E1183" s="1" t="n">
        <v>46314</v>
      </c>
      <c r="F1183" t="inlineStr">
        <is>
          <t>DALARNAS LÄN</t>
        </is>
      </c>
      <c r="G1183" t="inlineStr">
        <is>
          <t>FALUN</t>
        </is>
      </c>
      <c r="I1183" t="n">
        <v>15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s="2" t="inlineStr"/>
    </row>
    <row r="1184" ht="15" customHeight="1">
      <c r="A1184" t="inlineStr">
        <is>
          <t>A 15123-2026</t>
        </is>
      </c>
      <c r="B1184" t="inlineStr">
        <is>
          <t>avverkningsanmälan</t>
        </is>
      </c>
      <c r="C1184" t="inlineStr">
        <is>
          <t>Föryngringsavverkning</t>
        </is>
      </c>
      <c r="D1184" s="1" t="n">
        <v>46105</v>
      </c>
      <c r="E1184" s="1" t="n">
        <v>46314</v>
      </c>
      <c r="F1184" t="inlineStr">
        <is>
          <t>DALARNAS LÄN</t>
        </is>
      </c>
      <c r="G1184" t="inlineStr">
        <is>
          <t>FALUN</t>
        </is>
      </c>
      <c r="I1184" t="n">
        <v>0.6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s="2" t="inlineStr"/>
    </row>
    <row r="1185" ht="15" customHeight="1">
      <c r="A1185" t="inlineStr">
        <is>
          <t>A 15133-2026</t>
        </is>
      </c>
      <c r="B1185" t="inlineStr">
        <is>
          <t>avverkningsanmälan</t>
        </is>
      </c>
      <c r="C1185" t="inlineStr">
        <is>
          <t>Föryngringsavverkning</t>
        </is>
      </c>
      <c r="D1185" s="1" t="n">
        <v>46105</v>
      </c>
      <c r="E1185" s="1" t="n">
        <v>46314</v>
      </c>
      <c r="F1185" t="inlineStr">
        <is>
          <t>DALARNAS LÄN</t>
        </is>
      </c>
      <c r="G1185" t="inlineStr">
        <is>
          <t>FALUN</t>
        </is>
      </c>
      <c r="H1185" t="inlineStr">
        <is>
          <t>Bergvik skog väst AB</t>
        </is>
      </c>
      <c r="I1185" t="n">
        <v>11.5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s="2" t="inlineStr"/>
    </row>
    <row r="1186" ht="15" customHeight="1">
      <c r="A1186" t="inlineStr">
        <is>
          <t>A 47767-2024</t>
        </is>
      </c>
      <c r="B1186" t="inlineStr">
        <is>
          <t>avverkningsanmälan</t>
        </is>
      </c>
      <c r="C1186" t="inlineStr">
        <is>
          <t>Föryngringsavverkning</t>
        </is>
      </c>
      <c r="D1186" s="1" t="n">
        <v>45588</v>
      </c>
      <c r="E1186" s="1" t="n">
        <v>46314</v>
      </c>
      <c r="F1186" t="inlineStr">
        <is>
          <t>DALARNAS LÄN</t>
        </is>
      </c>
      <c r="G1186" t="inlineStr">
        <is>
          <t>FALUN</t>
        </is>
      </c>
      <c r="H1186" t="inlineStr">
        <is>
          <t>Bergvik skog väst AB</t>
        </is>
      </c>
      <c r="I1186" t="n">
        <v>3.8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s="2" t="inlineStr"/>
    </row>
    <row r="1187" ht="15" customHeight="1">
      <c r="A1187" t="inlineStr">
        <is>
          <t>A 15550-2026</t>
        </is>
      </c>
      <c r="B1187" t="inlineStr">
        <is>
          <t>avverkningsanmälan</t>
        </is>
      </c>
      <c r="C1187" t="inlineStr">
        <is>
          <t>Föryngringsavverkning</t>
        </is>
      </c>
      <c r="D1187" s="1" t="n">
        <v>46106</v>
      </c>
      <c r="E1187" s="1" t="n">
        <v>46314</v>
      </c>
      <c r="F1187" t="inlineStr">
        <is>
          <t>DALARNAS LÄN</t>
        </is>
      </c>
      <c r="G1187" t="inlineStr">
        <is>
          <t>FALUN</t>
        </is>
      </c>
      <c r="I1187" t="n">
        <v>1.7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s="2" t="inlineStr"/>
    </row>
    <row r="1188" ht="15" customHeight="1">
      <c r="A1188" t="inlineStr">
        <is>
          <t>A 15670-2026</t>
        </is>
      </c>
      <c r="B1188" t="inlineStr">
        <is>
          <t>avverkningsanmälan</t>
        </is>
      </c>
      <c r="C1188" t="inlineStr">
        <is>
          <t>Föryngringsavverkning</t>
        </is>
      </c>
      <c r="D1188" s="1" t="n">
        <v>46106</v>
      </c>
      <c r="E1188" s="1" t="n">
        <v>46314</v>
      </c>
      <c r="F1188" t="inlineStr">
        <is>
          <t>DALARNAS LÄN</t>
        </is>
      </c>
      <c r="G1188" t="inlineStr">
        <is>
          <t>FALUN</t>
        </is>
      </c>
      <c r="I1188" t="n">
        <v>0.9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s="2" t="inlineStr"/>
    </row>
    <row r="1189" ht="15" customHeight="1">
      <c r="A1189" t="inlineStr">
        <is>
          <t>A 28252-2026</t>
        </is>
      </c>
      <c r="B1189" t="inlineStr">
        <is>
          <t>avverkningsanmälan</t>
        </is>
      </c>
      <c r="C1189" t="inlineStr">
        <is>
          <t>Föryngringsavverkning</t>
        </is>
      </c>
      <c r="D1189" s="1" t="n">
        <v>46196</v>
      </c>
      <c r="E1189" s="1" t="n">
        <v>46314</v>
      </c>
      <c r="F1189" t="inlineStr">
        <is>
          <t>DALARNAS LÄN</t>
        </is>
      </c>
      <c r="G1189" t="inlineStr">
        <is>
          <t>FALUN</t>
        </is>
      </c>
      <c r="I1189" t="n">
        <v>3.6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s="2" t="inlineStr"/>
    </row>
    <row r="1190" ht="15" customHeight="1">
      <c r="A1190" t="inlineStr">
        <is>
          <t>A 6183-2026</t>
        </is>
      </c>
      <c r="B1190" t="inlineStr">
        <is>
          <t>avverkningsanmälan</t>
        </is>
      </c>
      <c r="C1190" t="inlineStr">
        <is>
          <t>Föryngringsavverkning</t>
        </is>
      </c>
      <c r="D1190" s="1" t="n">
        <v>46055</v>
      </c>
      <c r="E1190" s="1" t="n">
        <v>46314</v>
      </c>
      <c r="F1190" t="inlineStr">
        <is>
          <t>DALARNAS LÄN</t>
        </is>
      </c>
      <c r="G1190" t="inlineStr">
        <is>
          <t>FALUN</t>
        </is>
      </c>
      <c r="I1190" t="n">
        <v>9.6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s="2" t="inlineStr"/>
    </row>
    <row r="1191" ht="15" customHeight="1">
      <c r="A1191" t="inlineStr">
        <is>
          <t>A 15209-2026</t>
        </is>
      </c>
      <c r="B1191" t="inlineStr">
        <is>
          <t>avverkningsanmälan</t>
        </is>
      </c>
      <c r="C1191" t="inlineStr">
        <is>
          <t>Föryngringsavverkning</t>
        </is>
      </c>
      <c r="D1191" s="1" t="n">
        <v>46105</v>
      </c>
      <c r="E1191" s="1" t="n">
        <v>46314</v>
      </c>
      <c r="F1191" t="inlineStr">
        <is>
          <t>DALARNAS LÄN</t>
        </is>
      </c>
      <c r="G1191" t="inlineStr">
        <is>
          <t>FALUN</t>
        </is>
      </c>
      <c r="I1191" t="n">
        <v>1.2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s="2" t="inlineStr"/>
    </row>
    <row r="1192" ht="15" customHeight="1">
      <c r="A1192" t="inlineStr">
        <is>
          <t>A 15208-2026</t>
        </is>
      </c>
      <c r="B1192" t="inlineStr">
        <is>
          <t>avverkningsanmälan</t>
        </is>
      </c>
      <c r="C1192" t="inlineStr">
        <is>
          <t>Föryngringsavverkning</t>
        </is>
      </c>
      <c r="D1192" s="1" t="n">
        <v>46105</v>
      </c>
      <c r="E1192" s="1" t="n">
        <v>46314</v>
      </c>
      <c r="F1192" t="inlineStr">
        <is>
          <t>DALARNAS LÄN</t>
        </is>
      </c>
      <c r="G1192" t="inlineStr">
        <is>
          <t>FALUN</t>
        </is>
      </c>
      <c r="I1192" t="n">
        <v>1.5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s="2" t="inlineStr"/>
    </row>
    <row r="1193" ht="15" customHeight="1">
      <c r="A1193" t="inlineStr">
        <is>
          <t>A 28117-2026</t>
        </is>
      </c>
      <c r="B1193" t="inlineStr">
        <is>
          <t>avverkningsanmälan</t>
        </is>
      </c>
      <c r="C1193" t="inlineStr">
        <is>
          <t>Föryngringsavverkning</t>
        </is>
      </c>
      <c r="D1193" s="1" t="n">
        <v>46195</v>
      </c>
      <c r="E1193" s="1" t="n">
        <v>46314</v>
      </c>
      <c r="F1193" t="inlineStr">
        <is>
          <t>DALARNAS LÄN</t>
        </is>
      </c>
      <c r="G1193" t="inlineStr">
        <is>
          <t>FALUN</t>
        </is>
      </c>
      <c r="I1193" t="n">
        <v>10.2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s="2" t="inlineStr"/>
    </row>
    <row r="1194" ht="15" customHeight="1">
      <c r="A1194" t="inlineStr">
        <is>
          <t>A 48589-2024</t>
        </is>
      </c>
      <c r="B1194" t="inlineStr">
        <is>
          <t>avverkningsanmälan</t>
        </is>
      </c>
      <c r="C1194" t="inlineStr">
        <is>
          <t>Föryngringsavverkning</t>
        </is>
      </c>
      <c r="D1194" s="1" t="n">
        <v>45593</v>
      </c>
      <c r="E1194" s="1" t="n">
        <v>46314</v>
      </c>
      <c r="F1194" t="inlineStr">
        <is>
          <t>DALARNAS LÄN</t>
        </is>
      </c>
      <c r="G1194" t="inlineStr">
        <is>
          <t>FALUN</t>
        </is>
      </c>
      <c r="I1194" t="n">
        <v>1.2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s="2" t="inlineStr"/>
    </row>
    <row r="1195" ht="15" customHeight="1">
      <c r="A1195" t="inlineStr">
        <is>
          <t>A 15333-2026</t>
        </is>
      </c>
      <c r="B1195" t="inlineStr">
        <is>
          <t>avverkningsanmälan</t>
        </is>
      </c>
      <c r="C1195" t="inlineStr">
        <is>
          <t>Föryngringsavverkning</t>
        </is>
      </c>
      <c r="D1195" s="1" t="n">
        <v>46105</v>
      </c>
      <c r="E1195" s="1" t="n">
        <v>46314</v>
      </c>
      <c r="F1195" t="inlineStr">
        <is>
          <t>DALARNAS LÄN</t>
        </is>
      </c>
      <c r="G1195" t="inlineStr">
        <is>
          <t>FALUN</t>
        </is>
      </c>
      <c r="I1195" t="n">
        <v>1.7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s="2" t="inlineStr"/>
    </row>
    <row r="1196" ht="15" customHeight="1">
      <c r="A1196" t="inlineStr">
        <is>
          <t>A 27970-2026</t>
        </is>
      </c>
      <c r="B1196" t="inlineStr">
        <is>
          <t>avverkningsanmälan</t>
        </is>
      </c>
      <c r="C1196" t="inlineStr">
        <is>
          <t>Föryngringsavverkning</t>
        </is>
      </c>
      <c r="D1196" s="1" t="n">
        <v>46195</v>
      </c>
      <c r="E1196" s="1" t="n">
        <v>46314</v>
      </c>
      <c r="F1196" t="inlineStr">
        <is>
          <t>DALARNAS LÄN</t>
        </is>
      </c>
      <c r="G1196" t="inlineStr">
        <is>
          <t>FALUN</t>
        </is>
      </c>
      <c r="I1196" t="n">
        <v>1.7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s="2" t="inlineStr"/>
    </row>
    <row r="1197" ht="15" customHeight="1">
      <c r="A1197" t="inlineStr">
        <is>
          <t>A 6301-2026</t>
        </is>
      </c>
      <c r="B1197" t="inlineStr">
        <is>
          <t>avverkningsanmälan</t>
        </is>
      </c>
      <c r="C1197" t="inlineStr">
        <is>
          <t>Föryngringsavverkning</t>
        </is>
      </c>
      <c r="D1197" s="1" t="n">
        <v>46055</v>
      </c>
      <c r="E1197" s="1" t="n">
        <v>46314</v>
      </c>
      <c r="F1197" t="inlineStr">
        <is>
          <t>DALARNAS LÄN</t>
        </is>
      </c>
      <c r="G1197" t="inlineStr">
        <is>
          <t>FALUN</t>
        </is>
      </c>
      <c r="I1197" t="n">
        <v>12.4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s="2" t="inlineStr"/>
    </row>
    <row r="1198" ht="15" customHeight="1">
      <c r="A1198" t="inlineStr">
        <is>
          <t>A 15169-2026</t>
        </is>
      </c>
      <c r="B1198" t="inlineStr">
        <is>
          <t>avverkningsanmälan</t>
        </is>
      </c>
      <c r="C1198" t="inlineStr">
        <is>
          <t>Föryngringsavverkning</t>
        </is>
      </c>
      <c r="D1198" s="1" t="n">
        <v>46105</v>
      </c>
      <c r="E1198" s="1" t="n">
        <v>46314</v>
      </c>
      <c r="F1198" t="inlineStr">
        <is>
          <t>DALARNAS LÄN</t>
        </is>
      </c>
      <c r="G1198" t="inlineStr">
        <is>
          <t>FALUN</t>
        </is>
      </c>
      <c r="H1198" t="inlineStr">
        <is>
          <t>Bergvik skog väst AB</t>
        </is>
      </c>
      <c r="I1198" t="n">
        <v>33.4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s="2" t="inlineStr"/>
    </row>
    <row r="1199" ht="15" customHeight="1">
      <c r="A1199" t="inlineStr">
        <is>
          <t>A 28085-2026</t>
        </is>
      </c>
      <c r="B1199" t="inlineStr">
        <is>
          <t>avverkningsanmälan</t>
        </is>
      </c>
      <c r="C1199" t="inlineStr">
        <is>
          <t>Föryngringsavverkning</t>
        </is>
      </c>
      <c r="D1199" s="1" t="n">
        <v>46195</v>
      </c>
      <c r="E1199" s="1" t="n">
        <v>46314</v>
      </c>
      <c r="F1199" t="inlineStr">
        <is>
          <t>DALARNAS LÄN</t>
        </is>
      </c>
      <c r="G1199" t="inlineStr">
        <is>
          <t>FALUN</t>
        </is>
      </c>
      <c r="I1199" t="n">
        <v>1.4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s="2" t="inlineStr"/>
    </row>
    <row r="1200" ht="15" customHeight="1">
      <c r="A1200" t="inlineStr">
        <is>
          <t>A 28092-2026</t>
        </is>
      </c>
      <c r="B1200" t="inlineStr">
        <is>
          <t>avverkningsanmälan</t>
        </is>
      </c>
      <c r="C1200" t="inlineStr">
        <is>
          <t>Föryngringsavverkning</t>
        </is>
      </c>
      <c r="D1200" s="1" t="n">
        <v>46195</v>
      </c>
      <c r="E1200" s="1" t="n">
        <v>46314</v>
      </c>
      <c r="F1200" t="inlineStr">
        <is>
          <t>DALARNAS LÄN</t>
        </is>
      </c>
      <c r="G1200" t="inlineStr">
        <is>
          <t>FALUN</t>
        </is>
      </c>
      <c r="I1200" t="n">
        <v>6.8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s="2" t="inlineStr"/>
    </row>
    <row r="1201" ht="15" customHeight="1">
      <c r="A1201" t="inlineStr">
        <is>
          <t>A 28189-2026</t>
        </is>
      </c>
      <c r="B1201" t="inlineStr">
        <is>
          <t>avverkningsanmälan</t>
        </is>
      </c>
      <c r="C1201" t="inlineStr">
        <is>
          <t>Föryngringsavverkning</t>
        </is>
      </c>
      <c r="D1201" s="1" t="n">
        <v>46195</v>
      </c>
      <c r="E1201" s="1" t="n">
        <v>46314</v>
      </c>
      <c r="F1201" t="inlineStr">
        <is>
          <t>DALARNAS LÄN</t>
        </is>
      </c>
      <c r="G1201" t="inlineStr">
        <is>
          <t>FALUN</t>
        </is>
      </c>
      <c r="I1201" t="n">
        <v>7.3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s="2" t="inlineStr"/>
    </row>
    <row r="1202" ht="15" customHeight="1">
      <c r="A1202" t="inlineStr">
        <is>
          <t>A 50123-2024</t>
        </is>
      </c>
      <c r="B1202" t="inlineStr">
        <is>
          <t>avverkningsanmälan</t>
        </is>
      </c>
      <c r="C1202" t="inlineStr">
        <is>
          <t>Föryngringsavverkning</t>
        </is>
      </c>
      <c r="D1202" s="1" t="n">
        <v>45600</v>
      </c>
      <c r="E1202" s="1" t="n">
        <v>46314</v>
      </c>
      <c r="F1202" t="inlineStr">
        <is>
          <t>DALARNAS LÄN</t>
        </is>
      </c>
      <c r="G1202" t="inlineStr">
        <is>
          <t>FALUN</t>
        </is>
      </c>
      <c r="I1202" t="n">
        <v>1.7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s="2" t="inlineStr"/>
    </row>
    <row r="1203" ht="15" customHeight="1">
      <c r="A1203" t="inlineStr">
        <is>
          <t>A 16888-2024</t>
        </is>
      </c>
      <c r="B1203" t="inlineStr">
        <is>
          <t>avverkningsanmälan</t>
        </is>
      </c>
      <c r="C1203" t="inlineStr">
        <is>
          <t>Föryngringsavverkning</t>
        </is>
      </c>
      <c r="D1203" s="1" t="n">
        <v>45411</v>
      </c>
      <c r="E1203" s="1" t="n">
        <v>46314</v>
      </c>
      <c r="F1203" t="inlineStr">
        <is>
          <t>DALARNAS LÄN</t>
        </is>
      </c>
      <c r="G1203" t="inlineStr">
        <is>
          <t>FALUN</t>
        </is>
      </c>
      <c r="H1203" t="inlineStr">
        <is>
          <t>Bergvik skog väst AB</t>
        </is>
      </c>
      <c r="I1203" t="n">
        <v>6.1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s="2" t="inlineStr"/>
    </row>
    <row r="1204" ht="15" customHeight="1">
      <c r="A1204" t="inlineStr">
        <is>
          <t>A 50266-2024</t>
        </is>
      </c>
      <c r="B1204" t="inlineStr">
        <is>
          <t>avverkningsanmälan</t>
        </is>
      </c>
      <c r="C1204" t="inlineStr">
        <is>
          <t>Föryngringsavverkning</t>
        </is>
      </c>
      <c r="D1204" s="1" t="n">
        <v>45600</v>
      </c>
      <c r="E1204" s="1" t="n">
        <v>46314</v>
      </c>
      <c r="F1204" t="inlineStr">
        <is>
          <t>DALARNAS LÄN</t>
        </is>
      </c>
      <c r="G1204" t="inlineStr">
        <is>
          <t>FALUN</t>
        </is>
      </c>
      <c r="I1204" t="n">
        <v>5.4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s="2" t="inlineStr"/>
    </row>
    <row r="1205" ht="15" customHeight="1">
      <c r="A1205" t="inlineStr">
        <is>
          <t>A 15366-2026</t>
        </is>
      </c>
      <c r="B1205" t="inlineStr">
        <is>
          <t>avverkningsanmälan</t>
        </is>
      </c>
      <c r="C1205" t="inlineStr">
        <is>
          <t>Föryngringsavverkning</t>
        </is>
      </c>
      <c r="D1205" s="1" t="n">
        <v>46105</v>
      </c>
      <c r="E1205" s="1" t="n">
        <v>46314</v>
      </c>
      <c r="F1205" t="inlineStr">
        <is>
          <t>DALARNAS LÄN</t>
        </is>
      </c>
      <c r="G1205" t="inlineStr">
        <is>
          <t>FALUN</t>
        </is>
      </c>
      <c r="I1205" t="n">
        <v>5.2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s="2" t="inlineStr"/>
    </row>
    <row r="1206" ht="15" customHeight="1">
      <c r="A1206" t="inlineStr">
        <is>
          <t>A 15086-2026</t>
        </is>
      </c>
      <c r="B1206" t="inlineStr">
        <is>
          <t>avverkningsanmälan</t>
        </is>
      </c>
      <c r="C1206" t="inlineStr">
        <is>
          <t>Föryngringsavverkning</t>
        </is>
      </c>
      <c r="D1206" s="1" t="n">
        <v>46105</v>
      </c>
      <c r="E1206" s="1" t="n">
        <v>46314</v>
      </c>
      <c r="F1206" t="inlineStr">
        <is>
          <t>DALARNAS LÄN</t>
        </is>
      </c>
      <c r="G1206" t="inlineStr">
        <is>
          <t>FALUN</t>
        </is>
      </c>
      <c r="I1206" t="n">
        <v>3.4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s="2" t="inlineStr"/>
    </row>
    <row r="1207" ht="15" customHeight="1">
      <c r="A1207" t="inlineStr">
        <is>
          <t>A 15954-2026</t>
        </is>
      </c>
      <c r="B1207" t="inlineStr">
        <is>
          <t>avverkningsanmälan</t>
        </is>
      </c>
      <c r="C1207" t="inlineStr">
        <is>
          <t>Avverkning för annat ändamål</t>
        </is>
      </c>
      <c r="D1207" s="1" t="n">
        <v>46108</v>
      </c>
      <c r="E1207" s="1" t="n">
        <v>46314</v>
      </c>
      <c r="F1207" t="inlineStr">
        <is>
          <t>DALARNAS LÄN</t>
        </is>
      </c>
      <c r="G1207" t="inlineStr">
        <is>
          <t>FALUN</t>
        </is>
      </c>
      <c r="I1207" t="n">
        <v>2.4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s="2" t="inlineStr"/>
    </row>
    <row r="1208" ht="15" customHeight="1">
      <c r="A1208" t="inlineStr">
        <is>
          <t>A 1466-2023</t>
        </is>
      </c>
      <c r="B1208" t="inlineStr">
        <is>
          <t>avverkningsanmälan</t>
        </is>
      </c>
      <c r="C1208" t="inlineStr">
        <is>
          <t>Föryngringsavverkning</t>
        </is>
      </c>
      <c r="D1208" s="1" t="n">
        <v>44937</v>
      </c>
      <c r="E1208" s="1" t="n">
        <v>46314</v>
      </c>
      <c r="F1208" t="inlineStr">
        <is>
          <t>DALARNAS LÄN</t>
        </is>
      </c>
      <c r="G1208" t="inlineStr">
        <is>
          <t>FALUN</t>
        </is>
      </c>
      <c r="I1208" t="n">
        <v>0.7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s="2" t="inlineStr"/>
    </row>
    <row r="1209" ht="15" customHeight="1">
      <c r="A1209" t="inlineStr">
        <is>
          <t>A 16073-2026</t>
        </is>
      </c>
      <c r="B1209" t="inlineStr">
        <is>
          <t>avverkningsanmälan</t>
        </is>
      </c>
      <c r="C1209" t="inlineStr">
        <is>
          <t>Föryngringsavverkning</t>
        </is>
      </c>
      <c r="D1209" s="1" t="n">
        <v>46108</v>
      </c>
      <c r="E1209" s="1" t="n">
        <v>46314</v>
      </c>
      <c r="F1209" t="inlineStr">
        <is>
          <t>DALARNAS LÄN</t>
        </is>
      </c>
      <c r="G1209" t="inlineStr">
        <is>
          <t>FALUN</t>
        </is>
      </c>
      <c r="I1209" t="n">
        <v>2.3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s="2" t="inlineStr"/>
    </row>
    <row r="1210" ht="15" customHeight="1">
      <c r="A1210" t="inlineStr">
        <is>
          <t>A 15637-2026</t>
        </is>
      </c>
      <c r="B1210" t="inlineStr">
        <is>
          <t>avverkningsanmälan</t>
        </is>
      </c>
      <c r="C1210" t="inlineStr">
        <is>
          <t>Föryngringsavverkning</t>
        </is>
      </c>
      <c r="D1210" s="1" t="n">
        <v>46106</v>
      </c>
      <c r="E1210" s="1" t="n">
        <v>46314</v>
      </c>
      <c r="F1210" t="inlineStr">
        <is>
          <t>DALARNAS LÄN</t>
        </is>
      </c>
      <c r="G1210" t="inlineStr">
        <is>
          <t>FALUN</t>
        </is>
      </c>
      <c r="I1210" t="n">
        <v>1.9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s="2" t="inlineStr"/>
    </row>
    <row r="1211" ht="15" customHeight="1">
      <c r="A1211" t="inlineStr">
        <is>
          <t>A 15737-2026</t>
        </is>
      </c>
      <c r="B1211" t="inlineStr">
        <is>
          <t>avverkningsanmälan</t>
        </is>
      </c>
      <c r="C1211" t="inlineStr">
        <is>
          <t>Föryngringsavverkning</t>
        </is>
      </c>
      <c r="D1211" s="1" t="n">
        <v>46107</v>
      </c>
      <c r="E1211" s="1" t="n">
        <v>46314</v>
      </c>
      <c r="F1211" t="inlineStr">
        <is>
          <t>DALARNAS LÄN</t>
        </is>
      </c>
      <c r="G1211" t="inlineStr">
        <is>
          <t>FALUN</t>
        </is>
      </c>
      <c r="I1211" t="n">
        <v>2.5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s="2" t="inlineStr"/>
    </row>
    <row r="1212" ht="15" customHeight="1">
      <c r="A1212" t="inlineStr">
        <is>
          <t>A 28663-2026</t>
        </is>
      </c>
      <c r="B1212" t="inlineStr">
        <is>
          <t>avverkningsanmälan</t>
        </is>
      </c>
      <c r="C1212" t="inlineStr">
        <is>
          <t>Föryngringsavverkning</t>
        </is>
      </c>
      <c r="D1212" s="1" t="n">
        <v>46198</v>
      </c>
      <c r="E1212" s="1" t="n">
        <v>46314</v>
      </c>
      <c r="F1212" t="inlineStr">
        <is>
          <t>DALARNAS LÄN</t>
        </is>
      </c>
      <c r="G1212" t="inlineStr">
        <is>
          <t>FALUN</t>
        </is>
      </c>
      <c r="I1212" t="n">
        <v>7.5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s="2" t="inlineStr"/>
    </row>
    <row r="1213" ht="15" customHeight="1">
      <c r="A1213" t="inlineStr">
        <is>
          <t>A 16378-2026</t>
        </is>
      </c>
      <c r="B1213" t="inlineStr">
        <is>
          <t>avverkningsanmälan</t>
        </is>
      </c>
      <c r="C1213" t="inlineStr">
        <is>
          <t>Föryngringsavverkning</t>
        </is>
      </c>
      <c r="D1213" s="1" t="n">
        <v>46111</v>
      </c>
      <c r="E1213" s="1" t="n">
        <v>46314</v>
      </c>
      <c r="F1213" t="inlineStr">
        <is>
          <t>DALARNAS LÄN</t>
        </is>
      </c>
      <c r="G1213" t="inlineStr">
        <is>
          <t>FALUN</t>
        </is>
      </c>
      <c r="H1213" t="inlineStr">
        <is>
          <t>Allmännings- och besparingsskogar</t>
        </is>
      </c>
      <c r="I1213" t="n">
        <v>6.3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s="2" t="inlineStr"/>
    </row>
    <row r="1214" ht="15" customHeight="1">
      <c r="A1214" t="inlineStr">
        <is>
          <t>A 16379-2026</t>
        </is>
      </c>
      <c r="B1214" t="inlineStr">
        <is>
          <t>avverkningsanmälan</t>
        </is>
      </c>
      <c r="C1214" t="inlineStr">
        <is>
          <t>Föryngringsavverkning</t>
        </is>
      </c>
      <c r="D1214" s="1" t="n">
        <v>46111</v>
      </c>
      <c r="E1214" s="1" t="n">
        <v>46314</v>
      </c>
      <c r="F1214" t="inlineStr">
        <is>
          <t>DALARNAS LÄN</t>
        </is>
      </c>
      <c r="G1214" t="inlineStr">
        <is>
          <t>FALUN</t>
        </is>
      </c>
      <c r="H1214" t="inlineStr">
        <is>
          <t>Allmännings- och besparingsskogar</t>
        </is>
      </c>
      <c r="I1214" t="n">
        <v>2.2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s="2" t="inlineStr"/>
    </row>
    <row r="1215" ht="15" customHeight="1">
      <c r="A1215" t="inlineStr">
        <is>
          <t>A 16303-2026</t>
        </is>
      </c>
      <c r="B1215" t="inlineStr">
        <is>
          <t>avverkningsanmälan</t>
        </is>
      </c>
      <c r="C1215" t="inlineStr">
        <is>
          <t>Föryngringsavverkning</t>
        </is>
      </c>
      <c r="D1215" s="1" t="n">
        <v>46111</v>
      </c>
      <c r="E1215" s="1" t="n">
        <v>46314</v>
      </c>
      <c r="F1215" t="inlineStr">
        <is>
          <t>DALARNAS LÄN</t>
        </is>
      </c>
      <c r="G1215" t="inlineStr">
        <is>
          <t>FALUN</t>
        </is>
      </c>
      <c r="I1215" t="n">
        <v>7.5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s="2" t="inlineStr"/>
    </row>
    <row r="1216" ht="15" customHeight="1">
      <c r="A1216" t="inlineStr">
        <is>
          <t>A 16274-2026</t>
        </is>
      </c>
      <c r="B1216" t="inlineStr">
        <is>
          <t>avverkningsanmälan</t>
        </is>
      </c>
      <c r="C1216" t="inlineStr">
        <is>
          <t>Föryngringsavverkning</t>
        </is>
      </c>
      <c r="D1216" s="1" t="n">
        <v>46111</v>
      </c>
      <c r="E1216" s="1" t="n">
        <v>46314</v>
      </c>
      <c r="F1216" t="inlineStr">
        <is>
          <t>DALARNAS LÄN</t>
        </is>
      </c>
      <c r="G1216" t="inlineStr">
        <is>
          <t>FALUN</t>
        </is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s="2" t="inlineStr"/>
    </row>
    <row r="1217" ht="15" customHeight="1">
      <c r="A1217" t="inlineStr">
        <is>
          <t>A 16165-2026</t>
        </is>
      </c>
      <c r="B1217" t="inlineStr">
        <is>
          <t>avverkningsanmälan</t>
        </is>
      </c>
      <c r="C1217" t="inlineStr">
        <is>
          <t>Föryngringsavverkning</t>
        </is>
      </c>
      <c r="D1217" s="1" t="n">
        <v>46110</v>
      </c>
      <c r="E1217" s="1" t="n">
        <v>46314</v>
      </c>
      <c r="F1217" t="inlineStr">
        <is>
          <t>DALARNAS LÄN</t>
        </is>
      </c>
      <c r="G1217" t="inlineStr">
        <is>
          <t>FALUN</t>
        </is>
      </c>
      <c r="I1217" t="n">
        <v>2.9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s="2" t="inlineStr"/>
    </row>
    <row r="1218" ht="15" customHeight="1">
      <c r="A1218" t="inlineStr">
        <is>
          <t>A 16166-2026</t>
        </is>
      </c>
      <c r="B1218" t="inlineStr">
        <is>
          <t>avverkningsanmälan</t>
        </is>
      </c>
      <c r="C1218" t="inlineStr">
        <is>
          <t>Föryngringsavverkning</t>
        </is>
      </c>
      <c r="D1218" s="1" t="n">
        <v>46110</v>
      </c>
      <c r="E1218" s="1" t="n">
        <v>46314</v>
      </c>
      <c r="F1218" t="inlineStr">
        <is>
          <t>DALARNAS LÄN</t>
        </is>
      </c>
      <c r="G1218" t="inlineStr">
        <is>
          <t>FALUN</t>
        </is>
      </c>
      <c r="I1218" t="n">
        <v>3.1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s="2" t="inlineStr"/>
    </row>
    <row r="1219" ht="15" customHeight="1">
      <c r="A1219" t="inlineStr">
        <is>
          <t>A 16256-2026</t>
        </is>
      </c>
      <c r="B1219" t="inlineStr">
        <is>
          <t>avverkningsanmälan</t>
        </is>
      </c>
      <c r="C1219" t="inlineStr">
        <is>
          <t>Föryngringsavverkning</t>
        </is>
      </c>
      <c r="D1219" s="1" t="n">
        <v>46111</v>
      </c>
      <c r="E1219" s="1" t="n">
        <v>46314</v>
      </c>
      <c r="F1219" t="inlineStr">
        <is>
          <t>DALARNAS LÄN</t>
        </is>
      </c>
      <c r="G1219" t="inlineStr">
        <is>
          <t>FALUN</t>
        </is>
      </c>
      <c r="I1219" t="n">
        <v>1.5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s="2" t="inlineStr"/>
    </row>
    <row r="1220" ht="15" customHeight="1">
      <c r="A1220" t="inlineStr">
        <is>
          <t>A 16377-2026</t>
        </is>
      </c>
      <c r="B1220" t="inlineStr">
        <is>
          <t>avverkningsanmälan</t>
        </is>
      </c>
      <c r="C1220" t="inlineStr">
        <is>
          <t>Föryngringsavverkning</t>
        </is>
      </c>
      <c r="D1220" s="1" t="n">
        <v>46111</v>
      </c>
      <c r="E1220" s="1" t="n">
        <v>46314</v>
      </c>
      <c r="F1220" t="inlineStr">
        <is>
          <t>DALARNAS LÄN</t>
        </is>
      </c>
      <c r="G1220" t="inlineStr">
        <is>
          <t>FALUN</t>
        </is>
      </c>
      <c r="H1220" t="inlineStr">
        <is>
          <t>Allmännings- och besparingsskogar</t>
        </is>
      </c>
      <c r="I1220" t="n">
        <v>7.3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s="2" t="inlineStr"/>
    </row>
    <row r="1221" ht="15" customHeight="1">
      <c r="A1221" t="inlineStr">
        <is>
          <t>A 16415-2026</t>
        </is>
      </c>
      <c r="B1221" t="inlineStr">
        <is>
          <t>avverkningsanmälan</t>
        </is>
      </c>
      <c r="C1221" t="inlineStr">
        <is>
          <t>Föryngringsavverkning</t>
        </is>
      </c>
      <c r="D1221" s="1" t="n">
        <v>46111</v>
      </c>
      <c r="E1221" s="1" t="n">
        <v>46314</v>
      </c>
      <c r="F1221" t="inlineStr">
        <is>
          <t>DALARNAS LÄN</t>
        </is>
      </c>
      <c r="G1221" t="inlineStr">
        <is>
          <t>FALUN</t>
        </is>
      </c>
      <c r="H1221" t="inlineStr">
        <is>
          <t>Allmännings- och besparingsskogar</t>
        </is>
      </c>
      <c r="I1221" t="n">
        <v>4.8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s="2" t="inlineStr"/>
    </row>
    <row r="1222" ht="15" customHeight="1">
      <c r="A1222" t="inlineStr">
        <is>
          <t>A 16327-2026</t>
        </is>
      </c>
      <c r="B1222" t="inlineStr">
        <is>
          <t>avverkningsanmälan</t>
        </is>
      </c>
      <c r="C1222" t="inlineStr">
        <is>
          <t>Föryngringsavverkning</t>
        </is>
      </c>
      <c r="D1222" s="1" t="n">
        <v>46111</v>
      </c>
      <c r="E1222" s="1" t="n">
        <v>46314</v>
      </c>
      <c r="F1222" t="inlineStr">
        <is>
          <t>DALARNAS LÄN</t>
        </is>
      </c>
      <c r="G1222" t="inlineStr">
        <is>
          <t>FALUN</t>
        </is>
      </c>
      <c r="H1222" t="inlineStr">
        <is>
          <t>Bergvik skog väst AB</t>
        </is>
      </c>
      <c r="I1222" t="n">
        <v>13.5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s="2" t="inlineStr"/>
    </row>
    <row r="1223" ht="15" customHeight="1">
      <c r="A1223" t="inlineStr">
        <is>
          <t>A 54082-2023</t>
        </is>
      </c>
      <c r="B1223" t="inlineStr">
        <is>
          <t>avverkningsanmälan</t>
        </is>
      </c>
      <c r="C1223" t="inlineStr">
        <is>
          <t>Föryngringsavverkning</t>
        </is>
      </c>
      <c r="D1223" s="1" t="n">
        <v>45232</v>
      </c>
      <c r="E1223" s="1" t="n">
        <v>46314</v>
      </c>
      <c r="F1223" t="inlineStr">
        <is>
          <t>DALARNAS LÄN</t>
        </is>
      </c>
      <c r="G1223" t="inlineStr">
        <is>
          <t>FALUN</t>
        </is>
      </c>
      <c r="I1223" t="n">
        <v>2.1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s="2" t="inlineStr"/>
    </row>
    <row r="1224" ht="15" customHeight="1">
      <c r="A1224" t="inlineStr">
        <is>
          <t>A 16934-2026</t>
        </is>
      </c>
      <c r="B1224" t="inlineStr">
        <is>
          <t>avverkningsanmälan</t>
        </is>
      </c>
      <c r="C1224" t="inlineStr">
        <is>
          <t>Föryngringsavverkning</t>
        </is>
      </c>
      <c r="D1224" s="1" t="n">
        <v>46113</v>
      </c>
      <c r="E1224" s="1" t="n">
        <v>46314</v>
      </c>
      <c r="F1224" t="inlineStr">
        <is>
          <t>DALARNAS LÄN</t>
        </is>
      </c>
      <c r="G1224" t="inlineStr">
        <is>
          <t>FALUN</t>
        </is>
      </c>
      <c r="I1224" t="n">
        <v>2.7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s="2" t="inlineStr"/>
    </row>
    <row r="1225" ht="15" customHeight="1">
      <c r="A1225" t="inlineStr">
        <is>
          <t>A 17067-2026</t>
        </is>
      </c>
      <c r="B1225" t="inlineStr">
        <is>
          <t>avverkningsanmälan</t>
        </is>
      </c>
      <c r="C1225" t="inlineStr">
        <is>
          <t>Föryngringsavverkning</t>
        </is>
      </c>
      <c r="D1225" s="1" t="n">
        <v>46114</v>
      </c>
      <c r="E1225" s="1" t="n">
        <v>46314</v>
      </c>
      <c r="F1225" t="inlineStr">
        <is>
          <t>DALARNAS LÄN</t>
        </is>
      </c>
      <c r="G1225" t="inlineStr">
        <is>
          <t>FALUN</t>
        </is>
      </c>
      <c r="I1225" t="n">
        <v>2.3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s="2" t="inlineStr"/>
    </row>
    <row r="1226" ht="15" customHeight="1">
      <c r="A1226" t="inlineStr">
        <is>
          <t>A 55542-2023</t>
        </is>
      </c>
      <c r="B1226" t="inlineStr">
        <is>
          <t>avverkningsanmälan</t>
        </is>
      </c>
      <c r="C1226" t="inlineStr">
        <is>
          <t>Föryngringsavverkning</t>
        </is>
      </c>
      <c r="D1226" s="1" t="n">
        <v>45238</v>
      </c>
      <c r="E1226" s="1" t="n">
        <v>46314</v>
      </c>
      <c r="F1226" t="inlineStr">
        <is>
          <t>DALARNAS LÄN</t>
        </is>
      </c>
      <c r="G1226" t="inlineStr">
        <is>
          <t>FALUN</t>
        </is>
      </c>
      <c r="I1226" t="n">
        <v>0.9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s="2" t="inlineStr"/>
    </row>
    <row r="1227" ht="15" customHeight="1">
      <c r="A1227" t="inlineStr">
        <is>
          <t>A 17134-2026</t>
        </is>
      </c>
      <c r="B1227" t="inlineStr">
        <is>
          <t>avverkningsanmälan</t>
        </is>
      </c>
      <c r="C1227" t="inlineStr">
        <is>
          <t>Föryngringsavverkning</t>
        </is>
      </c>
      <c r="D1227" s="1" t="n">
        <v>46114</v>
      </c>
      <c r="E1227" s="1" t="n">
        <v>46314</v>
      </c>
      <c r="F1227" t="inlineStr">
        <is>
          <t>DALARNAS LÄN</t>
        </is>
      </c>
      <c r="G1227" t="inlineStr">
        <is>
          <t>FALUN</t>
        </is>
      </c>
      <c r="I1227" t="n">
        <v>9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s="2" t="inlineStr"/>
    </row>
    <row r="1228" ht="15" customHeight="1">
      <c r="A1228" t="inlineStr">
        <is>
          <t>A 17137-2026</t>
        </is>
      </c>
      <c r="B1228" t="inlineStr">
        <is>
          <t>avverkningsanmälan</t>
        </is>
      </c>
      <c r="C1228" t="inlineStr">
        <is>
          <t>Föryngringsavverkning</t>
        </is>
      </c>
      <c r="D1228" s="1" t="n">
        <v>46114</v>
      </c>
      <c r="E1228" s="1" t="n">
        <v>46314</v>
      </c>
      <c r="F1228" t="inlineStr">
        <is>
          <t>DALARNAS LÄN</t>
        </is>
      </c>
      <c r="G1228" t="inlineStr">
        <is>
          <t>FALUN</t>
        </is>
      </c>
      <c r="I1228" t="n">
        <v>1.5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s="2" t="inlineStr"/>
    </row>
    <row r="1229" ht="15" customHeight="1">
      <c r="A1229" t="inlineStr">
        <is>
          <t>A 17041-2026</t>
        </is>
      </c>
      <c r="B1229" t="inlineStr">
        <is>
          <t>avverkningsanmälan</t>
        </is>
      </c>
      <c r="C1229" t="inlineStr">
        <is>
          <t>Föryngringsavverkning</t>
        </is>
      </c>
      <c r="D1229" s="1" t="n">
        <v>46114</v>
      </c>
      <c r="E1229" s="1" t="n">
        <v>46314</v>
      </c>
      <c r="F1229" t="inlineStr">
        <is>
          <t>DALARNAS LÄN</t>
        </is>
      </c>
      <c r="G1229" t="inlineStr">
        <is>
          <t>FALUN</t>
        </is>
      </c>
      <c r="I1229" t="n">
        <v>1.6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s="2" t="inlineStr"/>
    </row>
    <row r="1230" ht="15" customHeight="1">
      <c r="A1230" t="inlineStr">
        <is>
          <t>A 24694-2023</t>
        </is>
      </c>
      <c r="B1230" t="inlineStr">
        <is>
          <t>avverkningsanmälan</t>
        </is>
      </c>
      <c r="C1230" t="inlineStr">
        <is>
          <t>Föryngringsavverkning</t>
        </is>
      </c>
      <c r="D1230" s="1" t="n">
        <v>45084</v>
      </c>
      <c r="E1230" s="1" t="n">
        <v>46314</v>
      </c>
      <c r="F1230" t="inlineStr">
        <is>
          <t>DALARNAS LÄN</t>
        </is>
      </c>
      <c r="G1230" t="inlineStr">
        <is>
          <t>FALUN</t>
        </is>
      </c>
      <c r="I1230" t="n">
        <v>2.7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s="2" t="inlineStr"/>
    </row>
    <row r="1231" ht="15" customHeight="1">
      <c r="A1231" t="inlineStr">
        <is>
          <t>A 16846-2026</t>
        </is>
      </c>
      <c r="B1231" t="inlineStr">
        <is>
          <t>avverkningsanmälan</t>
        </is>
      </c>
      <c r="C1231" t="inlineStr">
        <is>
          <t>Föryngringsavverkning</t>
        </is>
      </c>
      <c r="D1231" s="1" t="n">
        <v>46113</v>
      </c>
      <c r="E1231" s="1" t="n">
        <v>46314</v>
      </c>
      <c r="F1231" t="inlineStr">
        <is>
          <t>DALARNAS LÄN</t>
        </is>
      </c>
      <c r="G1231" t="inlineStr">
        <is>
          <t>FALUN</t>
        </is>
      </c>
      <c r="I1231" t="n">
        <v>4.2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s="2" t="inlineStr"/>
    </row>
    <row r="1232" ht="15" customHeight="1">
      <c r="A1232" t="inlineStr">
        <is>
          <t>A 17055-2026</t>
        </is>
      </c>
      <c r="B1232" t="inlineStr">
        <is>
          <t>avverkningsanmälan</t>
        </is>
      </c>
      <c r="C1232" t="inlineStr">
        <is>
          <t>Föryngringsavverkning</t>
        </is>
      </c>
      <c r="D1232" s="1" t="n">
        <v>46114</v>
      </c>
      <c r="E1232" s="1" t="n">
        <v>46314</v>
      </c>
      <c r="F1232" t="inlineStr">
        <is>
          <t>DALARNAS LÄN</t>
        </is>
      </c>
      <c r="G1232" t="inlineStr">
        <is>
          <t>FALUN</t>
        </is>
      </c>
      <c r="H1232" t="inlineStr">
        <is>
          <t>Bergvik skog väst AB</t>
        </is>
      </c>
      <c r="I1232" t="n">
        <v>18.1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s="2" t="inlineStr"/>
    </row>
    <row r="1233" ht="15" customHeight="1">
      <c r="A1233" t="inlineStr">
        <is>
          <t>A 17135-2026</t>
        </is>
      </c>
      <c r="B1233" t="inlineStr">
        <is>
          <t>avverkningsanmälan</t>
        </is>
      </c>
      <c r="C1233" t="inlineStr">
        <is>
          <t>Föryngringsavverkning</t>
        </is>
      </c>
      <c r="D1233" s="1" t="n">
        <v>46114</v>
      </c>
      <c r="E1233" s="1" t="n">
        <v>46314</v>
      </c>
      <c r="F1233" t="inlineStr">
        <is>
          <t>DALARNAS LÄN</t>
        </is>
      </c>
      <c r="G1233" t="inlineStr">
        <is>
          <t>FALUN</t>
        </is>
      </c>
      <c r="I1233" t="n">
        <v>0.9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s="2" t="inlineStr"/>
    </row>
    <row r="1234" ht="15" customHeight="1">
      <c r="A1234" t="inlineStr">
        <is>
          <t>A 17048-2026</t>
        </is>
      </c>
      <c r="B1234" t="inlineStr">
        <is>
          <t>avverkningsanmälan</t>
        </is>
      </c>
      <c r="C1234" t="inlineStr">
        <is>
          <t>Föryngringsavverkning</t>
        </is>
      </c>
      <c r="D1234" s="1" t="n">
        <v>46114</v>
      </c>
      <c r="E1234" s="1" t="n">
        <v>46314</v>
      </c>
      <c r="F1234" t="inlineStr">
        <is>
          <t>DALARNAS LÄN</t>
        </is>
      </c>
      <c r="G1234" t="inlineStr">
        <is>
          <t>FALUN</t>
        </is>
      </c>
      <c r="I1234" t="n">
        <v>0.9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s="2" t="inlineStr"/>
    </row>
    <row r="1235" ht="15" customHeight="1">
      <c r="A1235" t="inlineStr">
        <is>
          <t>A 17051-2026</t>
        </is>
      </c>
      <c r="B1235" t="inlineStr">
        <is>
          <t>avverkningsanmälan</t>
        </is>
      </c>
      <c r="C1235" t="inlineStr">
        <is>
          <t>Föryngringsavverkning</t>
        </is>
      </c>
      <c r="D1235" s="1" t="n">
        <v>46114</v>
      </c>
      <c r="E1235" s="1" t="n">
        <v>46314</v>
      </c>
      <c r="F1235" t="inlineStr">
        <is>
          <t>DALARNAS LÄN</t>
        </is>
      </c>
      <c r="G1235" t="inlineStr">
        <is>
          <t>FALUN</t>
        </is>
      </c>
      <c r="I1235" t="n">
        <v>1.2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s="2" t="inlineStr"/>
    </row>
    <row r="1236" ht="15" customHeight="1">
      <c r="A1236" t="inlineStr">
        <is>
          <t>A 17406-2026</t>
        </is>
      </c>
      <c r="B1236" t="inlineStr">
        <is>
          <t>avverkningsanmälan</t>
        </is>
      </c>
      <c r="C1236" t="inlineStr">
        <is>
          <t>Föryngringsavverkning</t>
        </is>
      </c>
      <c r="D1236" s="1" t="n">
        <v>46120</v>
      </c>
      <c r="E1236" s="1" t="n">
        <v>46314</v>
      </c>
      <c r="F1236" t="inlineStr">
        <is>
          <t>DALARNAS LÄN</t>
        </is>
      </c>
      <c r="G1236" t="inlineStr">
        <is>
          <t>FALUN</t>
        </is>
      </c>
      <c r="H1236" t="inlineStr">
        <is>
          <t>Bergvik skog väst AB</t>
        </is>
      </c>
      <c r="I1236" t="n">
        <v>1.8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s="2" t="inlineStr"/>
    </row>
    <row r="1237" ht="15" customHeight="1">
      <c r="A1237" t="inlineStr">
        <is>
          <t>A 17284-2026</t>
        </is>
      </c>
      <c r="B1237" t="inlineStr">
        <is>
          <t>avverkningsanmälan</t>
        </is>
      </c>
      <c r="C1237" t="inlineStr">
        <is>
          <t>Föryngringsavverkning</t>
        </is>
      </c>
      <c r="D1237" s="1" t="n">
        <v>46119</v>
      </c>
      <c r="E1237" s="1" t="n">
        <v>46314</v>
      </c>
      <c r="F1237" t="inlineStr">
        <is>
          <t>DALARNAS LÄN</t>
        </is>
      </c>
      <c r="G1237" t="inlineStr">
        <is>
          <t>FALUN</t>
        </is>
      </c>
      <c r="H1237" t="inlineStr">
        <is>
          <t>Bergvik skog väst AB</t>
        </is>
      </c>
      <c r="I1237" t="n">
        <v>15.9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s="2" t="inlineStr"/>
    </row>
    <row r="1238" ht="15" customHeight="1">
      <c r="A1238" t="inlineStr">
        <is>
          <t>A 17212-2026</t>
        </is>
      </c>
      <c r="B1238" t="inlineStr">
        <is>
          <t>avverkningsanmälan</t>
        </is>
      </c>
      <c r="C1238" t="inlineStr">
        <is>
          <t>Föryngringsavverkning</t>
        </is>
      </c>
      <c r="D1238" s="1" t="n">
        <v>46119</v>
      </c>
      <c r="E1238" s="1" t="n">
        <v>46314</v>
      </c>
      <c r="F1238" t="inlineStr">
        <is>
          <t>DALARNAS LÄN</t>
        </is>
      </c>
      <c r="G1238" t="inlineStr">
        <is>
          <t>FALUN</t>
        </is>
      </c>
      <c r="I1238" t="n">
        <v>3.8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s="2" t="inlineStr"/>
    </row>
    <row r="1239" ht="15" customHeight="1">
      <c r="A1239" t="inlineStr">
        <is>
          <t>A 29210-2026</t>
        </is>
      </c>
      <c r="B1239" t="inlineStr">
        <is>
          <t>avverkningsanmälan</t>
        </is>
      </c>
      <c r="C1239" t="inlineStr">
        <is>
          <t>Föryngringsavverkning</t>
        </is>
      </c>
      <c r="D1239" s="1" t="n">
        <v>46202</v>
      </c>
      <c r="E1239" s="1" t="n">
        <v>46314</v>
      </c>
      <c r="F1239" t="inlineStr">
        <is>
          <t>DALARNAS LÄN</t>
        </is>
      </c>
      <c r="G1239" t="inlineStr">
        <is>
          <t>FALUN</t>
        </is>
      </c>
      <c r="H1239" t="inlineStr">
        <is>
          <t>Bergvik skog väst AB</t>
        </is>
      </c>
      <c r="I1239" t="n">
        <v>1.4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s="2" t="inlineStr"/>
    </row>
    <row r="1240" ht="15" customHeight="1">
      <c r="A1240" t="inlineStr">
        <is>
          <t>A 17371-2026</t>
        </is>
      </c>
      <c r="B1240" t="inlineStr">
        <is>
          <t>avverkningsanmälan</t>
        </is>
      </c>
      <c r="C1240" t="inlineStr">
        <is>
          <t>Föryngringsavverkning</t>
        </is>
      </c>
      <c r="D1240" s="1" t="n">
        <v>46119</v>
      </c>
      <c r="E1240" s="1" t="n">
        <v>46314</v>
      </c>
      <c r="F1240" t="inlineStr">
        <is>
          <t>DALARNAS LÄN</t>
        </is>
      </c>
      <c r="G1240" t="inlineStr">
        <is>
          <t>FALUN</t>
        </is>
      </c>
      <c r="I1240" t="n">
        <v>2.3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s="2" t="inlineStr"/>
    </row>
    <row r="1241" ht="15" customHeight="1">
      <c r="A1241" t="inlineStr">
        <is>
          <t>A 17310-2026</t>
        </is>
      </c>
      <c r="B1241" t="inlineStr">
        <is>
          <t>avverkningsanmälan</t>
        </is>
      </c>
      <c r="C1241" t="inlineStr">
        <is>
          <t>Föryngringsavverkning</t>
        </is>
      </c>
      <c r="D1241" s="1" t="n">
        <v>46119</v>
      </c>
      <c r="E1241" s="1" t="n">
        <v>46314</v>
      </c>
      <c r="F1241" t="inlineStr">
        <is>
          <t>DALARNAS LÄN</t>
        </is>
      </c>
      <c r="G1241" t="inlineStr">
        <is>
          <t>FALUN</t>
        </is>
      </c>
      <c r="I1241" t="n">
        <v>0.5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s="2" t="inlineStr"/>
    </row>
    <row r="1242" ht="15" customHeight="1">
      <c r="A1242" t="inlineStr">
        <is>
          <t>A 17356-2026</t>
        </is>
      </c>
      <c r="B1242" t="inlineStr">
        <is>
          <t>avverkningsanmälan</t>
        </is>
      </c>
      <c r="C1242" t="inlineStr">
        <is>
          <t>Föryngringsavverkning</t>
        </is>
      </c>
      <c r="D1242" s="1" t="n">
        <v>46119</v>
      </c>
      <c r="E1242" s="1" t="n">
        <v>46314</v>
      </c>
      <c r="F1242" t="inlineStr">
        <is>
          <t>DALARNAS LÄN</t>
        </is>
      </c>
      <c r="G1242" t="inlineStr">
        <is>
          <t>FALUN</t>
        </is>
      </c>
      <c r="I1242" t="n">
        <v>4.3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s="2" t="inlineStr"/>
    </row>
    <row r="1243" ht="15" customHeight="1">
      <c r="A1243" t="inlineStr">
        <is>
          <t>A 17372-2026</t>
        </is>
      </c>
      <c r="B1243" t="inlineStr">
        <is>
          <t>avverkningsanmälan</t>
        </is>
      </c>
      <c r="C1243" t="inlineStr">
        <is>
          <t>Föryngringsavverkning</t>
        </is>
      </c>
      <c r="D1243" s="1" t="n">
        <v>46119</v>
      </c>
      <c r="E1243" s="1" t="n">
        <v>46314</v>
      </c>
      <c r="F1243" t="inlineStr">
        <is>
          <t>DALARNAS LÄN</t>
        </is>
      </c>
      <c r="G1243" t="inlineStr">
        <is>
          <t>FALUN</t>
        </is>
      </c>
      <c r="I1243" t="n">
        <v>0.9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s="2" t="inlineStr"/>
    </row>
    <row r="1244" ht="15" customHeight="1">
      <c r="A1244" t="inlineStr">
        <is>
          <t>A 22941-2023</t>
        </is>
      </c>
      <c r="B1244" t="inlineStr">
        <is>
          <t>avverkningsanmälan</t>
        </is>
      </c>
      <c r="C1244" t="inlineStr">
        <is>
          <t>Föryngringsavverkning</t>
        </is>
      </c>
      <c r="D1244" s="1" t="n">
        <v>45072</v>
      </c>
      <c r="E1244" s="1" t="n">
        <v>46314</v>
      </c>
      <c r="F1244" t="inlineStr">
        <is>
          <t>DALARNAS LÄN</t>
        </is>
      </c>
      <c r="G1244" t="inlineStr">
        <is>
          <t>FALUN</t>
        </is>
      </c>
      <c r="I1244" t="n">
        <v>0.8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s="2" t="inlineStr"/>
    </row>
    <row r="1245" ht="15" customHeight="1">
      <c r="A1245" t="inlineStr">
        <is>
          <t>A 17296-2026</t>
        </is>
      </c>
      <c r="B1245" t="inlineStr">
        <is>
          <t>avverkningsanmälan</t>
        </is>
      </c>
      <c r="C1245" t="inlineStr">
        <is>
          <t>Föryngringsavverkning</t>
        </is>
      </c>
      <c r="D1245" s="1" t="n">
        <v>46119</v>
      </c>
      <c r="E1245" s="1" t="n">
        <v>46314</v>
      </c>
      <c r="F1245" t="inlineStr">
        <is>
          <t>DALARNAS LÄN</t>
        </is>
      </c>
      <c r="G1245" t="inlineStr">
        <is>
          <t>FALUN</t>
        </is>
      </c>
      <c r="H1245" t="inlineStr">
        <is>
          <t>Bergvik skog väst AB</t>
        </is>
      </c>
      <c r="I1245" t="n">
        <v>3.5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s="2" t="inlineStr"/>
    </row>
    <row r="1246" ht="15" customHeight="1">
      <c r="A1246" t="inlineStr">
        <is>
          <t>A 17619-2026</t>
        </is>
      </c>
      <c r="B1246" t="inlineStr">
        <is>
          <t>avverkningsanmälan</t>
        </is>
      </c>
      <c r="C1246" t="inlineStr">
        <is>
          <t>Föryngringsavverkning</t>
        </is>
      </c>
      <c r="D1246" s="1" t="n">
        <v>46121</v>
      </c>
      <c r="E1246" s="1" t="n">
        <v>46314</v>
      </c>
      <c r="F1246" t="inlineStr">
        <is>
          <t>DALARNAS LÄN</t>
        </is>
      </c>
      <c r="G1246" t="inlineStr">
        <is>
          <t>FALUN</t>
        </is>
      </c>
      <c r="I1246" t="n">
        <v>2.7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s="2" t="inlineStr"/>
    </row>
    <row r="1247" ht="15" customHeight="1">
      <c r="A1247" t="inlineStr">
        <is>
          <t>A 17795-2026</t>
        </is>
      </c>
      <c r="B1247" t="inlineStr">
        <is>
          <t>avverkningsanmälan</t>
        </is>
      </c>
      <c r="C1247" t="inlineStr">
        <is>
          <t>Avverkning för annat ändamål</t>
        </is>
      </c>
      <c r="D1247" s="1" t="n">
        <v>46122</v>
      </c>
      <c r="E1247" s="1" t="n">
        <v>46314</v>
      </c>
      <c r="F1247" t="inlineStr">
        <is>
          <t>DALARNAS LÄN</t>
        </is>
      </c>
      <c r="G1247" t="inlineStr">
        <is>
          <t>FALUN</t>
        </is>
      </c>
      <c r="I1247" t="n">
        <v>0.6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s="2" t="inlineStr"/>
    </row>
    <row r="1248" ht="15" customHeight="1">
      <c r="A1248" t="inlineStr">
        <is>
          <t>A 17855-2026</t>
        </is>
      </c>
      <c r="B1248" t="inlineStr">
        <is>
          <t>avverkningsanmälan</t>
        </is>
      </c>
      <c r="C1248" t="inlineStr">
        <is>
          <t>Föryngringsavverkning</t>
        </is>
      </c>
      <c r="D1248" s="1" t="n">
        <v>46122</v>
      </c>
      <c r="E1248" s="1" t="n">
        <v>46314</v>
      </c>
      <c r="F1248" t="inlineStr">
        <is>
          <t>DALARNAS LÄN</t>
        </is>
      </c>
      <c r="G1248" t="inlineStr">
        <is>
          <t>FALUN</t>
        </is>
      </c>
      <c r="I1248" t="n">
        <v>8.800000000000001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s="2" t="inlineStr"/>
    </row>
    <row r="1249" ht="15" customHeight="1">
      <c r="A1249" t="inlineStr">
        <is>
          <t>A 4294-2025</t>
        </is>
      </c>
      <c r="B1249" t="inlineStr">
        <is>
          <t>avverkningsanmälan</t>
        </is>
      </c>
      <c r="C1249" t="inlineStr">
        <is>
          <t>Föryngringsavverkning</t>
        </is>
      </c>
      <c r="D1249" s="1" t="n">
        <v>45685</v>
      </c>
      <c r="E1249" s="1" t="n">
        <v>46314</v>
      </c>
      <c r="F1249" t="inlineStr">
        <is>
          <t>DALARNAS LÄN</t>
        </is>
      </c>
      <c r="G1249" t="inlineStr">
        <is>
          <t>FALUN</t>
        </is>
      </c>
      <c r="I1249" t="n">
        <v>0.6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s="2" t="inlineStr"/>
    </row>
    <row r="1250" ht="15" customHeight="1">
      <c r="A1250" t="inlineStr">
        <is>
          <t>A 17629-2026</t>
        </is>
      </c>
      <c r="B1250" t="inlineStr">
        <is>
          <t>avverkningsanmälan</t>
        </is>
      </c>
      <c r="C1250" t="inlineStr">
        <is>
          <t>Föryngringsavverkning</t>
        </is>
      </c>
      <c r="D1250" s="1" t="n">
        <v>46121</v>
      </c>
      <c r="E1250" s="1" t="n">
        <v>46314</v>
      </c>
      <c r="F1250" t="inlineStr">
        <is>
          <t>DALARNAS LÄN</t>
        </is>
      </c>
      <c r="G1250" t="inlineStr">
        <is>
          <t>FALUN</t>
        </is>
      </c>
      <c r="I1250" t="n">
        <v>1.1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s="2" t="inlineStr"/>
    </row>
    <row r="1251" ht="15" customHeight="1">
      <c r="A1251" t="inlineStr">
        <is>
          <t>A 29217-2026</t>
        </is>
      </c>
      <c r="B1251" t="inlineStr">
        <is>
          <t>avverkningsanmälan</t>
        </is>
      </c>
      <c r="C1251" t="inlineStr">
        <is>
          <t>Föryngringsavverkning</t>
        </is>
      </c>
      <c r="D1251" s="1" t="n">
        <v>46202</v>
      </c>
      <c r="E1251" s="1" t="n">
        <v>46314</v>
      </c>
      <c r="F1251" t="inlineStr">
        <is>
          <t>DALARNAS LÄN</t>
        </is>
      </c>
      <c r="G1251" t="inlineStr">
        <is>
          <t>FALUN</t>
        </is>
      </c>
      <c r="H1251" t="inlineStr">
        <is>
          <t>Bergvik skog väst AB</t>
        </is>
      </c>
      <c r="I1251" t="n">
        <v>0.9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s="2" t="inlineStr"/>
    </row>
    <row r="1252" ht="15" customHeight="1">
      <c r="A1252" t="inlineStr">
        <is>
          <t>A 17881-2026</t>
        </is>
      </c>
      <c r="B1252" t="inlineStr">
        <is>
          <t>avverkningsanmälan</t>
        </is>
      </c>
      <c r="C1252" t="inlineStr">
        <is>
          <t>Föryngringsavverkning</t>
        </is>
      </c>
      <c r="D1252" s="1" t="n">
        <v>46122</v>
      </c>
      <c r="E1252" s="1" t="n">
        <v>46314</v>
      </c>
      <c r="F1252" t="inlineStr">
        <is>
          <t>DALARNAS LÄN</t>
        </is>
      </c>
      <c r="G1252" t="inlineStr">
        <is>
          <t>FALUN</t>
        </is>
      </c>
      <c r="I1252" t="n">
        <v>1.6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s="2" t="inlineStr"/>
    </row>
    <row r="1253" ht="15" customHeight="1">
      <c r="A1253" t="inlineStr">
        <is>
          <t>A 17923-2026</t>
        </is>
      </c>
      <c r="B1253" t="inlineStr">
        <is>
          <t>avverkningsanmälan</t>
        </is>
      </c>
      <c r="C1253" t="inlineStr">
        <is>
          <t>Föryngringsavverkning</t>
        </is>
      </c>
      <c r="D1253" s="1" t="n">
        <v>46122</v>
      </c>
      <c r="E1253" s="1" t="n">
        <v>46314</v>
      </c>
      <c r="F1253" t="inlineStr">
        <is>
          <t>DALARNAS LÄN</t>
        </is>
      </c>
      <c r="G1253" t="inlineStr">
        <is>
          <t>FALUN</t>
        </is>
      </c>
      <c r="I1253" t="n">
        <v>0.7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s="2" t="inlineStr"/>
    </row>
    <row r="1254" ht="15" customHeight="1">
      <c r="A1254" t="inlineStr">
        <is>
          <t>A 17625-2026</t>
        </is>
      </c>
      <c r="B1254" t="inlineStr">
        <is>
          <t>avverkningsanmälan</t>
        </is>
      </c>
      <c r="C1254" t="inlineStr">
        <is>
          <t>Föryngringsavverkning</t>
        </is>
      </c>
      <c r="D1254" s="1" t="n">
        <v>46121</v>
      </c>
      <c r="E1254" s="1" t="n">
        <v>46314</v>
      </c>
      <c r="F1254" t="inlineStr">
        <is>
          <t>DALARNAS LÄN</t>
        </is>
      </c>
      <c r="G1254" t="inlineStr">
        <is>
          <t>FALUN</t>
        </is>
      </c>
      <c r="I1254" t="n">
        <v>0.9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s="2" t="inlineStr"/>
    </row>
    <row r="1255" ht="15" customHeight="1">
      <c r="A1255" t="inlineStr">
        <is>
          <t>A 17630-2026</t>
        </is>
      </c>
      <c r="B1255" t="inlineStr">
        <is>
          <t>avverkningsanmälan</t>
        </is>
      </c>
      <c r="C1255" t="inlineStr">
        <is>
          <t>Föryngringsavverkning</t>
        </is>
      </c>
      <c r="D1255" s="1" t="n">
        <v>46121</v>
      </c>
      <c r="E1255" s="1" t="n">
        <v>46314</v>
      </c>
      <c r="F1255" t="inlineStr">
        <is>
          <t>DALARNAS LÄN</t>
        </is>
      </c>
      <c r="G1255" t="inlineStr">
        <is>
          <t>FALUN</t>
        </is>
      </c>
      <c r="I1255" t="n">
        <v>2.6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s="2" t="inlineStr"/>
    </row>
    <row r="1256" ht="15" customHeight="1">
      <c r="A1256" t="inlineStr">
        <is>
          <t>A 17581-2026</t>
        </is>
      </c>
      <c r="B1256" t="inlineStr">
        <is>
          <t>avverkningsanmälan</t>
        </is>
      </c>
      <c r="C1256" t="inlineStr">
        <is>
          <t>Föryngringsavverkning</t>
        </is>
      </c>
      <c r="D1256" s="1" t="n">
        <v>46121</v>
      </c>
      <c r="E1256" s="1" t="n">
        <v>46314</v>
      </c>
      <c r="F1256" t="inlineStr">
        <is>
          <t>DALARNAS LÄN</t>
        </is>
      </c>
      <c r="G1256" t="inlineStr">
        <is>
          <t>FALUN</t>
        </is>
      </c>
      <c r="I1256" t="n">
        <v>0.9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s="2" t="inlineStr"/>
    </row>
    <row r="1257" ht="15" customHeight="1">
      <c r="A1257" t="inlineStr">
        <is>
          <t>A 17593-2026</t>
        </is>
      </c>
      <c r="B1257" t="inlineStr">
        <is>
          <t>avverkningsanmälan</t>
        </is>
      </c>
      <c r="C1257" t="inlineStr">
        <is>
          <t>Föryngringsavverkning</t>
        </is>
      </c>
      <c r="D1257" s="1" t="n">
        <v>46121</v>
      </c>
      <c r="E1257" s="1" t="n">
        <v>46314</v>
      </c>
      <c r="F1257" t="inlineStr">
        <is>
          <t>DALARNAS LÄN</t>
        </is>
      </c>
      <c r="G1257" t="inlineStr">
        <is>
          <t>FALUN</t>
        </is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s="2" t="inlineStr"/>
    </row>
    <row r="1258" ht="15" customHeight="1">
      <c r="A1258" t="inlineStr">
        <is>
          <t>A 28911-2026</t>
        </is>
      </c>
      <c r="B1258" t="inlineStr">
        <is>
          <t>avverkningsanmälan</t>
        </is>
      </c>
      <c r="C1258" t="inlineStr">
        <is>
          <t>Föryngringsavverkning</t>
        </is>
      </c>
      <c r="D1258" s="1" t="n">
        <v>46199</v>
      </c>
      <c r="E1258" s="1" t="n">
        <v>46314</v>
      </c>
      <c r="F1258" t="inlineStr">
        <is>
          <t>DALARNAS LÄN</t>
        </is>
      </c>
      <c r="G1258" t="inlineStr">
        <is>
          <t>FALUN</t>
        </is>
      </c>
      <c r="I1258" t="n">
        <v>2.9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s="2" t="inlineStr"/>
    </row>
    <row r="1259" ht="15" customHeight="1">
      <c r="A1259" t="inlineStr">
        <is>
          <t>A 17911-2026</t>
        </is>
      </c>
      <c r="B1259" t="inlineStr">
        <is>
          <t>avverkningsanmälan</t>
        </is>
      </c>
      <c r="C1259" t="inlineStr">
        <is>
          <t>Föryngringsavverkning</t>
        </is>
      </c>
      <c r="D1259" s="1" t="n">
        <v>46122</v>
      </c>
      <c r="E1259" s="1" t="n">
        <v>46314</v>
      </c>
      <c r="F1259" t="inlineStr">
        <is>
          <t>DALARNAS LÄN</t>
        </is>
      </c>
      <c r="G1259" t="inlineStr">
        <is>
          <t>FALUN</t>
        </is>
      </c>
      <c r="H1259" t="inlineStr">
        <is>
          <t>Bergvik skog väst AB</t>
        </is>
      </c>
      <c r="I1259" t="n">
        <v>57.2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s="2" t="inlineStr"/>
    </row>
    <row r="1260" ht="15" customHeight="1">
      <c r="A1260" t="inlineStr">
        <is>
          <t>A 28884-2026</t>
        </is>
      </c>
      <c r="B1260" t="inlineStr">
        <is>
          <t>avverkningsanmälan</t>
        </is>
      </c>
      <c r="C1260" t="inlineStr">
        <is>
          <t>Föryngringsavverkning</t>
        </is>
      </c>
      <c r="D1260" s="1" t="n">
        <v>46199</v>
      </c>
      <c r="E1260" s="1" t="n">
        <v>46314</v>
      </c>
      <c r="F1260" t="inlineStr">
        <is>
          <t>DALARNAS LÄN</t>
        </is>
      </c>
      <c r="G1260" t="inlineStr">
        <is>
          <t>FALUN</t>
        </is>
      </c>
      <c r="H1260" t="inlineStr">
        <is>
          <t>Bergvik skog väst AB</t>
        </is>
      </c>
      <c r="I1260" t="n">
        <v>1.1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s="2" t="inlineStr"/>
    </row>
    <row r="1261" ht="15" customHeight="1">
      <c r="A1261" t="inlineStr">
        <is>
          <t>A 17883-2026</t>
        </is>
      </c>
      <c r="B1261" t="inlineStr">
        <is>
          <t>avverkningsanmälan</t>
        </is>
      </c>
      <c r="C1261" t="inlineStr">
        <is>
          <t>Föryngringsavverkning</t>
        </is>
      </c>
      <c r="D1261" s="1" t="n">
        <v>46122</v>
      </c>
      <c r="E1261" s="1" t="n">
        <v>46314</v>
      </c>
      <c r="F1261" t="inlineStr">
        <is>
          <t>DALARNAS LÄN</t>
        </is>
      </c>
      <c r="G1261" t="inlineStr">
        <is>
          <t>FALUN</t>
        </is>
      </c>
      <c r="H1261" t="inlineStr">
        <is>
          <t>Bergvik skog väst AB</t>
        </is>
      </c>
      <c r="I1261" t="n">
        <v>36.7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s="2" t="inlineStr"/>
    </row>
    <row r="1262" ht="15" customHeight="1">
      <c r="A1262" t="inlineStr">
        <is>
          <t>A 18023-2026</t>
        </is>
      </c>
      <c r="B1262" t="inlineStr">
        <is>
          <t>avverkningsanmälan</t>
        </is>
      </c>
      <c r="C1262" t="inlineStr">
        <is>
          <t>Föryngringsavverkning</t>
        </is>
      </c>
      <c r="D1262" s="1" t="n">
        <v>46125</v>
      </c>
      <c r="E1262" s="1" t="n">
        <v>46314</v>
      </c>
      <c r="F1262" t="inlineStr">
        <is>
          <t>DALARNAS LÄN</t>
        </is>
      </c>
      <c r="G1262" t="inlineStr">
        <is>
          <t>FALUN</t>
        </is>
      </c>
      <c r="I1262" t="n">
        <v>7.3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s="2" t="inlineStr"/>
    </row>
    <row r="1263" ht="15" customHeight="1">
      <c r="A1263" t="inlineStr">
        <is>
          <t>A 10834-2023</t>
        </is>
      </c>
      <c r="B1263" t="inlineStr">
        <is>
          <t>avverkningsanmälan</t>
        </is>
      </c>
      <c r="C1263" t="inlineStr">
        <is>
          <t>Föryngringsavverkning</t>
        </is>
      </c>
      <c r="D1263" s="1" t="n">
        <v>44991</v>
      </c>
      <c r="E1263" s="1" t="n">
        <v>46314</v>
      </c>
      <c r="F1263" t="inlineStr">
        <is>
          <t>DALARNAS LÄN</t>
        </is>
      </c>
      <c r="G1263" t="inlineStr">
        <is>
          <t>FALUN</t>
        </is>
      </c>
      <c r="I1263" t="n">
        <v>1.5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s="2" t="inlineStr"/>
    </row>
    <row r="1264" ht="15" customHeight="1">
      <c r="A1264" t="inlineStr">
        <is>
          <t>A 18115-2026</t>
        </is>
      </c>
      <c r="B1264" t="inlineStr">
        <is>
          <t>avverkningsanmälan</t>
        </is>
      </c>
      <c r="C1264" t="inlineStr">
        <is>
          <t>Föryngringsavverkning</t>
        </is>
      </c>
      <c r="D1264" s="1" t="n">
        <v>46125</v>
      </c>
      <c r="E1264" s="1" t="n">
        <v>46314</v>
      </c>
      <c r="F1264" t="inlineStr">
        <is>
          <t>DALARNAS LÄN</t>
        </is>
      </c>
      <c r="G1264" t="inlineStr">
        <is>
          <t>FALUN</t>
        </is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s="2" t="inlineStr"/>
    </row>
    <row r="1265" ht="15" customHeight="1">
      <c r="A1265" t="inlineStr">
        <is>
          <t>A 18012-2026</t>
        </is>
      </c>
      <c r="B1265" t="inlineStr">
        <is>
          <t>avverkningsanmälan</t>
        </is>
      </c>
      <c r="C1265" t="inlineStr">
        <is>
          <t>Föryngringsavverkning</t>
        </is>
      </c>
      <c r="D1265" s="1" t="n">
        <v>46125</v>
      </c>
      <c r="E1265" s="1" t="n">
        <v>46314</v>
      </c>
      <c r="F1265" t="inlineStr">
        <is>
          <t>DALARNAS LÄN</t>
        </is>
      </c>
      <c r="G1265" t="inlineStr">
        <is>
          <t>FALUN</t>
        </is>
      </c>
      <c r="H1265" t="inlineStr">
        <is>
          <t>Bergvik skog väst AB</t>
        </is>
      </c>
      <c r="I1265" t="n">
        <v>39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s="2" t="inlineStr"/>
    </row>
    <row r="1266" ht="15" customHeight="1">
      <c r="A1266" t="inlineStr">
        <is>
          <t>A 18247-2026</t>
        </is>
      </c>
      <c r="B1266" t="inlineStr">
        <is>
          <t>avverkningsanmälan</t>
        </is>
      </c>
      <c r="C1266" t="inlineStr">
        <is>
          <t>Föryngringsavverkning</t>
        </is>
      </c>
      <c r="D1266" s="1" t="n">
        <v>46126</v>
      </c>
      <c r="E1266" s="1" t="n">
        <v>46314</v>
      </c>
      <c r="F1266" t="inlineStr">
        <is>
          <t>DALARNAS LÄN</t>
        </is>
      </c>
      <c r="G1266" t="inlineStr">
        <is>
          <t>FALUN</t>
        </is>
      </c>
      <c r="H1266" t="inlineStr">
        <is>
          <t>Bergvik skog väst AB</t>
        </is>
      </c>
      <c r="I1266" t="n">
        <v>24.2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s="2" t="inlineStr"/>
    </row>
    <row r="1267" ht="15" customHeight="1">
      <c r="A1267" t="inlineStr">
        <is>
          <t>A 18338-2026</t>
        </is>
      </c>
      <c r="B1267" t="inlineStr">
        <is>
          <t>avverkningsanmälan</t>
        </is>
      </c>
      <c r="C1267" t="inlineStr">
        <is>
          <t>Föryngringsavverkning</t>
        </is>
      </c>
      <c r="D1267" s="1" t="n">
        <v>46126</v>
      </c>
      <c r="E1267" s="1" t="n">
        <v>46314</v>
      </c>
      <c r="F1267" t="inlineStr">
        <is>
          <t>DALARNAS LÄN</t>
        </is>
      </c>
      <c r="G1267" t="inlineStr">
        <is>
          <t>FALUN</t>
        </is>
      </c>
      <c r="I1267" t="n">
        <v>16.6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s="2" t="inlineStr"/>
    </row>
    <row r="1268" ht="15" customHeight="1">
      <c r="A1268" t="inlineStr">
        <is>
          <t>A 18295-2026</t>
        </is>
      </c>
      <c r="B1268" t="inlineStr">
        <is>
          <t>avverkningsanmälan</t>
        </is>
      </c>
      <c r="C1268" t="inlineStr">
        <is>
          <t>Föryngringsavverkning</t>
        </is>
      </c>
      <c r="D1268" s="1" t="n">
        <v>46125</v>
      </c>
      <c r="E1268" s="1" t="n">
        <v>46314</v>
      </c>
      <c r="F1268" t="inlineStr">
        <is>
          <t>DALARNAS LÄN</t>
        </is>
      </c>
      <c r="G1268" t="inlineStr">
        <is>
          <t>FALUN</t>
        </is>
      </c>
      <c r="H1268" t="inlineStr">
        <is>
          <t>Allmännings- och besparingsskogar</t>
        </is>
      </c>
      <c r="I1268" t="n">
        <v>3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s="2" t="inlineStr"/>
    </row>
    <row r="1269" ht="15" customHeight="1">
      <c r="A1269" t="inlineStr">
        <is>
          <t>A 18336-2026</t>
        </is>
      </c>
      <c r="B1269" t="inlineStr">
        <is>
          <t>avverkningsanmälan</t>
        </is>
      </c>
      <c r="C1269" t="inlineStr">
        <is>
          <t>Föryngringsavverkning</t>
        </is>
      </c>
      <c r="D1269" s="1" t="n">
        <v>46126</v>
      </c>
      <c r="E1269" s="1" t="n">
        <v>46314</v>
      </c>
      <c r="F1269" t="inlineStr">
        <is>
          <t>DALARNAS LÄN</t>
        </is>
      </c>
      <c r="G1269" t="inlineStr">
        <is>
          <t>FALUN</t>
        </is>
      </c>
      <c r="H1269" t="inlineStr">
        <is>
          <t>Bergvik skog väst AB</t>
        </is>
      </c>
      <c r="I1269" t="n">
        <v>0.8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s="2" t="inlineStr"/>
    </row>
    <row r="1270" ht="15" customHeight="1">
      <c r="A1270" t="inlineStr">
        <is>
          <t>A 35981-2022</t>
        </is>
      </c>
      <c r="B1270" t="inlineStr">
        <is>
          <t>avverkningsanmälan</t>
        </is>
      </c>
      <c r="C1270" t="inlineStr">
        <is>
          <t>Föryngringsavverkning</t>
        </is>
      </c>
      <c r="D1270" s="1" t="n">
        <v>44802</v>
      </c>
      <c r="E1270" s="1" t="n">
        <v>46314</v>
      </c>
      <c r="F1270" t="inlineStr">
        <is>
          <t>DALARNAS LÄN</t>
        </is>
      </c>
      <c r="G1270" t="inlineStr">
        <is>
          <t>FALUN</t>
        </is>
      </c>
      <c r="I1270" t="n">
        <v>0.7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s="2" t="inlineStr"/>
    </row>
    <row r="1271" ht="15" customHeight="1">
      <c r="A1271" t="inlineStr">
        <is>
          <t>A 41933-2024</t>
        </is>
      </c>
      <c r="B1271" t="inlineStr">
        <is>
          <t>avverkningsanmälan</t>
        </is>
      </c>
      <c r="C1271" t="inlineStr">
        <is>
          <t>Föryngringsavverkning</t>
        </is>
      </c>
      <c r="D1271" s="1" t="n">
        <v>45561</v>
      </c>
      <c r="E1271" s="1" t="n">
        <v>46314</v>
      </c>
      <c r="F1271" t="inlineStr">
        <is>
          <t>DALARNAS LÄN</t>
        </is>
      </c>
      <c r="G1271" t="inlineStr">
        <is>
          <t>FALUN</t>
        </is>
      </c>
      <c r="I1271" t="n">
        <v>0.6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s="2" t="inlineStr"/>
    </row>
    <row r="1272" ht="15" customHeight="1">
      <c r="A1272" t="inlineStr">
        <is>
          <t>A 44531-2024</t>
        </is>
      </c>
      <c r="B1272" t="inlineStr">
        <is>
          <t>avverkningsanmälan</t>
        </is>
      </c>
      <c r="C1272" t="inlineStr">
        <is>
          <t>Föryngringsavverkning</t>
        </is>
      </c>
      <c r="D1272" s="1" t="n">
        <v>45574</v>
      </c>
      <c r="E1272" s="1" t="n">
        <v>46314</v>
      </c>
      <c r="F1272" t="inlineStr">
        <is>
          <t>DALARNAS LÄN</t>
        </is>
      </c>
      <c r="G1272" t="inlineStr">
        <is>
          <t>FALUN</t>
        </is>
      </c>
      <c r="H1272" t="inlineStr">
        <is>
          <t>Bergvik skog väst AB</t>
        </is>
      </c>
      <c r="I1272" t="n">
        <v>2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s="2" t="inlineStr"/>
    </row>
    <row r="1273" ht="15" customHeight="1">
      <c r="A1273" t="inlineStr">
        <is>
          <t>A 18215-2026</t>
        </is>
      </c>
      <c r="B1273" t="inlineStr">
        <is>
          <t>avverkningsanmälan</t>
        </is>
      </c>
      <c r="C1273" t="inlineStr">
        <is>
          <t>Föryngringsavverkning</t>
        </is>
      </c>
      <c r="D1273" s="1" t="n">
        <v>46126</v>
      </c>
      <c r="E1273" s="1" t="n">
        <v>46314</v>
      </c>
      <c r="F1273" t="inlineStr">
        <is>
          <t>DALARNAS LÄN</t>
        </is>
      </c>
      <c r="G1273" t="inlineStr">
        <is>
          <t>FALUN</t>
        </is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s="2" t="inlineStr"/>
    </row>
    <row r="1274" ht="15" customHeight="1">
      <c r="A1274" t="inlineStr">
        <is>
          <t>A 29218-2026</t>
        </is>
      </c>
      <c r="B1274" t="inlineStr">
        <is>
          <t>avverkningsanmälan</t>
        </is>
      </c>
      <c r="C1274" t="inlineStr">
        <is>
          <t>Föryngringsavverkning</t>
        </is>
      </c>
      <c r="D1274" s="1" t="n">
        <v>46202</v>
      </c>
      <c r="E1274" s="1" t="n">
        <v>46314</v>
      </c>
      <c r="F1274" t="inlineStr">
        <is>
          <t>DALARNAS LÄN</t>
        </is>
      </c>
      <c r="G1274" t="inlineStr">
        <is>
          <t>FALUN</t>
        </is>
      </c>
      <c r="I1274" t="n">
        <v>1.8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s="2" t="inlineStr"/>
    </row>
    <row r="1275" ht="15" customHeight="1">
      <c r="A1275" t="inlineStr">
        <is>
          <t>A 45665-2024</t>
        </is>
      </c>
      <c r="B1275" t="inlineStr">
        <is>
          <t>avverkningsanmälan</t>
        </is>
      </c>
      <c r="C1275" t="inlineStr">
        <is>
          <t>Avverkning för annat ändamål</t>
        </is>
      </c>
      <c r="D1275" s="1" t="n">
        <v>45579</v>
      </c>
      <c r="E1275" s="1" t="n">
        <v>46314</v>
      </c>
      <c r="F1275" t="inlineStr">
        <is>
          <t>DALARNAS LÄN</t>
        </is>
      </c>
      <c r="G1275" t="inlineStr">
        <is>
          <t>FALUN</t>
        </is>
      </c>
      <c r="I1275" t="n">
        <v>0.3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s="2" t="inlineStr"/>
    </row>
    <row r="1276" ht="15" customHeight="1">
      <c r="A1276" t="inlineStr">
        <is>
          <t>A 18467-2026</t>
        </is>
      </c>
      <c r="B1276" t="inlineStr">
        <is>
          <t>avverkningsanmälan</t>
        </is>
      </c>
      <c r="C1276" t="inlineStr">
        <is>
          <t>Föryngringsavverkning</t>
        </is>
      </c>
      <c r="D1276" s="1" t="n">
        <v>46127</v>
      </c>
      <c r="E1276" s="1" t="n">
        <v>46314</v>
      </c>
      <c r="F1276" t="inlineStr">
        <is>
          <t>DALARNAS LÄN</t>
        </is>
      </c>
      <c r="G1276" t="inlineStr">
        <is>
          <t>FALUN</t>
        </is>
      </c>
      <c r="I1276" t="n">
        <v>0.5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s="2" t="inlineStr"/>
    </row>
    <row r="1277" ht="15" customHeight="1">
      <c r="A1277" t="inlineStr">
        <is>
          <t>A 18765-2026</t>
        </is>
      </c>
      <c r="B1277" t="inlineStr">
        <is>
          <t>avverkningsanmälan</t>
        </is>
      </c>
      <c r="C1277" t="inlineStr">
        <is>
          <t>Föryngringsavverkning</t>
        </is>
      </c>
      <c r="D1277" s="1" t="n">
        <v>46128</v>
      </c>
      <c r="E1277" s="1" t="n">
        <v>46314</v>
      </c>
      <c r="F1277" t="inlineStr">
        <is>
          <t>DALARNAS LÄN</t>
        </is>
      </c>
      <c r="G1277" t="inlineStr">
        <is>
          <t>FALUN</t>
        </is>
      </c>
      <c r="H1277" t="inlineStr">
        <is>
          <t>Bergvik skog väst AB</t>
        </is>
      </c>
      <c r="I1277" t="n">
        <v>20.7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s="2" t="inlineStr"/>
    </row>
    <row r="1278" ht="15" customHeight="1">
      <c r="A1278" t="inlineStr">
        <is>
          <t>A 12847-2025</t>
        </is>
      </c>
      <c r="B1278" t="inlineStr">
        <is>
          <t>avverkningsanmälan</t>
        </is>
      </c>
      <c r="C1278" t="inlineStr">
        <is>
          <t>Föryngringsavverkning</t>
        </is>
      </c>
      <c r="D1278" s="1" t="n">
        <v>45733</v>
      </c>
      <c r="E1278" s="1" t="n">
        <v>46314</v>
      </c>
      <c r="F1278" t="inlineStr">
        <is>
          <t>DALARNAS LÄN</t>
        </is>
      </c>
      <c r="G1278" t="inlineStr">
        <is>
          <t>FALUN</t>
        </is>
      </c>
      <c r="I1278" t="n">
        <v>0.6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s="2" t="inlineStr"/>
    </row>
    <row r="1279" ht="15" customHeight="1">
      <c r="A1279" t="inlineStr">
        <is>
          <t>A 18716-2026</t>
        </is>
      </c>
      <c r="B1279" t="inlineStr">
        <is>
          <t>avverkningsanmälan</t>
        </is>
      </c>
      <c r="C1279" t="inlineStr">
        <is>
          <t>Föryngringsavverkning</t>
        </is>
      </c>
      <c r="D1279" s="1" t="n">
        <v>46128</v>
      </c>
      <c r="E1279" s="1" t="n">
        <v>46314</v>
      </c>
      <c r="F1279" t="inlineStr">
        <is>
          <t>DALARNAS LÄN</t>
        </is>
      </c>
      <c r="G1279" t="inlineStr">
        <is>
          <t>FALUN</t>
        </is>
      </c>
      <c r="H1279" t="inlineStr">
        <is>
          <t>Bergvik skog väst AB</t>
        </is>
      </c>
      <c r="I1279" t="n">
        <v>11.7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s="2" t="inlineStr"/>
    </row>
    <row r="1280" ht="15" customHeight="1">
      <c r="A1280" t="inlineStr">
        <is>
          <t>A 17333-2026</t>
        </is>
      </c>
      <c r="B1280" t="inlineStr">
        <is>
          <t>avverkningsanmälan</t>
        </is>
      </c>
      <c r="C1280" t="inlineStr">
        <is>
          <t>Föryngringsavverkning</t>
        </is>
      </c>
      <c r="D1280" s="1" t="n">
        <v>46119</v>
      </c>
      <c r="E1280" s="1" t="n">
        <v>46314</v>
      </c>
      <c r="F1280" t="inlineStr">
        <is>
          <t>DALARNAS LÄN</t>
        </is>
      </c>
      <c r="G1280" t="inlineStr">
        <is>
          <t>FALUN</t>
        </is>
      </c>
      <c r="H1280" t="inlineStr">
        <is>
          <t>Bergvik skog väst AB</t>
        </is>
      </c>
      <c r="I1280" t="n">
        <v>1.5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s="2" t="inlineStr"/>
    </row>
    <row r="1281" ht="15" customHeight="1">
      <c r="A1281" t="inlineStr">
        <is>
          <t>A 18983-2026</t>
        </is>
      </c>
      <c r="B1281" t="inlineStr">
        <is>
          <t>avverkningsanmälan</t>
        </is>
      </c>
      <c r="C1281" t="inlineStr">
        <is>
          <t>Föryngringsavverkning</t>
        </is>
      </c>
      <c r="D1281" s="1" t="n">
        <v>46128</v>
      </c>
      <c r="E1281" s="1" t="n">
        <v>46314</v>
      </c>
      <c r="F1281" t="inlineStr">
        <is>
          <t>DALARNAS LÄN</t>
        </is>
      </c>
      <c r="G1281" t="inlineStr">
        <is>
          <t>FALUN</t>
        </is>
      </c>
      <c r="H1281" t="inlineStr">
        <is>
          <t>Allmännings- och besparingsskogar</t>
        </is>
      </c>
      <c r="I1281" t="n">
        <v>8.199999999999999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s="2" t="inlineStr"/>
    </row>
    <row r="1282" ht="15" customHeight="1">
      <c r="A1282" t="inlineStr">
        <is>
          <t>A 11236-2026</t>
        </is>
      </c>
      <c r="B1282" t="inlineStr">
        <is>
          <t>avverkningsanmälan</t>
        </is>
      </c>
      <c r="C1282" t="inlineStr">
        <is>
          <t>Föryngringsavverkning</t>
        </is>
      </c>
      <c r="D1282" s="1" t="n">
        <v>46080</v>
      </c>
      <c r="E1282" s="1" t="n">
        <v>46314</v>
      </c>
      <c r="F1282" t="inlineStr">
        <is>
          <t>DALARNAS LÄN</t>
        </is>
      </c>
      <c r="G1282" t="inlineStr">
        <is>
          <t>FALUN</t>
        </is>
      </c>
      <c r="I1282" t="n">
        <v>3.2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s="2" t="inlineStr"/>
    </row>
    <row r="1283" ht="15" customHeight="1">
      <c r="A1283" t="inlineStr">
        <is>
          <t>A 18720-2026</t>
        </is>
      </c>
      <c r="B1283" t="inlineStr">
        <is>
          <t>avverkningsanmälan</t>
        </is>
      </c>
      <c r="C1283" t="inlineStr">
        <is>
          <t>Föryngringsavverkning</t>
        </is>
      </c>
      <c r="D1283" s="1" t="n">
        <v>46128</v>
      </c>
      <c r="E1283" s="1" t="n">
        <v>46314</v>
      </c>
      <c r="F1283" t="inlineStr">
        <is>
          <t>DALARNAS LÄN</t>
        </is>
      </c>
      <c r="G1283" t="inlineStr">
        <is>
          <t>FALUN</t>
        </is>
      </c>
      <c r="H1283" t="inlineStr">
        <is>
          <t>Bergvik skog väst AB</t>
        </is>
      </c>
      <c r="I1283" t="n">
        <v>6.1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s="2" t="inlineStr"/>
    </row>
    <row r="1284" ht="15" customHeight="1">
      <c r="A1284" t="inlineStr">
        <is>
          <t>A 18511-2026</t>
        </is>
      </c>
      <c r="B1284" t="inlineStr">
        <is>
          <t>avverkningsanmälan</t>
        </is>
      </c>
      <c r="C1284" t="inlineStr">
        <is>
          <t>Föryngringsavverkning</t>
        </is>
      </c>
      <c r="D1284" s="1" t="n">
        <v>46127</v>
      </c>
      <c r="E1284" s="1" t="n">
        <v>46314</v>
      </c>
      <c r="F1284" t="inlineStr">
        <is>
          <t>DALARNAS LÄN</t>
        </is>
      </c>
      <c r="G1284" t="inlineStr">
        <is>
          <t>FALUN</t>
        </is>
      </c>
      <c r="H1284" t="inlineStr">
        <is>
          <t>Bergvik skog väst AB</t>
        </is>
      </c>
      <c r="I1284" t="n">
        <v>5.6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s="2" t="inlineStr"/>
    </row>
    <row r="1285" ht="15" customHeight="1">
      <c r="A1285" t="inlineStr">
        <is>
          <t>A 13567-2024</t>
        </is>
      </c>
      <c r="B1285" t="inlineStr">
        <is>
          <t>avverkningsanmälan</t>
        </is>
      </c>
      <c r="C1285" t="inlineStr">
        <is>
          <t>Avverkning för annat ändamål</t>
        </is>
      </c>
      <c r="D1285" s="1" t="n">
        <v>45389</v>
      </c>
      <c r="E1285" s="1" t="n">
        <v>46314</v>
      </c>
      <c r="F1285" t="inlineStr">
        <is>
          <t>DALARNAS LÄN</t>
        </is>
      </c>
      <c r="G1285" t="inlineStr">
        <is>
          <t>FALUN</t>
        </is>
      </c>
      <c r="I1285" t="n">
        <v>0.5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s="2" t="inlineStr"/>
    </row>
    <row r="1286" ht="15" customHeight="1">
      <c r="A1286" t="inlineStr">
        <is>
          <t>A 18869-2026</t>
        </is>
      </c>
      <c r="B1286" t="inlineStr">
        <is>
          <t>avverkningsanmälan</t>
        </is>
      </c>
      <c r="C1286" t="inlineStr">
        <is>
          <t>Föryngringsavverkning</t>
        </is>
      </c>
      <c r="D1286" s="1" t="n">
        <v>46129</v>
      </c>
      <c r="E1286" s="1" t="n">
        <v>46314</v>
      </c>
      <c r="F1286" t="inlineStr">
        <is>
          <t>DALARNAS LÄN</t>
        </is>
      </c>
      <c r="G1286" t="inlineStr">
        <is>
          <t>FALUN</t>
        </is>
      </c>
      <c r="H1286" t="inlineStr">
        <is>
          <t>Bergvik skog väst AB</t>
        </is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s="2" t="inlineStr"/>
    </row>
    <row r="1287" ht="15" customHeight="1">
      <c r="A1287" t="inlineStr">
        <is>
          <t>A 49642-2024</t>
        </is>
      </c>
      <c r="B1287" t="inlineStr">
        <is>
          <t>avverkningsanmälan</t>
        </is>
      </c>
      <c r="C1287" t="inlineStr">
        <is>
          <t>Föryngringsavverkning</t>
        </is>
      </c>
      <c r="D1287" s="1" t="n">
        <v>45596</v>
      </c>
      <c r="E1287" s="1" t="n">
        <v>46314</v>
      </c>
      <c r="F1287" t="inlineStr">
        <is>
          <t>DALARNAS LÄN</t>
        </is>
      </c>
      <c r="G1287" t="inlineStr">
        <is>
          <t>FALUN</t>
        </is>
      </c>
      <c r="H1287" t="inlineStr">
        <is>
          <t>Bergvik skog väst AB</t>
        </is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s="2" t="inlineStr"/>
    </row>
    <row r="1288" ht="15" customHeight="1">
      <c r="A1288" t="inlineStr">
        <is>
          <t>A 49663-2024</t>
        </is>
      </c>
      <c r="B1288" t="inlineStr">
        <is>
          <t>avverkningsanmälan</t>
        </is>
      </c>
      <c r="C1288" t="inlineStr">
        <is>
          <t>Föryngringsavverkning</t>
        </is>
      </c>
      <c r="D1288" s="1" t="n">
        <v>45596</v>
      </c>
      <c r="E1288" s="1" t="n">
        <v>46314</v>
      </c>
      <c r="F1288" t="inlineStr">
        <is>
          <t>DALARNAS LÄN</t>
        </is>
      </c>
      <c r="G1288" t="inlineStr">
        <is>
          <t>FALUN</t>
        </is>
      </c>
      <c r="H1288" t="inlineStr">
        <is>
          <t>Bergvik skog väst AB</t>
        </is>
      </c>
      <c r="I1288" t="n">
        <v>6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s="2" t="inlineStr"/>
    </row>
    <row r="1289" ht="15" customHeight="1">
      <c r="A1289" t="inlineStr">
        <is>
          <t>A 29295-2026</t>
        </is>
      </c>
      <c r="B1289" t="inlineStr">
        <is>
          <t>avverkningsanmälan</t>
        </is>
      </c>
      <c r="C1289" t="inlineStr">
        <is>
          <t>Föryngringsavverkning</t>
        </is>
      </c>
      <c r="D1289" s="1" t="n">
        <v>46202</v>
      </c>
      <c r="E1289" s="1" t="n">
        <v>46314</v>
      </c>
      <c r="F1289" t="inlineStr">
        <is>
          <t>DALARNAS LÄN</t>
        </is>
      </c>
      <c r="G1289" t="inlineStr">
        <is>
          <t>FALUN</t>
        </is>
      </c>
      <c r="I1289" t="n">
        <v>2.1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s="2" t="inlineStr"/>
    </row>
    <row r="1290" ht="15" customHeight="1">
      <c r="A1290" t="inlineStr">
        <is>
          <t>A 18998-2026</t>
        </is>
      </c>
      <c r="B1290" t="inlineStr">
        <is>
          <t>avverkningsanmälan</t>
        </is>
      </c>
      <c r="C1290" t="inlineStr">
        <is>
          <t>Föryngringsavverkning</t>
        </is>
      </c>
      <c r="D1290" s="1" t="n">
        <v>46129</v>
      </c>
      <c r="E1290" s="1" t="n">
        <v>46314</v>
      </c>
      <c r="F1290" t="inlineStr">
        <is>
          <t>DALARNAS LÄN</t>
        </is>
      </c>
      <c r="G1290" t="inlineStr">
        <is>
          <t>FALUN</t>
        </is>
      </c>
      <c r="I1290" t="n">
        <v>1.4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s="2" t="inlineStr"/>
    </row>
    <row r="1291" ht="15" customHeight="1">
      <c r="A1291" t="inlineStr">
        <is>
          <t>A 19033-2026</t>
        </is>
      </c>
      <c r="B1291" t="inlineStr">
        <is>
          <t>avverkningsanmälan</t>
        </is>
      </c>
      <c r="C1291" t="inlineStr">
        <is>
          <t>Föryngringsavverkning</t>
        </is>
      </c>
      <c r="D1291" s="1" t="n">
        <v>46131</v>
      </c>
      <c r="E1291" s="1" t="n">
        <v>46314</v>
      </c>
      <c r="F1291" t="inlineStr">
        <is>
          <t>DALARNAS LÄN</t>
        </is>
      </c>
      <c r="G1291" t="inlineStr">
        <is>
          <t>FALUN</t>
        </is>
      </c>
      <c r="I1291" t="n">
        <v>0.2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s="2" t="inlineStr"/>
    </row>
    <row r="1292" ht="15" customHeight="1">
      <c r="A1292" t="inlineStr">
        <is>
          <t>A 11266-2026</t>
        </is>
      </c>
      <c r="B1292" t="inlineStr">
        <is>
          <t>avverkningsanmälan</t>
        </is>
      </c>
      <c r="C1292" t="inlineStr">
        <is>
          <t>Föryngringsavverkning</t>
        </is>
      </c>
      <c r="D1292" s="1" t="n">
        <v>46080</v>
      </c>
      <c r="E1292" s="1" t="n">
        <v>46314</v>
      </c>
      <c r="F1292" t="inlineStr">
        <is>
          <t>DALARNAS LÄN</t>
        </is>
      </c>
      <c r="G1292" t="inlineStr">
        <is>
          <t>FALUN</t>
        </is>
      </c>
      <c r="I1292" t="n">
        <v>5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s="2" t="inlineStr"/>
    </row>
    <row r="1293" ht="15" customHeight="1">
      <c r="A1293" t="inlineStr">
        <is>
          <t>A 33548-2022</t>
        </is>
      </c>
      <c r="B1293" t="inlineStr">
        <is>
          <t>avverkningsanmälan</t>
        </is>
      </c>
      <c r="C1293" t="inlineStr">
        <is>
          <t>Avverkning för annat ändamål</t>
        </is>
      </c>
      <c r="D1293" s="1" t="n">
        <v>44789</v>
      </c>
      <c r="E1293" s="1" t="n">
        <v>46314</v>
      </c>
      <c r="F1293" t="inlineStr">
        <is>
          <t>DALARNAS LÄN</t>
        </is>
      </c>
      <c r="G1293" t="inlineStr">
        <is>
          <t>FALUN</t>
        </is>
      </c>
      <c r="I1293" t="n">
        <v>4.7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s="2" t="inlineStr"/>
    </row>
    <row r="1294" ht="15" customHeight="1">
      <c r="A1294" t="inlineStr">
        <is>
          <t>A 19422-2026</t>
        </is>
      </c>
      <c r="B1294" t="inlineStr">
        <is>
          <t>avverkningsanmälan</t>
        </is>
      </c>
      <c r="C1294" t="inlineStr">
        <is>
          <t>Föryngringsavverkning</t>
        </is>
      </c>
      <c r="D1294" s="1" t="n">
        <v>46133</v>
      </c>
      <c r="E1294" s="1" t="n">
        <v>46314</v>
      </c>
      <c r="F1294" t="inlineStr">
        <is>
          <t>DALARNAS LÄN</t>
        </is>
      </c>
      <c r="G1294" t="inlineStr">
        <is>
          <t>FALUN</t>
        </is>
      </c>
      <c r="H1294" t="inlineStr">
        <is>
          <t>Bergvik skog väst AB</t>
        </is>
      </c>
      <c r="I1294" t="n">
        <v>7.5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s="2" t="inlineStr"/>
    </row>
    <row r="1295" ht="15" customHeight="1">
      <c r="A1295" t="inlineStr">
        <is>
          <t>A 19450-2026</t>
        </is>
      </c>
      <c r="B1295" t="inlineStr">
        <is>
          <t>avverkningsanmälan</t>
        </is>
      </c>
      <c r="C1295" t="inlineStr">
        <is>
          <t>Föryngringsavverkning</t>
        </is>
      </c>
      <c r="D1295" s="1" t="n">
        <v>46133</v>
      </c>
      <c r="E1295" s="1" t="n">
        <v>46314</v>
      </c>
      <c r="F1295" t="inlineStr">
        <is>
          <t>DALARNAS LÄN</t>
        </is>
      </c>
      <c r="G1295" t="inlineStr">
        <is>
          <t>FALUN</t>
        </is>
      </c>
      <c r="I1295" t="n">
        <v>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s="2" t="inlineStr"/>
    </row>
    <row r="1296" ht="15" customHeight="1">
      <c r="A1296" t="inlineStr">
        <is>
          <t>A 19460-2026</t>
        </is>
      </c>
      <c r="B1296" t="inlineStr">
        <is>
          <t>avverkningsanmälan</t>
        </is>
      </c>
      <c r="C1296" t="inlineStr">
        <is>
          <t>Föryngringsavverkning</t>
        </is>
      </c>
      <c r="D1296" s="1" t="n">
        <v>46133</v>
      </c>
      <c r="E1296" s="1" t="n">
        <v>46314</v>
      </c>
      <c r="F1296" t="inlineStr">
        <is>
          <t>DALARNAS LÄN</t>
        </is>
      </c>
      <c r="G1296" t="inlineStr">
        <is>
          <t>FALUN</t>
        </is>
      </c>
      <c r="I1296" t="n">
        <v>0.8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s="2" t="inlineStr"/>
    </row>
    <row r="1297" ht="15" customHeight="1">
      <c r="A1297" t="inlineStr">
        <is>
          <t>A 19466-2026</t>
        </is>
      </c>
      <c r="B1297" t="inlineStr">
        <is>
          <t>avverkningsanmälan</t>
        </is>
      </c>
      <c r="C1297" t="inlineStr">
        <is>
          <t>Föryngringsavverkning</t>
        </is>
      </c>
      <c r="D1297" s="1" t="n">
        <v>46133</v>
      </c>
      <c r="E1297" s="1" t="n">
        <v>46314</v>
      </c>
      <c r="F1297" t="inlineStr">
        <is>
          <t>DALARNAS LÄN</t>
        </is>
      </c>
      <c r="G1297" t="inlineStr">
        <is>
          <t>FALUN</t>
        </is>
      </c>
      <c r="I1297" t="n">
        <v>1.6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s="2" t="inlineStr"/>
    </row>
    <row r="1298" ht="15" customHeight="1">
      <c r="A1298" t="inlineStr">
        <is>
          <t>A 19266-2026</t>
        </is>
      </c>
      <c r="B1298" t="inlineStr">
        <is>
          <t>avverkningsanmälan</t>
        </is>
      </c>
      <c r="C1298" t="inlineStr">
        <is>
          <t>Föryngringsavverkning</t>
        </is>
      </c>
      <c r="D1298" s="1" t="n">
        <v>46133</v>
      </c>
      <c r="E1298" s="1" t="n">
        <v>46314</v>
      </c>
      <c r="F1298" t="inlineStr">
        <is>
          <t>DALARNAS LÄN</t>
        </is>
      </c>
      <c r="G1298" t="inlineStr">
        <is>
          <t>FALUN</t>
        </is>
      </c>
      <c r="H1298" t="inlineStr">
        <is>
          <t>Bergvik skog väst AB</t>
        </is>
      </c>
      <c r="I1298" t="n">
        <v>13.6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s="2" t="inlineStr"/>
    </row>
    <row r="1299" ht="15" customHeight="1">
      <c r="A1299" t="inlineStr">
        <is>
          <t>A 19281-2026</t>
        </is>
      </c>
      <c r="B1299" t="inlineStr">
        <is>
          <t>avverkningsanmälan</t>
        </is>
      </c>
      <c r="C1299" t="inlineStr">
        <is>
          <t>Föryngringsavverkning</t>
        </is>
      </c>
      <c r="D1299" s="1" t="n">
        <v>46133</v>
      </c>
      <c r="E1299" s="1" t="n">
        <v>46314</v>
      </c>
      <c r="F1299" t="inlineStr">
        <is>
          <t>DALARNAS LÄN</t>
        </is>
      </c>
      <c r="G1299" t="inlineStr">
        <is>
          <t>FALUN</t>
        </is>
      </c>
      <c r="H1299" t="inlineStr">
        <is>
          <t>Bergvik skog väst AB</t>
        </is>
      </c>
      <c r="I1299" t="n">
        <v>18.3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s="2" t="inlineStr"/>
    </row>
    <row r="1300" ht="15" customHeight="1">
      <c r="A1300" t="inlineStr">
        <is>
          <t>A 19267-2026</t>
        </is>
      </c>
      <c r="B1300" t="inlineStr">
        <is>
          <t>avverkningsanmälan</t>
        </is>
      </c>
      <c r="C1300" t="inlineStr">
        <is>
          <t>Föryngringsavverkning</t>
        </is>
      </c>
      <c r="D1300" s="1" t="n">
        <v>46133</v>
      </c>
      <c r="E1300" s="1" t="n">
        <v>46314</v>
      </c>
      <c r="F1300" t="inlineStr">
        <is>
          <t>DALARNAS LÄN</t>
        </is>
      </c>
      <c r="G1300" t="inlineStr">
        <is>
          <t>FALUN</t>
        </is>
      </c>
      <c r="H1300" t="inlineStr">
        <is>
          <t>Bergvik skog väst AB</t>
        </is>
      </c>
      <c r="I1300" t="n">
        <v>3.7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s="2" t="inlineStr"/>
    </row>
    <row r="1301" ht="15" customHeight="1">
      <c r="A1301" t="inlineStr">
        <is>
          <t>A 19448-2026</t>
        </is>
      </c>
      <c r="B1301" t="inlineStr">
        <is>
          <t>avverkningsanmälan</t>
        </is>
      </c>
      <c r="C1301" t="inlineStr">
        <is>
          <t>Föryngringsavverkning</t>
        </is>
      </c>
      <c r="D1301" s="1" t="n">
        <v>46133</v>
      </c>
      <c r="E1301" s="1" t="n">
        <v>46314</v>
      </c>
      <c r="F1301" t="inlineStr">
        <is>
          <t>DALARNAS LÄN</t>
        </is>
      </c>
      <c r="G1301" t="inlineStr">
        <is>
          <t>FALUN</t>
        </is>
      </c>
      <c r="I1301" t="n">
        <v>1.7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s="2" t="inlineStr"/>
    </row>
    <row r="1302" ht="15" customHeight="1">
      <c r="A1302" t="inlineStr">
        <is>
          <t>A 16043-2026</t>
        </is>
      </c>
      <c r="B1302" t="inlineStr">
        <is>
          <t>avverkningsanmälan</t>
        </is>
      </c>
      <c r="C1302" t="inlineStr">
        <is>
          <t>Föryngringsavverkning</t>
        </is>
      </c>
      <c r="D1302" s="1" t="n">
        <v>46108</v>
      </c>
      <c r="E1302" s="1" t="n">
        <v>46314</v>
      </c>
      <c r="F1302" t="inlineStr">
        <is>
          <t>DALARNAS LÄN</t>
        </is>
      </c>
      <c r="G1302" t="inlineStr">
        <is>
          <t>FALUN</t>
        </is>
      </c>
      <c r="I1302" t="n">
        <v>2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s="2" t="inlineStr"/>
    </row>
    <row r="1303" ht="15" customHeight="1">
      <c r="A1303" t="inlineStr">
        <is>
          <t>A 19041-2026</t>
        </is>
      </c>
      <c r="B1303" t="inlineStr">
        <is>
          <t>avverkningsanmälan</t>
        </is>
      </c>
      <c r="C1303" t="inlineStr">
        <is>
          <t>Föryngringsavverkning</t>
        </is>
      </c>
      <c r="D1303" s="1" t="n">
        <v>46132</v>
      </c>
      <c r="E1303" s="1" t="n">
        <v>46314</v>
      </c>
      <c r="F1303" t="inlineStr">
        <is>
          <t>DALARNAS LÄN</t>
        </is>
      </c>
      <c r="G1303" t="inlineStr">
        <is>
          <t>FALUN</t>
        </is>
      </c>
      <c r="H1303" t="inlineStr">
        <is>
          <t>Bergvik skog väst AB</t>
        </is>
      </c>
      <c r="I1303" t="n">
        <v>1.4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s="2" t="inlineStr"/>
    </row>
    <row r="1304" ht="15" customHeight="1">
      <c r="A1304" t="inlineStr">
        <is>
          <t>A 19073-2026</t>
        </is>
      </c>
      <c r="B1304" t="inlineStr">
        <is>
          <t>avverkningsanmälan</t>
        </is>
      </c>
      <c r="C1304" t="inlineStr">
        <is>
          <t>Föryngringsavverkning</t>
        </is>
      </c>
      <c r="D1304" s="1" t="n">
        <v>46132</v>
      </c>
      <c r="E1304" s="1" t="n">
        <v>46314</v>
      </c>
      <c r="F1304" t="inlineStr">
        <is>
          <t>DALARNAS LÄN</t>
        </is>
      </c>
      <c r="G1304" t="inlineStr">
        <is>
          <t>FALUN</t>
        </is>
      </c>
      <c r="I1304" t="n">
        <v>1.7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s="2" t="inlineStr"/>
    </row>
    <row r="1305" ht="15" customHeight="1">
      <c r="A1305" t="inlineStr">
        <is>
          <t>A 19451-2026</t>
        </is>
      </c>
      <c r="B1305" t="inlineStr">
        <is>
          <t>avverkningsanmälan</t>
        </is>
      </c>
      <c r="C1305" t="inlineStr">
        <is>
          <t>Föryngringsavverkning</t>
        </is>
      </c>
      <c r="D1305" s="1" t="n">
        <v>46133</v>
      </c>
      <c r="E1305" s="1" t="n">
        <v>46314</v>
      </c>
      <c r="F1305" t="inlineStr">
        <is>
          <t>DALARNAS LÄN</t>
        </is>
      </c>
      <c r="G1305" t="inlineStr">
        <is>
          <t>FALUN</t>
        </is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s="2" t="inlineStr"/>
    </row>
    <row r="1306" ht="15" customHeight="1">
      <c r="A1306" t="inlineStr">
        <is>
          <t>A 19456-2026</t>
        </is>
      </c>
      <c r="B1306" t="inlineStr">
        <is>
          <t>avverkningsanmälan</t>
        </is>
      </c>
      <c r="C1306" t="inlineStr">
        <is>
          <t>Föryngringsavverkning</t>
        </is>
      </c>
      <c r="D1306" s="1" t="n">
        <v>46133</v>
      </c>
      <c r="E1306" s="1" t="n">
        <v>46314</v>
      </c>
      <c r="F1306" t="inlineStr">
        <is>
          <t>DALARNAS LÄN</t>
        </is>
      </c>
      <c r="G1306" t="inlineStr">
        <is>
          <t>FALUN</t>
        </is>
      </c>
      <c r="I1306" t="n">
        <v>1.7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s="2" t="inlineStr"/>
    </row>
    <row r="1307" ht="15" customHeight="1">
      <c r="A1307" t="inlineStr">
        <is>
          <t>A 19283-2026</t>
        </is>
      </c>
      <c r="B1307" t="inlineStr">
        <is>
          <t>avverkningsanmälan</t>
        </is>
      </c>
      <c r="C1307" t="inlineStr">
        <is>
          <t>Föryngringsavverkning</t>
        </is>
      </c>
      <c r="D1307" s="1" t="n">
        <v>46133</v>
      </c>
      <c r="E1307" s="1" t="n">
        <v>46314</v>
      </c>
      <c r="F1307" t="inlineStr">
        <is>
          <t>DALARNAS LÄN</t>
        </is>
      </c>
      <c r="G1307" t="inlineStr">
        <is>
          <t>FALUN</t>
        </is>
      </c>
      <c r="H1307" t="inlineStr">
        <is>
          <t>Bergvik skog väst AB</t>
        </is>
      </c>
      <c r="I1307" t="n">
        <v>4.9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s="2" t="inlineStr"/>
    </row>
    <row r="1308" ht="15" customHeight="1">
      <c r="A1308" t="inlineStr">
        <is>
          <t>A 11299-2026</t>
        </is>
      </c>
      <c r="B1308" t="inlineStr">
        <is>
          <t>avverkningsanmälan</t>
        </is>
      </c>
      <c r="C1308" t="inlineStr">
        <is>
          <t>Föryngringsavverkning</t>
        </is>
      </c>
      <c r="D1308" s="1" t="n">
        <v>46080</v>
      </c>
      <c r="E1308" s="1" t="n">
        <v>46314</v>
      </c>
      <c r="F1308" t="inlineStr">
        <is>
          <t>DALARNAS LÄN</t>
        </is>
      </c>
      <c r="G1308" t="inlineStr">
        <is>
          <t>FALUN</t>
        </is>
      </c>
      <c r="I1308" t="n">
        <v>0.6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s="2" t="inlineStr"/>
    </row>
    <row r="1309" ht="15" customHeight="1">
      <c r="A1309" t="inlineStr">
        <is>
          <t>A 19032-2026</t>
        </is>
      </c>
      <c r="B1309" t="inlineStr">
        <is>
          <t>avverkningsanmälan</t>
        </is>
      </c>
      <c r="C1309" t="inlineStr">
        <is>
          <t>Föryngringsavverkning</t>
        </is>
      </c>
      <c r="D1309" s="1" t="n">
        <v>46131</v>
      </c>
      <c r="E1309" s="1" t="n">
        <v>46314</v>
      </c>
      <c r="F1309" t="inlineStr">
        <is>
          <t>DALARNAS LÄN</t>
        </is>
      </c>
      <c r="G1309" t="inlineStr">
        <is>
          <t>FALUN</t>
        </is>
      </c>
      <c r="I1309" t="n">
        <v>0.9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s="2" t="inlineStr"/>
    </row>
    <row r="1310" ht="15" customHeight="1">
      <c r="A1310" t="inlineStr">
        <is>
          <t>A 39135-2022</t>
        </is>
      </c>
      <c r="B1310" t="inlineStr">
        <is>
          <t>avverkningsanmälan</t>
        </is>
      </c>
      <c r="C1310" t="inlineStr">
        <is>
          <t>Föryngringsavverkning</t>
        </is>
      </c>
      <c r="D1310" s="1" t="n">
        <v>44817</v>
      </c>
      <c r="E1310" s="1" t="n">
        <v>46314</v>
      </c>
      <c r="F1310" t="inlineStr">
        <is>
          <t>DALARNAS LÄN</t>
        </is>
      </c>
      <c r="G1310" t="inlineStr">
        <is>
          <t>FALUN</t>
        </is>
      </c>
      <c r="I1310" t="n">
        <v>3.4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s="2" t="inlineStr"/>
    </row>
    <row r="1311" ht="15" customHeight="1">
      <c r="A1311" t="inlineStr">
        <is>
          <t>A 19176-2026</t>
        </is>
      </c>
      <c r="B1311" t="inlineStr">
        <is>
          <t>avverkningsanmälan</t>
        </is>
      </c>
      <c r="C1311" t="inlineStr">
        <is>
          <t>Föryngringsavverkning</t>
        </is>
      </c>
      <c r="D1311" s="1" t="n">
        <v>46132</v>
      </c>
      <c r="E1311" s="1" t="n">
        <v>46314</v>
      </c>
      <c r="F1311" t="inlineStr">
        <is>
          <t>DALARNAS LÄN</t>
        </is>
      </c>
      <c r="G1311" t="inlineStr">
        <is>
          <t>FALUN</t>
        </is>
      </c>
      <c r="I1311" t="n">
        <v>3.5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s="2" t="inlineStr"/>
    </row>
    <row r="1312" ht="15" customHeight="1">
      <c r="A1312" t="inlineStr">
        <is>
          <t>A 19001-2026</t>
        </is>
      </c>
      <c r="B1312" t="inlineStr">
        <is>
          <t>avverkningsanmälan</t>
        </is>
      </c>
      <c r="C1312" t="inlineStr">
        <is>
          <t>Föryngringsavverkning</t>
        </is>
      </c>
      <c r="D1312" s="1" t="n">
        <v>46129</v>
      </c>
      <c r="E1312" s="1" t="n">
        <v>46314</v>
      </c>
      <c r="F1312" t="inlineStr">
        <is>
          <t>DALARNAS LÄN</t>
        </is>
      </c>
      <c r="G1312" t="inlineStr">
        <is>
          <t>FALUN</t>
        </is>
      </c>
      <c r="I1312" t="n">
        <v>2.3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s="2" t="inlineStr"/>
    </row>
    <row r="1313" ht="15" customHeight="1">
      <c r="A1313" t="inlineStr">
        <is>
          <t>A 33912-2024</t>
        </is>
      </c>
      <c r="B1313" t="inlineStr">
        <is>
          <t>avverkningsanmälan</t>
        </is>
      </c>
      <c r="C1313" t="inlineStr">
        <is>
          <t>Föryngringsavverkning</t>
        </is>
      </c>
      <c r="D1313" s="1" t="n">
        <v>45523</v>
      </c>
      <c r="E1313" s="1" t="n">
        <v>46314</v>
      </c>
      <c r="F1313" t="inlineStr">
        <is>
          <t>DALARNAS LÄN</t>
        </is>
      </c>
      <c r="G1313" t="inlineStr">
        <is>
          <t>FALUN</t>
        </is>
      </c>
      <c r="H1313" t="inlineStr">
        <is>
          <t>Allmännings- och besparingsskogar</t>
        </is>
      </c>
      <c r="I1313" t="n">
        <v>3.6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s="2" t="inlineStr"/>
    </row>
    <row r="1314" ht="15" customHeight="1">
      <c r="A1314" t="inlineStr">
        <is>
          <t>A 58343-2023</t>
        </is>
      </c>
      <c r="B1314" t="inlineStr">
        <is>
          <t>avverkningsanmälan</t>
        </is>
      </c>
      <c r="C1314" t="inlineStr">
        <is>
          <t>Föryngringsavverkning</t>
        </is>
      </c>
      <c r="D1314" s="1" t="n">
        <v>45250</v>
      </c>
      <c r="E1314" s="1" t="n">
        <v>46314</v>
      </c>
      <c r="F1314" t="inlineStr">
        <is>
          <t>DALARNAS LÄN</t>
        </is>
      </c>
      <c r="G1314" t="inlineStr">
        <is>
          <t>FALUN</t>
        </is>
      </c>
      <c r="I1314" t="n">
        <v>1.9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s="2" t="inlineStr"/>
    </row>
    <row r="1315" ht="15" customHeight="1">
      <c r="A1315" t="inlineStr">
        <is>
          <t>A 58388-2023</t>
        </is>
      </c>
      <c r="B1315" t="inlineStr">
        <is>
          <t>avverkningsanmälan</t>
        </is>
      </c>
      <c r="C1315" t="inlineStr">
        <is>
          <t>Föryngringsavverkning</t>
        </is>
      </c>
      <c r="D1315" s="1" t="n">
        <v>45250</v>
      </c>
      <c r="E1315" s="1" t="n">
        <v>46314</v>
      </c>
      <c r="F1315" t="inlineStr">
        <is>
          <t>DALARNAS LÄN</t>
        </is>
      </c>
      <c r="G1315" t="inlineStr">
        <is>
          <t>FALUN</t>
        </is>
      </c>
      <c r="I1315" t="n">
        <v>0.7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s="2" t="inlineStr"/>
    </row>
    <row r="1316" ht="15" customHeight="1">
      <c r="A1316" t="inlineStr">
        <is>
          <t>A 19897-2026</t>
        </is>
      </c>
      <c r="B1316" t="inlineStr">
        <is>
          <t>avverkningsanmälan</t>
        </is>
      </c>
      <c r="C1316" t="inlineStr">
        <is>
          <t>Föryngringsavverkning</t>
        </is>
      </c>
      <c r="D1316" s="1" t="n">
        <v>46135</v>
      </c>
      <c r="E1316" s="1" t="n">
        <v>46314</v>
      </c>
      <c r="F1316" t="inlineStr">
        <is>
          <t>DALARNAS LÄN</t>
        </is>
      </c>
      <c r="G1316" t="inlineStr">
        <is>
          <t>FALUN</t>
        </is>
      </c>
      <c r="I1316" t="n">
        <v>2.8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s="2" t="inlineStr"/>
    </row>
    <row r="1317" ht="15" customHeight="1">
      <c r="A1317" t="inlineStr">
        <is>
          <t>A 19508-2026</t>
        </is>
      </c>
      <c r="B1317" t="inlineStr">
        <is>
          <t>avverkningsanmälan</t>
        </is>
      </c>
      <c r="C1317" t="inlineStr">
        <is>
          <t>Föryngringsavverkning</t>
        </is>
      </c>
      <c r="D1317" s="1" t="n">
        <v>46134</v>
      </c>
      <c r="E1317" s="1" t="n">
        <v>46314</v>
      </c>
      <c r="F1317" t="inlineStr">
        <is>
          <t>DALARNAS LÄN</t>
        </is>
      </c>
      <c r="G1317" t="inlineStr">
        <is>
          <t>FALUN</t>
        </is>
      </c>
      <c r="H1317" t="inlineStr">
        <is>
          <t>Kyrkan</t>
        </is>
      </c>
      <c r="I1317" t="n">
        <v>0.5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s="2" t="inlineStr"/>
    </row>
    <row r="1318" ht="15" customHeight="1">
      <c r="A1318" t="inlineStr">
        <is>
          <t>A 16677-2026</t>
        </is>
      </c>
      <c r="B1318" t="inlineStr">
        <is>
          <t>avverkningsanmälan</t>
        </is>
      </c>
      <c r="C1318" t="inlineStr">
        <is>
          <t>Föryngringsavverkning</t>
        </is>
      </c>
      <c r="D1318" s="1" t="n">
        <v>46112</v>
      </c>
      <c r="E1318" s="1" t="n">
        <v>46314</v>
      </c>
      <c r="F1318" t="inlineStr">
        <is>
          <t>DALARNAS LÄN</t>
        </is>
      </c>
      <c r="G1318" t="inlineStr">
        <is>
          <t>FALUN</t>
        </is>
      </c>
      <c r="I1318" t="n">
        <v>1.5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s="2" t="inlineStr"/>
    </row>
    <row r="1319" ht="15" customHeight="1">
      <c r="A1319" t="inlineStr">
        <is>
          <t>A 19871-2026</t>
        </is>
      </c>
      <c r="B1319" t="inlineStr">
        <is>
          <t>avverkningsanmälan</t>
        </is>
      </c>
      <c r="C1319" t="inlineStr">
        <is>
          <t>Föryngringsavverkning</t>
        </is>
      </c>
      <c r="D1319" s="1" t="n">
        <v>46134</v>
      </c>
      <c r="E1319" s="1" t="n">
        <v>46314</v>
      </c>
      <c r="F1319" t="inlineStr">
        <is>
          <t>DALARNAS LÄN</t>
        </is>
      </c>
      <c r="G1319" t="inlineStr">
        <is>
          <t>FALUN</t>
        </is>
      </c>
      <c r="I1319" t="n">
        <v>5.1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s="2" t="inlineStr"/>
    </row>
    <row r="1320" ht="15" customHeight="1">
      <c r="A1320" t="inlineStr">
        <is>
          <t>A 15100-2026</t>
        </is>
      </c>
      <c r="B1320" t="inlineStr">
        <is>
          <t>avverkningsanmälan</t>
        </is>
      </c>
      <c r="C1320" t="inlineStr">
        <is>
          <t>Föryngringsavverkning</t>
        </is>
      </c>
      <c r="D1320" s="1" t="n">
        <v>46105</v>
      </c>
      <c r="E1320" s="1" t="n">
        <v>46314</v>
      </c>
      <c r="F1320" t="inlineStr">
        <is>
          <t>DALARNAS LÄN</t>
        </is>
      </c>
      <c r="G1320" t="inlineStr">
        <is>
          <t>FALUN</t>
        </is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s="2" t="inlineStr"/>
    </row>
    <row r="1321" ht="15" customHeight="1">
      <c r="A1321" t="inlineStr">
        <is>
          <t>A 10523-2023</t>
        </is>
      </c>
      <c r="B1321" t="inlineStr">
        <is>
          <t>avverkningsanmälan</t>
        </is>
      </c>
      <c r="C1321" t="inlineStr">
        <is>
          <t>Föryngringsavverkning</t>
        </is>
      </c>
      <c r="D1321" s="1" t="n">
        <v>44987</v>
      </c>
      <c r="E1321" s="1" t="n">
        <v>46314</v>
      </c>
      <c r="F1321" t="inlineStr">
        <is>
          <t>DALARNAS LÄN</t>
        </is>
      </c>
      <c r="G1321" t="inlineStr">
        <is>
          <t>FALUN</t>
        </is>
      </c>
      <c r="I1321" t="n">
        <v>1.6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s="2" t="inlineStr"/>
    </row>
    <row r="1322" ht="15" customHeight="1">
      <c r="A1322" t="inlineStr">
        <is>
          <t>A 17011-2026</t>
        </is>
      </c>
      <c r="B1322" t="inlineStr">
        <is>
          <t>avverkningsanmälan</t>
        </is>
      </c>
      <c r="C1322" t="inlineStr">
        <is>
          <t>Föryngringsavverkning</t>
        </is>
      </c>
      <c r="D1322" s="1" t="n">
        <v>46114</v>
      </c>
      <c r="E1322" s="1" t="n">
        <v>46314</v>
      </c>
      <c r="F1322" t="inlineStr">
        <is>
          <t>DALARNAS LÄN</t>
        </is>
      </c>
      <c r="G1322" t="inlineStr">
        <is>
          <t>FALUN</t>
        </is>
      </c>
      <c r="H1322" t="inlineStr">
        <is>
          <t>Bergvik skog väst AB</t>
        </is>
      </c>
      <c r="I1322" t="n">
        <v>12.3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s="2" t="inlineStr"/>
    </row>
    <row r="1323" ht="15" customHeight="1">
      <c r="A1323" t="inlineStr">
        <is>
          <t>A 19723-2026</t>
        </is>
      </c>
      <c r="B1323" t="inlineStr">
        <is>
          <t>avverkningsanmälan</t>
        </is>
      </c>
      <c r="C1323" t="inlineStr">
        <is>
          <t>Föryngringsavverkning</t>
        </is>
      </c>
      <c r="D1323" s="1" t="n">
        <v>46135</v>
      </c>
      <c r="E1323" s="1" t="n">
        <v>46314</v>
      </c>
      <c r="F1323" t="inlineStr">
        <is>
          <t>DALARNAS LÄN</t>
        </is>
      </c>
      <c r="G1323" t="inlineStr">
        <is>
          <t>FALUN</t>
        </is>
      </c>
      <c r="H1323" t="inlineStr">
        <is>
          <t>Bergvik skog väst AB</t>
        </is>
      </c>
      <c r="I1323" t="n">
        <v>0.7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s="2" t="inlineStr"/>
    </row>
    <row r="1324" ht="15" customHeight="1">
      <c r="A1324" t="inlineStr">
        <is>
          <t>A 15346-2026</t>
        </is>
      </c>
      <c r="B1324" t="inlineStr">
        <is>
          <t>avverkningsanmälan</t>
        </is>
      </c>
      <c r="C1324" t="inlineStr">
        <is>
          <t>Föryngringsavverkning</t>
        </is>
      </c>
      <c r="D1324" s="1" t="n">
        <v>46105</v>
      </c>
      <c r="E1324" s="1" t="n">
        <v>46314</v>
      </c>
      <c r="F1324" t="inlineStr">
        <is>
          <t>DALARNAS LÄN</t>
        </is>
      </c>
      <c r="G1324" t="inlineStr">
        <is>
          <t>FALUN</t>
        </is>
      </c>
      <c r="H1324" t="inlineStr">
        <is>
          <t>Bergvik skog väst AB</t>
        </is>
      </c>
      <c r="I1324" t="n">
        <v>1.9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s="2" t="inlineStr"/>
    </row>
    <row r="1325" ht="15" customHeight="1">
      <c r="A1325" t="inlineStr">
        <is>
          <t>A 17309-2026</t>
        </is>
      </c>
      <c r="B1325" t="inlineStr">
        <is>
          <t>avverkningsanmälan</t>
        </is>
      </c>
      <c r="C1325" t="inlineStr">
        <is>
          <t>Föryngringsavverkning</t>
        </is>
      </c>
      <c r="D1325" s="1" t="n">
        <v>46119</v>
      </c>
      <c r="E1325" s="1" t="n">
        <v>46314</v>
      </c>
      <c r="F1325" t="inlineStr">
        <is>
          <t>DALARNAS LÄN</t>
        </is>
      </c>
      <c r="G1325" t="inlineStr">
        <is>
          <t>FALUN</t>
        </is>
      </c>
      <c r="H1325" t="inlineStr">
        <is>
          <t>Bergvik skog väst AB</t>
        </is>
      </c>
      <c r="I1325" t="n">
        <v>1.7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s="2" t="inlineStr"/>
    </row>
    <row r="1326" ht="15" customHeight="1">
      <c r="A1326" t="inlineStr">
        <is>
          <t>A 15293-2026</t>
        </is>
      </c>
      <c r="B1326" t="inlineStr">
        <is>
          <t>avverkningsanmälan</t>
        </is>
      </c>
      <c r="C1326" t="inlineStr">
        <is>
          <t>Föryngringsavverkning</t>
        </is>
      </c>
      <c r="D1326" s="1" t="n">
        <v>46105</v>
      </c>
      <c r="E1326" s="1" t="n">
        <v>46314</v>
      </c>
      <c r="F1326" t="inlineStr">
        <is>
          <t>DALARNAS LÄN</t>
        </is>
      </c>
      <c r="G1326" t="inlineStr">
        <is>
          <t>FALUN</t>
        </is>
      </c>
      <c r="H1326" t="inlineStr">
        <is>
          <t>Bergvik skog väst AB</t>
        </is>
      </c>
      <c r="I1326" t="n">
        <v>11.2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s="2" t="inlineStr"/>
    </row>
    <row r="1327" ht="15" customHeight="1">
      <c r="A1327" t="inlineStr">
        <is>
          <t>A 17142-2026</t>
        </is>
      </c>
      <c r="B1327" t="inlineStr">
        <is>
          <t>avverkningsanmälan</t>
        </is>
      </c>
      <c r="C1327" t="inlineStr">
        <is>
          <t>Föryngringsavverkning</t>
        </is>
      </c>
      <c r="D1327" s="1" t="n">
        <v>46114</v>
      </c>
      <c r="E1327" s="1" t="n">
        <v>46314</v>
      </c>
      <c r="F1327" t="inlineStr">
        <is>
          <t>DALARNAS LÄN</t>
        </is>
      </c>
      <c r="G1327" t="inlineStr">
        <is>
          <t>FALUN</t>
        </is>
      </c>
      <c r="I1327" t="n">
        <v>2.2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s="2" t="inlineStr"/>
    </row>
    <row r="1328" ht="15" customHeight="1">
      <c r="A1328" t="inlineStr">
        <is>
          <t>A 19892-2026</t>
        </is>
      </c>
      <c r="B1328" t="inlineStr">
        <is>
          <t>avverkningsanmälan</t>
        </is>
      </c>
      <c r="C1328" t="inlineStr">
        <is>
          <t>Föryngringsavverkning</t>
        </is>
      </c>
      <c r="D1328" s="1" t="n">
        <v>46135</v>
      </c>
      <c r="E1328" s="1" t="n">
        <v>46314</v>
      </c>
      <c r="F1328" t="inlineStr">
        <is>
          <t>DALARNAS LÄN</t>
        </is>
      </c>
      <c r="G1328" t="inlineStr">
        <is>
          <t>FALUN</t>
        </is>
      </c>
      <c r="I1328" t="n">
        <v>3.5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s="2" t="inlineStr"/>
    </row>
    <row r="1329" ht="15" customHeight="1">
      <c r="A1329" t="inlineStr">
        <is>
          <t>A 19896-2026</t>
        </is>
      </c>
      <c r="B1329" t="inlineStr">
        <is>
          <t>avverkningsanmälan</t>
        </is>
      </c>
      <c r="C1329" t="inlineStr">
        <is>
          <t>Föryngringsavverkning</t>
        </is>
      </c>
      <c r="D1329" s="1" t="n">
        <v>46135</v>
      </c>
      <c r="E1329" s="1" t="n">
        <v>46314</v>
      </c>
      <c r="F1329" t="inlineStr">
        <is>
          <t>DALARNAS LÄN</t>
        </is>
      </c>
      <c r="G1329" t="inlineStr">
        <is>
          <t>FALUN</t>
        </is>
      </c>
      <c r="I1329" t="n">
        <v>1.6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s="2" t="inlineStr"/>
    </row>
    <row r="1330" ht="15" customHeight="1">
      <c r="A1330" t="inlineStr">
        <is>
          <t>A 19583-2026</t>
        </is>
      </c>
      <c r="B1330" t="inlineStr">
        <is>
          <t>avverkningsanmälan</t>
        </is>
      </c>
      <c r="C1330" t="inlineStr">
        <is>
          <t>Föryngringsavverkning</t>
        </is>
      </c>
      <c r="D1330" s="1" t="n">
        <v>46134</v>
      </c>
      <c r="E1330" s="1" t="n">
        <v>46314</v>
      </c>
      <c r="F1330" t="inlineStr">
        <is>
          <t>DALARNAS LÄN</t>
        </is>
      </c>
      <c r="G1330" t="inlineStr">
        <is>
          <t>FALUN</t>
        </is>
      </c>
      <c r="I1330" t="n">
        <v>1.9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s="2" t="inlineStr"/>
    </row>
    <row r="1331" ht="15" customHeight="1">
      <c r="A1331" t="inlineStr">
        <is>
          <t>A 19728-2026</t>
        </is>
      </c>
      <c r="B1331" t="inlineStr">
        <is>
          <t>avverkningsanmälan</t>
        </is>
      </c>
      <c r="C1331" t="inlineStr">
        <is>
          <t>Föryngringsavverkning</t>
        </is>
      </c>
      <c r="D1331" s="1" t="n">
        <v>46135</v>
      </c>
      <c r="E1331" s="1" t="n">
        <v>46314</v>
      </c>
      <c r="F1331" t="inlineStr">
        <is>
          <t>DALARNAS LÄN</t>
        </is>
      </c>
      <c r="G1331" t="inlineStr">
        <is>
          <t>FALUN</t>
        </is>
      </c>
      <c r="H1331" t="inlineStr">
        <is>
          <t>Bergvik skog väst AB</t>
        </is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s="2" t="inlineStr"/>
    </row>
    <row r="1332" ht="15" customHeight="1">
      <c r="A1332" t="inlineStr">
        <is>
          <t>A 29084-2023</t>
        </is>
      </c>
      <c r="B1332" t="inlineStr">
        <is>
          <t>avverkningsanmälan</t>
        </is>
      </c>
      <c r="C1332" t="inlineStr">
        <is>
          <t>Föryngringsavverkning</t>
        </is>
      </c>
      <c r="D1332" s="1" t="n">
        <v>45105</v>
      </c>
      <c r="E1332" s="1" t="n">
        <v>46314</v>
      </c>
      <c r="F1332" t="inlineStr">
        <is>
          <t>DALARNAS LÄN</t>
        </is>
      </c>
      <c r="G1332" t="inlineStr">
        <is>
          <t>FALUN</t>
        </is>
      </c>
      <c r="I1332" t="n">
        <v>1.7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s="2" t="inlineStr"/>
    </row>
    <row r="1333" ht="15" customHeight="1">
      <c r="A1333" t="inlineStr">
        <is>
          <t>A 58411-2024</t>
        </is>
      </c>
      <c r="B1333" t="inlineStr">
        <is>
          <t>avverkningsanmälan</t>
        </is>
      </c>
      <c r="C1333" t="inlineStr">
        <is>
          <t>Föryngringsavverkning</t>
        </is>
      </c>
      <c r="D1333" s="1" t="n">
        <v>45634</v>
      </c>
      <c r="E1333" s="1" t="n">
        <v>46314</v>
      </c>
      <c r="F1333" t="inlineStr">
        <is>
          <t>DALARNAS LÄN</t>
        </is>
      </c>
      <c r="G1333" t="inlineStr">
        <is>
          <t>FALUN</t>
        </is>
      </c>
      <c r="I1333" t="n">
        <v>4.1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s="2" t="inlineStr"/>
    </row>
    <row r="1334" ht="15" customHeight="1">
      <c r="A1334" t="inlineStr">
        <is>
          <t>A 2961-2026</t>
        </is>
      </c>
      <c r="B1334" t="inlineStr">
        <is>
          <t>avverkningsanmälan</t>
        </is>
      </c>
      <c r="C1334" t="inlineStr">
        <is>
          <t>Föryngringsavverkning</t>
        </is>
      </c>
      <c r="D1334" s="1" t="n">
        <v>46037</v>
      </c>
      <c r="E1334" s="1" t="n">
        <v>46314</v>
      </c>
      <c r="F1334" t="inlineStr">
        <is>
          <t>DALARNAS LÄN</t>
        </is>
      </c>
      <c r="G1334" t="inlineStr">
        <is>
          <t>FALUN</t>
        </is>
      </c>
      <c r="I1334" t="n">
        <v>5.6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s="2" t="inlineStr"/>
    </row>
    <row r="1335" ht="15" customHeight="1">
      <c r="A1335" t="inlineStr">
        <is>
          <t>A 6943-2026</t>
        </is>
      </c>
      <c r="B1335" t="inlineStr">
        <is>
          <t>avverkningsanmälan</t>
        </is>
      </c>
      <c r="C1335" t="inlineStr">
        <is>
          <t>Föryngringsavverkning</t>
        </is>
      </c>
      <c r="D1335" s="1" t="n">
        <v>46056</v>
      </c>
      <c r="E1335" s="1" t="n">
        <v>46314</v>
      </c>
      <c r="F1335" t="inlineStr">
        <is>
          <t>DALARNAS LÄN</t>
        </is>
      </c>
      <c r="G1335" t="inlineStr">
        <is>
          <t>FALUN</t>
        </is>
      </c>
      <c r="H1335" t="inlineStr">
        <is>
          <t>Allmännings- och besparingsskogar</t>
        </is>
      </c>
      <c r="I1335" t="n">
        <v>22.5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s="2" t="inlineStr"/>
    </row>
    <row r="1336" ht="15" customHeight="1">
      <c r="A1336" t="inlineStr">
        <is>
          <t>A 31084-2023</t>
        </is>
      </c>
      <c r="B1336" t="inlineStr">
        <is>
          <t>avverkningsanmälan</t>
        </is>
      </c>
      <c r="C1336" t="inlineStr">
        <is>
          <t>Föryngringsavverkning</t>
        </is>
      </c>
      <c r="D1336" s="1" t="n">
        <v>45113</v>
      </c>
      <c r="E1336" s="1" t="n">
        <v>46314</v>
      </c>
      <c r="F1336" t="inlineStr">
        <is>
          <t>DALARNAS LÄN</t>
        </is>
      </c>
      <c r="G1336" t="inlineStr">
        <is>
          <t>FALUN</t>
        </is>
      </c>
      <c r="I1336" t="n">
        <v>1.4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s="2" t="inlineStr"/>
    </row>
    <row r="1337" ht="15" customHeight="1">
      <c r="A1337" t="inlineStr">
        <is>
          <t>A 193-2026</t>
        </is>
      </c>
      <c r="B1337" t="inlineStr">
        <is>
          <t>avverkningsanmälan</t>
        </is>
      </c>
      <c r="C1337" t="inlineStr">
        <is>
          <t>Föryngringsavverkning</t>
        </is>
      </c>
      <c r="D1337" s="1" t="n">
        <v>46025</v>
      </c>
      <c r="E1337" s="1" t="n">
        <v>46314</v>
      </c>
      <c r="F1337" t="inlineStr">
        <is>
          <t>DALARNAS LÄN</t>
        </is>
      </c>
      <c r="G1337" t="inlineStr">
        <is>
          <t>FALUN</t>
        </is>
      </c>
      <c r="I1337" t="n">
        <v>13.4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s="2" t="inlineStr"/>
    </row>
    <row r="1338" ht="15" customHeight="1">
      <c r="A1338" t="inlineStr">
        <is>
          <t>A 25149-2025</t>
        </is>
      </c>
      <c r="B1338" t="inlineStr">
        <is>
          <t>avverkningsanmälan</t>
        </is>
      </c>
      <c r="C1338" t="inlineStr">
        <is>
          <t>Föryngringsavverkning</t>
        </is>
      </c>
      <c r="D1338" s="1" t="n">
        <v>45800</v>
      </c>
      <c r="E1338" s="1" t="n">
        <v>46314</v>
      </c>
      <c r="F1338" t="inlineStr">
        <is>
          <t>DALARNAS LÄN</t>
        </is>
      </c>
      <c r="G1338" t="inlineStr">
        <is>
          <t>FALUN</t>
        </is>
      </c>
      <c r="I1338" t="n">
        <v>2.1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s="2" t="inlineStr"/>
    </row>
    <row r="1339" ht="15" customHeight="1">
      <c r="A1339" t="inlineStr">
        <is>
          <t>A 45040-2025</t>
        </is>
      </c>
      <c r="B1339" t="inlineStr">
        <is>
          <t>avverkningsanmälan</t>
        </is>
      </c>
      <c r="C1339" t="inlineStr">
        <is>
          <t>Föryngringsavverkning</t>
        </is>
      </c>
      <c r="D1339" s="1" t="n">
        <v>45918</v>
      </c>
      <c r="E1339" s="1" t="n">
        <v>46314</v>
      </c>
      <c r="F1339" t="inlineStr">
        <is>
          <t>DALARNAS LÄN</t>
        </is>
      </c>
      <c r="G1339" t="inlineStr">
        <is>
          <t>FALUN</t>
        </is>
      </c>
      <c r="I1339" t="n">
        <v>2.1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s="2" t="inlineStr"/>
    </row>
    <row r="1340" ht="15" customHeight="1">
      <c r="A1340" t="inlineStr">
        <is>
          <t>A 7454-2026</t>
        </is>
      </c>
      <c r="B1340" t="inlineStr">
        <is>
          <t>avverkningsanmälan</t>
        </is>
      </c>
      <c r="C1340" t="inlineStr">
        <is>
          <t>Föryngringsavverkning</t>
        </is>
      </c>
      <c r="D1340" s="1" t="n">
        <v>46058</v>
      </c>
      <c r="E1340" s="1" t="n">
        <v>46314</v>
      </c>
      <c r="F1340" t="inlineStr">
        <is>
          <t>DALARNAS LÄN</t>
        </is>
      </c>
      <c r="G1340" t="inlineStr">
        <is>
          <t>FALUN</t>
        </is>
      </c>
      <c r="H1340" t="inlineStr">
        <is>
          <t>Allmännings- och besparingsskogar</t>
        </is>
      </c>
      <c r="I1340" t="n">
        <v>9.6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s="2" t="inlineStr"/>
    </row>
    <row r="1341" ht="15" customHeight="1">
      <c r="A1341" t="inlineStr">
        <is>
          <t>A 59319-2024</t>
        </is>
      </c>
      <c r="B1341" t="inlineStr">
        <is>
          <t>avverkningsanmälan</t>
        </is>
      </c>
      <c r="C1341" t="inlineStr">
        <is>
          <t>Föryngringsavverkning</t>
        </is>
      </c>
      <c r="D1341" s="1" t="n">
        <v>45637</v>
      </c>
      <c r="E1341" s="1" t="n">
        <v>46314</v>
      </c>
      <c r="F1341" t="inlineStr">
        <is>
          <t>DALARNAS LÄN</t>
        </is>
      </c>
      <c r="G1341" t="inlineStr">
        <is>
          <t>FALUN</t>
        </is>
      </c>
      <c r="I1341" t="n">
        <v>5.2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s="2" t="inlineStr"/>
    </row>
    <row r="1342" ht="15" customHeight="1">
      <c r="A1342" t="inlineStr">
        <is>
          <t>A 20196-2026</t>
        </is>
      </c>
      <c r="B1342" t="inlineStr">
        <is>
          <t>avverkningsanmälan</t>
        </is>
      </c>
      <c r="C1342" t="inlineStr">
        <is>
          <t>Föryngringsavverkning</t>
        </is>
      </c>
      <c r="D1342" s="1" t="n">
        <v>46139</v>
      </c>
      <c r="E1342" s="1" t="n">
        <v>46314</v>
      </c>
      <c r="F1342" t="inlineStr">
        <is>
          <t>DALARNAS LÄN</t>
        </is>
      </c>
      <c r="G1342" t="inlineStr">
        <is>
          <t>FALUN</t>
        </is>
      </c>
      <c r="I1342" t="n">
        <v>3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s="2" t="inlineStr"/>
    </row>
    <row r="1343" ht="15" customHeight="1">
      <c r="A1343" t="inlineStr">
        <is>
          <t>A 425-2026</t>
        </is>
      </c>
      <c r="B1343" t="inlineStr">
        <is>
          <t>avverkningsanmälan</t>
        </is>
      </c>
      <c r="C1343" t="inlineStr">
        <is>
          <t>Föryngringsavverkning</t>
        </is>
      </c>
      <c r="D1343" s="1" t="n">
        <v>46029</v>
      </c>
      <c r="E1343" s="1" t="n">
        <v>46314</v>
      </c>
      <c r="F1343" t="inlineStr">
        <is>
          <t>DALARNAS LÄN</t>
        </is>
      </c>
      <c r="G1343" t="inlineStr">
        <is>
          <t>FALUN</t>
        </is>
      </c>
      <c r="I1343" t="n">
        <v>4.6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s="2" t="inlineStr"/>
    </row>
    <row r="1344" ht="15" customHeight="1">
      <c r="A1344" t="inlineStr">
        <is>
          <t>A 29884-2026</t>
        </is>
      </c>
      <c r="B1344" t="inlineStr">
        <is>
          <t>avverkningsanmälan</t>
        </is>
      </c>
      <c r="C1344" t="inlineStr">
        <is>
          <t>Föryngringsavverkning</t>
        </is>
      </c>
      <c r="D1344" s="1" t="n">
        <v>46205</v>
      </c>
      <c r="E1344" s="1" t="n">
        <v>46314</v>
      </c>
      <c r="F1344" t="inlineStr">
        <is>
          <t>DALARNAS LÄN</t>
        </is>
      </c>
      <c r="G1344" t="inlineStr">
        <is>
          <t>FALUN</t>
        </is>
      </c>
      <c r="I1344" t="n">
        <v>2.9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s="2" t="inlineStr"/>
    </row>
    <row r="1345" ht="15" customHeight="1">
      <c r="A1345" t="inlineStr">
        <is>
          <t>A 5300-2026</t>
        </is>
      </c>
      <c r="B1345" t="inlineStr">
        <is>
          <t>avverkningsanmälan</t>
        </is>
      </c>
      <c r="C1345" t="inlineStr">
        <is>
          <t>Föryngringsavverkning</t>
        </is>
      </c>
      <c r="D1345" s="1" t="n">
        <v>46050</v>
      </c>
      <c r="E1345" s="1" t="n">
        <v>46314</v>
      </c>
      <c r="F1345" t="inlineStr">
        <is>
          <t>DALARNAS LÄN</t>
        </is>
      </c>
      <c r="G1345" t="inlineStr">
        <is>
          <t>FALUN</t>
        </is>
      </c>
      <c r="H1345" t="inlineStr">
        <is>
          <t>Bergvik skog väst AB</t>
        </is>
      </c>
      <c r="I1345" t="n">
        <v>19.4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s="2" t="inlineStr"/>
    </row>
    <row r="1346" ht="15" customHeight="1">
      <c r="A1346" t="inlineStr">
        <is>
          <t>A 20201-2026</t>
        </is>
      </c>
      <c r="B1346" t="inlineStr">
        <is>
          <t>avverkningsanmälan</t>
        </is>
      </c>
      <c r="C1346" t="inlineStr">
        <is>
          <t>Föryngringsavverkning</t>
        </is>
      </c>
      <c r="D1346" s="1" t="n">
        <v>46139</v>
      </c>
      <c r="E1346" s="1" t="n">
        <v>46314</v>
      </c>
      <c r="F1346" t="inlineStr">
        <is>
          <t>DALARNAS LÄN</t>
        </is>
      </c>
      <c r="G1346" t="inlineStr">
        <is>
          <t>FALUN</t>
        </is>
      </c>
      <c r="I1346" t="n">
        <v>2.9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s="2" t="inlineStr"/>
    </row>
    <row r="1347" ht="15" customHeight="1">
      <c r="A1347" t="inlineStr">
        <is>
          <t>A 18771-2026</t>
        </is>
      </c>
      <c r="B1347" t="inlineStr">
        <is>
          <t>avverkningsanmälan</t>
        </is>
      </c>
      <c r="C1347" t="inlineStr">
        <is>
          <t>Föryngringsavverkning</t>
        </is>
      </c>
      <c r="D1347" s="1" t="n">
        <v>46128</v>
      </c>
      <c r="E1347" s="1" t="n">
        <v>46314</v>
      </c>
      <c r="F1347" t="inlineStr">
        <is>
          <t>DALARNAS LÄN</t>
        </is>
      </c>
      <c r="G1347" t="inlineStr">
        <is>
          <t>FALUN</t>
        </is>
      </c>
      <c r="H1347" t="inlineStr">
        <is>
          <t>Bergvik skog väst AB</t>
        </is>
      </c>
      <c r="I1347" t="n">
        <v>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s="2" t="inlineStr"/>
    </row>
    <row r="1348" ht="15" customHeight="1">
      <c r="A1348" t="inlineStr">
        <is>
          <t>A 20358-2026</t>
        </is>
      </c>
      <c r="B1348" t="inlineStr">
        <is>
          <t>avverkningsanmälan</t>
        </is>
      </c>
      <c r="C1348" t="inlineStr">
        <is>
          <t>Föryngringsavverkning</t>
        </is>
      </c>
      <c r="D1348" s="1" t="n">
        <v>46139</v>
      </c>
      <c r="E1348" s="1" t="n">
        <v>46314</v>
      </c>
      <c r="F1348" t="inlineStr">
        <is>
          <t>DALARNAS LÄN</t>
        </is>
      </c>
      <c r="G1348" t="inlineStr">
        <is>
          <t>FALUN</t>
        </is>
      </c>
      <c r="I1348" t="n">
        <v>2.7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s="2" t="inlineStr"/>
    </row>
    <row r="1349" ht="15" customHeight="1">
      <c r="A1349" t="inlineStr">
        <is>
          <t>A 19917-2026</t>
        </is>
      </c>
      <c r="B1349" t="inlineStr">
        <is>
          <t>avverkningsanmälan</t>
        </is>
      </c>
      <c r="C1349" t="inlineStr">
        <is>
          <t>Föryngringsavverkning</t>
        </is>
      </c>
      <c r="D1349" s="1" t="n">
        <v>46136</v>
      </c>
      <c r="E1349" s="1" t="n">
        <v>46314</v>
      </c>
      <c r="F1349" t="inlineStr">
        <is>
          <t>DALARNAS LÄN</t>
        </is>
      </c>
      <c r="G1349" t="inlineStr">
        <is>
          <t>FALUN</t>
        </is>
      </c>
      <c r="I1349" t="n">
        <v>0.6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s="2" t="inlineStr"/>
    </row>
    <row r="1350" ht="15" customHeight="1">
      <c r="A1350" t="inlineStr">
        <is>
          <t>A 8033-2026</t>
        </is>
      </c>
      <c r="B1350" t="inlineStr">
        <is>
          <t>avverkningsanmälan</t>
        </is>
      </c>
      <c r="C1350" t="inlineStr">
        <is>
          <t>Föryngringsavverkning</t>
        </is>
      </c>
      <c r="D1350" s="1" t="n">
        <v>46063</v>
      </c>
      <c r="E1350" s="1" t="n">
        <v>46314</v>
      </c>
      <c r="F1350" t="inlineStr">
        <is>
          <t>DALARNAS LÄN</t>
        </is>
      </c>
      <c r="G1350" t="inlineStr">
        <is>
          <t>FALUN</t>
        </is>
      </c>
      <c r="I1350" t="n">
        <v>0.9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s="2" t="inlineStr"/>
    </row>
    <row r="1351" ht="15" customHeight="1">
      <c r="A1351" t="inlineStr">
        <is>
          <t>A 8557-2026</t>
        </is>
      </c>
      <c r="B1351" t="inlineStr">
        <is>
          <t>avverkningsanmälan</t>
        </is>
      </c>
      <c r="C1351" t="inlineStr">
        <is>
          <t>Föryngringsavverkning</t>
        </is>
      </c>
      <c r="D1351" s="1" t="n">
        <v>46065</v>
      </c>
      <c r="E1351" s="1" t="n">
        <v>46314</v>
      </c>
      <c r="F1351" t="inlineStr">
        <is>
          <t>DALARNAS LÄN</t>
        </is>
      </c>
      <c r="G1351" t="inlineStr">
        <is>
          <t>FALUN</t>
        </is>
      </c>
      <c r="I1351" t="n">
        <v>1.2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s="2" t="inlineStr"/>
    </row>
    <row r="1352" ht="15" customHeight="1">
      <c r="A1352" t="inlineStr">
        <is>
          <t>A 1781-2026</t>
        </is>
      </c>
      <c r="B1352" t="inlineStr">
        <is>
          <t>avverkningsanmälan</t>
        </is>
      </c>
      <c r="C1352" t="inlineStr">
        <is>
          <t>Föryngringsavverkning</t>
        </is>
      </c>
      <c r="D1352" s="1" t="n">
        <v>46031</v>
      </c>
      <c r="E1352" s="1" t="n">
        <v>46314</v>
      </c>
      <c r="F1352" t="inlineStr">
        <is>
          <t>DALARNAS LÄN</t>
        </is>
      </c>
      <c r="G1352" t="inlineStr">
        <is>
          <t>FALUN</t>
        </is>
      </c>
      <c r="I1352" t="n">
        <v>8.9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s="2" t="inlineStr"/>
    </row>
    <row r="1353" ht="15" customHeight="1">
      <c r="A1353" t="inlineStr">
        <is>
          <t>A 61377-2021</t>
        </is>
      </c>
      <c r="B1353" t="inlineStr">
        <is>
          <t>avverkningsanmälan</t>
        </is>
      </c>
      <c r="C1353" t="inlineStr">
        <is>
          <t>Föryngringsavverkning</t>
        </is>
      </c>
      <c r="D1353" s="1" t="n">
        <v>44500</v>
      </c>
      <c r="E1353" s="1" t="n">
        <v>46314</v>
      </c>
      <c r="F1353" t="inlineStr">
        <is>
          <t>DALARNAS LÄN</t>
        </is>
      </c>
      <c r="G1353" t="inlineStr">
        <is>
          <t>FALUN</t>
        </is>
      </c>
      <c r="H1353" t="inlineStr">
        <is>
          <t>Bergvik skog väst AB</t>
        </is>
      </c>
      <c r="I1353" t="n">
        <v>1.3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s="2" t="inlineStr"/>
    </row>
    <row r="1354" ht="15" customHeight="1">
      <c r="A1354" t="inlineStr">
        <is>
          <t>A 48296-2024</t>
        </is>
      </c>
      <c r="B1354" t="inlineStr">
        <is>
          <t>avverkningsanmälan</t>
        </is>
      </c>
      <c r="C1354" t="inlineStr">
        <is>
          <t>Föryngringsavverkning</t>
        </is>
      </c>
      <c r="D1354" s="1" t="n">
        <v>45590</v>
      </c>
      <c r="E1354" s="1" t="n">
        <v>46314</v>
      </c>
      <c r="F1354" t="inlineStr">
        <is>
          <t>DALARNAS LÄN</t>
        </is>
      </c>
      <c r="G1354" t="inlineStr">
        <is>
          <t>FALUN</t>
        </is>
      </c>
      <c r="H1354" t="inlineStr">
        <is>
          <t>Bergvik skog väst AB</t>
        </is>
      </c>
      <c r="I1354" t="n">
        <v>3.3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s="2" t="inlineStr"/>
    </row>
    <row r="1355" ht="15" customHeight="1">
      <c r="A1355" t="inlineStr">
        <is>
          <t>A 19903-2022</t>
        </is>
      </c>
      <c r="B1355" t="inlineStr">
        <is>
          <t>avverkningsanmälan</t>
        </is>
      </c>
      <c r="C1355" t="inlineStr">
        <is>
          <t>Avverkning för annat ändamål</t>
        </is>
      </c>
      <c r="D1355" s="1" t="n">
        <v>44697</v>
      </c>
      <c r="E1355" s="1" t="n">
        <v>46314</v>
      </c>
      <c r="F1355" t="inlineStr">
        <is>
          <t>DALARNAS LÄN</t>
        </is>
      </c>
      <c r="G1355" t="inlineStr">
        <is>
          <t>FALUN</t>
        </is>
      </c>
      <c r="I1355" t="n">
        <v>3.2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s="2" t="inlineStr"/>
    </row>
    <row r="1356" ht="15" customHeight="1">
      <c r="A1356" t="inlineStr">
        <is>
          <t>A 30537-2024</t>
        </is>
      </c>
      <c r="B1356" t="inlineStr">
        <is>
          <t>avverkningsanmälan</t>
        </is>
      </c>
      <c r="C1356" t="inlineStr">
        <is>
          <t>Föryngringsavverkning</t>
        </is>
      </c>
      <c r="D1356" s="1" t="n">
        <v>45492</v>
      </c>
      <c r="E1356" s="1" t="n">
        <v>46314</v>
      </c>
      <c r="F1356" t="inlineStr">
        <is>
          <t>DALARNAS LÄN</t>
        </is>
      </c>
      <c r="G1356" t="inlineStr">
        <is>
          <t>FALUN</t>
        </is>
      </c>
      <c r="I1356" t="n">
        <v>1.5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s="2" t="inlineStr"/>
    </row>
    <row r="1357" ht="15" customHeight="1">
      <c r="A1357" t="inlineStr">
        <is>
          <t>A 30448-2026</t>
        </is>
      </c>
      <c r="B1357" t="inlineStr">
        <is>
          <t>avverkningsanmälan</t>
        </is>
      </c>
      <c r="C1357" t="inlineStr">
        <is>
          <t>Föryngringsavverkning</t>
        </is>
      </c>
      <c r="D1357" s="1" t="n">
        <v>46209</v>
      </c>
      <c r="E1357" s="1" t="n">
        <v>46314</v>
      </c>
      <c r="F1357" t="inlineStr">
        <is>
          <t>DALARNAS LÄN</t>
        </is>
      </c>
      <c r="G1357" t="inlineStr">
        <is>
          <t>FALUN</t>
        </is>
      </c>
      <c r="I1357" t="n">
        <v>2.7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s="2" t="inlineStr"/>
    </row>
    <row r="1358" ht="15" customHeight="1">
      <c r="A1358" t="inlineStr">
        <is>
          <t>A 22925-2023</t>
        </is>
      </c>
      <c r="B1358" t="inlineStr">
        <is>
          <t>avverkningsanmälan</t>
        </is>
      </c>
      <c r="C1358" t="inlineStr">
        <is>
          <t>Föryngringsavverkning</t>
        </is>
      </c>
      <c r="D1358" s="1" t="n">
        <v>45072</v>
      </c>
      <c r="E1358" s="1" t="n">
        <v>46314</v>
      </c>
      <c r="F1358" t="inlineStr">
        <is>
          <t>DALARNAS LÄN</t>
        </is>
      </c>
      <c r="G1358" t="inlineStr">
        <is>
          <t>FALUN</t>
        </is>
      </c>
      <c r="I1358" t="n">
        <v>2.4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s="2" t="inlineStr"/>
    </row>
    <row r="1359" ht="15" customHeight="1">
      <c r="A1359" t="inlineStr">
        <is>
          <t>A 30463-2026</t>
        </is>
      </c>
      <c r="B1359" t="inlineStr">
        <is>
          <t>avverkningsanmälan</t>
        </is>
      </c>
      <c r="C1359" t="inlineStr">
        <is>
          <t>Föryngringsavverkning</t>
        </is>
      </c>
      <c r="D1359" s="1" t="n">
        <v>46209</v>
      </c>
      <c r="E1359" s="1" t="n">
        <v>46314</v>
      </c>
      <c r="F1359" t="inlineStr">
        <is>
          <t>DALARNAS LÄN</t>
        </is>
      </c>
      <c r="G1359" t="inlineStr">
        <is>
          <t>FALUN</t>
        </is>
      </c>
      <c r="I1359" t="n">
        <v>1.8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s="2" t="inlineStr"/>
    </row>
    <row r="1360" ht="15" customHeight="1">
      <c r="A1360" t="inlineStr">
        <is>
          <t>A 24640-2024</t>
        </is>
      </c>
      <c r="B1360" t="inlineStr">
        <is>
          <t>avverkningsanmälan</t>
        </is>
      </c>
      <c r="C1360" t="inlineStr">
        <is>
          <t>Föryngringsavverkning</t>
        </is>
      </c>
      <c r="D1360" s="1" t="n">
        <v>45460</v>
      </c>
      <c r="E1360" s="1" t="n">
        <v>46314</v>
      </c>
      <c r="F1360" t="inlineStr">
        <is>
          <t>DALARNAS LÄN</t>
        </is>
      </c>
      <c r="G1360" t="inlineStr">
        <is>
          <t>FALUN</t>
        </is>
      </c>
      <c r="I1360" t="n">
        <v>1.1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s="2" t="inlineStr"/>
    </row>
    <row r="1361" ht="15" customHeight="1">
      <c r="A1361" t="inlineStr">
        <is>
          <t>A 4923-2024</t>
        </is>
      </c>
      <c r="B1361" t="inlineStr">
        <is>
          <t>avverkningsanmälan</t>
        </is>
      </c>
      <c r="C1361" t="inlineStr">
        <is>
          <t>Föryngringsavverkning</t>
        </is>
      </c>
      <c r="D1361" s="1" t="n">
        <v>45329</v>
      </c>
      <c r="E1361" s="1" t="n">
        <v>46314</v>
      </c>
      <c r="F1361" t="inlineStr">
        <is>
          <t>DALARNAS LÄN</t>
        </is>
      </c>
      <c r="G1361" t="inlineStr">
        <is>
          <t>FALUN</t>
        </is>
      </c>
      <c r="I1361" t="n">
        <v>0.5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s="2" t="inlineStr"/>
    </row>
    <row r="1362" ht="15" customHeight="1">
      <c r="A1362" t="inlineStr">
        <is>
          <t>A 12512-2026</t>
        </is>
      </c>
      <c r="B1362" t="inlineStr">
        <is>
          <t>avverkningsanmälan</t>
        </is>
      </c>
      <c r="C1362" t="inlineStr">
        <is>
          <t>Föryngringsavverkning</t>
        </is>
      </c>
      <c r="D1362" s="1" t="n">
        <v>46090</v>
      </c>
      <c r="E1362" s="1" t="n">
        <v>46314</v>
      </c>
      <c r="F1362" t="inlineStr">
        <is>
          <t>DALARNAS LÄN</t>
        </is>
      </c>
      <c r="G1362" t="inlineStr">
        <is>
          <t>FALUN</t>
        </is>
      </c>
      <c r="H1362" t="inlineStr">
        <is>
          <t>Bergvik skog väst AB</t>
        </is>
      </c>
      <c r="I1362" t="n">
        <v>2.8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s="2" t="inlineStr"/>
    </row>
    <row r="1363" ht="15" customHeight="1">
      <c r="A1363" t="inlineStr">
        <is>
          <t>A 31095-2026</t>
        </is>
      </c>
      <c r="B1363" t="inlineStr">
        <is>
          <t>avverkningsanmälan</t>
        </is>
      </c>
      <c r="C1363" t="inlineStr">
        <is>
          <t>Föryngringsavverkning</t>
        </is>
      </c>
      <c r="D1363" s="1" t="n">
        <v>46216</v>
      </c>
      <c r="E1363" s="1" t="n">
        <v>46314</v>
      </c>
      <c r="F1363" t="inlineStr">
        <is>
          <t>DALARNAS LÄN</t>
        </is>
      </c>
      <c r="G1363" t="inlineStr">
        <is>
          <t>FALUN</t>
        </is>
      </c>
      <c r="I1363" t="n">
        <v>1.9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s="2" t="inlineStr"/>
    </row>
    <row r="1364" ht="15" customHeight="1">
      <c r="A1364" t="inlineStr">
        <is>
          <t>A 14459-2025</t>
        </is>
      </c>
      <c r="B1364" t="inlineStr">
        <is>
          <t>avverkningsanmälan</t>
        </is>
      </c>
      <c r="C1364" t="inlineStr">
        <is>
          <t>Föryngringsavverkning</t>
        </is>
      </c>
      <c r="D1364" s="1" t="n">
        <v>45741</v>
      </c>
      <c r="E1364" s="1" t="n">
        <v>46314</v>
      </c>
      <c r="F1364" t="inlineStr">
        <is>
          <t>DALARNAS LÄN</t>
        </is>
      </c>
      <c r="G1364" t="inlineStr">
        <is>
          <t>FALUN</t>
        </is>
      </c>
      <c r="I1364" t="n">
        <v>2.5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s="2" t="inlineStr"/>
    </row>
    <row r="1365" ht="15" customHeight="1">
      <c r="A1365" t="inlineStr">
        <is>
          <t>A 31271-2026</t>
        </is>
      </c>
      <c r="B1365" t="inlineStr">
        <is>
          <t>avverkningsanmälan</t>
        </is>
      </c>
      <c r="C1365" t="inlineStr">
        <is>
          <t>Föryngringsavverkning</t>
        </is>
      </c>
      <c r="D1365" s="1" t="n">
        <v>46218</v>
      </c>
      <c r="E1365" s="1" t="n">
        <v>46314</v>
      </c>
      <c r="F1365" t="inlineStr">
        <is>
          <t>DALARNAS LÄN</t>
        </is>
      </c>
      <c r="G1365" t="inlineStr">
        <is>
          <t>FALUN</t>
        </is>
      </c>
      <c r="H1365" t="inlineStr">
        <is>
          <t>Bergvik skog väst AB</t>
        </is>
      </c>
      <c r="I1365" t="n">
        <v>2.3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s="2" t="inlineStr"/>
    </row>
    <row r="1366" ht="15" customHeight="1">
      <c r="A1366" t="inlineStr">
        <is>
          <t>A 20006-2023</t>
        </is>
      </c>
      <c r="B1366" t="inlineStr">
        <is>
          <t>avverkningsanmälan</t>
        </is>
      </c>
      <c r="C1366" t="inlineStr">
        <is>
          <t>Föryngringsavverkning</t>
        </is>
      </c>
      <c r="D1366" s="1" t="n">
        <v>45054</v>
      </c>
      <c r="E1366" s="1" t="n">
        <v>46314</v>
      </c>
      <c r="F1366" t="inlineStr">
        <is>
          <t>DALARNAS LÄN</t>
        </is>
      </c>
      <c r="G1366" t="inlineStr">
        <is>
          <t>FALUN</t>
        </is>
      </c>
      <c r="I1366" t="n">
        <v>0.6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s="2" t="inlineStr"/>
    </row>
    <row r="1367" ht="15" customHeight="1">
      <c r="A1367" t="inlineStr">
        <is>
          <t>A 22646-2024</t>
        </is>
      </c>
      <c r="B1367" t="inlineStr">
        <is>
          <t>avverkningsanmälan</t>
        </is>
      </c>
      <c r="C1367" t="inlineStr">
        <is>
          <t>Föryngringsavverkning</t>
        </is>
      </c>
      <c r="D1367" s="1" t="n">
        <v>45447</v>
      </c>
      <c r="E1367" s="1" t="n">
        <v>46314</v>
      </c>
      <c r="F1367" t="inlineStr">
        <is>
          <t>DALARNAS LÄN</t>
        </is>
      </c>
      <c r="G1367" t="inlineStr">
        <is>
          <t>FALUN</t>
        </is>
      </c>
      <c r="I1367" t="n">
        <v>1.8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s="2" t="inlineStr"/>
    </row>
    <row r="1368" ht="15" customHeight="1">
      <c r="A1368" t="inlineStr">
        <is>
          <t>A 48246-2023</t>
        </is>
      </c>
      <c r="B1368" t="inlineStr">
        <is>
          <t>avverkningsanmälan</t>
        </is>
      </c>
      <c r="C1368" t="inlineStr">
        <is>
          <t>Föryngringsavverkning</t>
        </is>
      </c>
      <c r="D1368" s="1" t="n">
        <v>45205</v>
      </c>
      <c r="E1368" s="1" t="n">
        <v>46314</v>
      </c>
      <c r="F1368" t="inlineStr">
        <is>
          <t>DALARNAS LÄN</t>
        </is>
      </c>
      <c r="G1368" t="inlineStr">
        <is>
          <t>FALUN</t>
        </is>
      </c>
      <c r="I1368" t="n">
        <v>4.5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s="2" t="inlineStr"/>
    </row>
    <row r="1369" ht="15" customHeight="1">
      <c r="A1369" t="inlineStr">
        <is>
          <t>A 31265-2026</t>
        </is>
      </c>
      <c r="B1369" t="inlineStr">
        <is>
          <t>avverkningsanmälan</t>
        </is>
      </c>
      <c r="C1369" t="inlineStr">
        <is>
          <t>Föryngringsavverkning</t>
        </is>
      </c>
      <c r="D1369" s="1" t="n">
        <v>46218</v>
      </c>
      <c r="E1369" s="1" t="n">
        <v>46314</v>
      </c>
      <c r="F1369" t="inlineStr">
        <is>
          <t>DALARNAS LÄN</t>
        </is>
      </c>
      <c r="G1369" t="inlineStr">
        <is>
          <t>FALUN</t>
        </is>
      </c>
      <c r="H1369" t="inlineStr">
        <is>
          <t>Bergvik skog väst AB</t>
        </is>
      </c>
      <c r="I1369" t="n">
        <v>1.8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s="2" t="inlineStr"/>
    </row>
    <row r="1370" ht="15" customHeight="1">
      <c r="A1370" t="inlineStr">
        <is>
          <t>A 31383-2026</t>
        </is>
      </c>
      <c r="B1370" t="inlineStr">
        <is>
          <t>avverkningsanmälan</t>
        </is>
      </c>
      <c r="C1370" t="inlineStr">
        <is>
          <t>Föryngringsavverkning</t>
        </is>
      </c>
      <c r="D1370" s="1" t="n">
        <v>46220</v>
      </c>
      <c r="E1370" s="1" t="n">
        <v>46314</v>
      </c>
      <c r="F1370" t="inlineStr">
        <is>
          <t>DALARNAS LÄN</t>
        </is>
      </c>
      <c r="G1370" t="inlineStr">
        <is>
          <t>FALUN</t>
        </is>
      </c>
      <c r="H1370" t="inlineStr">
        <is>
          <t>Bergvik skog väst AB</t>
        </is>
      </c>
      <c r="I1370" t="n">
        <v>1.5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s="2" t="inlineStr"/>
    </row>
    <row r="1371" ht="15" customHeight="1">
      <c r="A1371" t="inlineStr">
        <is>
          <t>A 53008-2024</t>
        </is>
      </c>
      <c r="B1371" t="inlineStr">
        <is>
          <t>avverkningsanmälan</t>
        </is>
      </c>
      <c r="C1371" t="inlineStr">
        <is>
          <t>Föryngringsavverkning</t>
        </is>
      </c>
      <c r="D1371" s="1" t="n">
        <v>45611</v>
      </c>
      <c r="E1371" s="1" t="n">
        <v>46314</v>
      </c>
      <c r="F1371" t="inlineStr">
        <is>
          <t>DALARNAS LÄN</t>
        </is>
      </c>
      <c r="G1371" t="inlineStr">
        <is>
          <t>FALUN</t>
        </is>
      </c>
      <c r="H1371" t="inlineStr">
        <is>
          <t>Bergvik skog väst AB</t>
        </is>
      </c>
      <c r="I1371" t="n">
        <v>0.9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s="2" t="inlineStr"/>
    </row>
    <row r="1372" ht="15" customHeight="1">
      <c r="A1372" t="inlineStr">
        <is>
          <t>A 31348-2026</t>
        </is>
      </c>
      <c r="B1372" t="inlineStr">
        <is>
          <t>avverkningsanmälan</t>
        </is>
      </c>
      <c r="C1372" t="inlineStr">
        <is>
          <t>Föryngringsavverkning</t>
        </is>
      </c>
      <c r="D1372" s="1" t="n">
        <v>46219</v>
      </c>
      <c r="E1372" s="1" t="n">
        <v>46314</v>
      </c>
      <c r="F1372" t="inlineStr">
        <is>
          <t>DALARNAS LÄN</t>
        </is>
      </c>
      <c r="G1372" t="inlineStr">
        <is>
          <t>FALUN</t>
        </is>
      </c>
      <c r="I1372" t="n">
        <v>4.7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s="2" t="inlineStr"/>
    </row>
    <row r="1373" ht="15" customHeight="1">
      <c r="A1373" t="inlineStr">
        <is>
          <t>A 22343-2026</t>
        </is>
      </c>
      <c r="B1373" t="inlineStr">
        <is>
          <t>avverkningsanmälan</t>
        </is>
      </c>
      <c r="C1373" t="inlineStr">
        <is>
          <t>Föryngringsavverkning</t>
        </is>
      </c>
      <c r="D1373" s="1" t="n">
        <v>46154</v>
      </c>
      <c r="E1373" s="1" t="n">
        <v>46314</v>
      </c>
      <c r="F1373" t="inlineStr">
        <is>
          <t>DALARNAS LÄN</t>
        </is>
      </c>
      <c r="G1373" t="inlineStr">
        <is>
          <t>FALUN</t>
        </is>
      </c>
      <c r="I1373" t="n">
        <v>1.3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s="2" t="inlineStr"/>
    </row>
    <row r="1374" ht="15" customHeight="1">
      <c r="A1374" t="inlineStr">
        <is>
          <t>A 41006-2025</t>
        </is>
      </c>
      <c r="B1374" t="inlineStr">
        <is>
          <t>avverkningsanmälan</t>
        </is>
      </c>
      <c r="C1374" t="inlineStr">
        <is>
          <t>Föryngringsavverkning</t>
        </is>
      </c>
      <c r="D1374" s="1" t="n">
        <v>45898</v>
      </c>
      <c r="E1374" s="1" t="n">
        <v>46314</v>
      </c>
      <c r="F1374" t="inlineStr">
        <is>
          <t>DALARNAS LÄN</t>
        </is>
      </c>
      <c r="G1374" t="inlineStr">
        <is>
          <t>FALUN</t>
        </is>
      </c>
      <c r="H1374" t="inlineStr">
        <is>
          <t>Bergvik skog väst AB</t>
        </is>
      </c>
      <c r="I1374" t="n">
        <v>3.4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s="2" t="inlineStr"/>
    </row>
    <row r="1375" ht="15" customHeight="1">
      <c r="A1375" t="inlineStr">
        <is>
          <t>A 31496-2026</t>
        </is>
      </c>
      <c r="B1375" t="inlineStr">
        <is>
          <t>avverkningsanmälan</t>
        </is>
      </c>
      <c r="C1375" t="inlineStr">
        <is>
          <t>Föryngringsavverkning</t>
        </is>
      </c>
      <c r="D1375" s="1" t="n">
        <v>46223</v>
      </c>
      <c r="E1375" s="1" t="n">
        <v>46314</v>
      </c>
      <c r="F1375" t="inlineStr">
        <is>
          <t>DALARNAS LÄN</t>
        </is>
      </c>
      <c r="G1375" t="inlineStr">
        <is>
          <t>FALUN</t>
        </is>
      </c>
      <c r="H1375" t="inlineStr">
        <is>
          <t>Bergvik skog väst AB</t>
        </is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s="2" t="inlineStr"/>
    </row>
    <row r="1376" ht="15" customHeight="1">
      <c r="A1376" t="inlineStr">
        <is>
          <t>A 22608-2026</t>
        </is>
      </c>
      <c r="B1376" t="inlineStr">
        <is>
          <t>avverkningsanmälan</t>
        </is>
      </c>
      <c r="C1376" t="inlineStr">
        <is>
          <t>Föryngringsavverkning</t>
        </is>
      </c>
      <c r="D1376" s="1" t="n">
        <v>46155</v>
      </c>
      <c r="E1376" s="1" t="n">
        <v>46314</v>
      </c>
      <c r="F1376" t="inlineStr">
        <is>
          <t>DALARNAS LÄN</t>
        </is>
      </c>
      <c r="G1376" t="inlineStr">
        <is>
          <t>FALUN</t>
        </is>
      </c>
      <c r="I1376" t="n">
        <v>1.9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s="2" t="inlineStr"/>
    </row>
    <row r="1377" ht="15" customHeight="1">
      <c r="A1377" t="inlineStr">
        <is>
          <t>A 31513-2026</t>
        </is>
      </c>
      <c r="B1377" t="inlineStr">
        <is>
          <t>avverkningsanmälan</t>
        </is>
      </c>
      <c r="C1377" t="inlineStr">
        <is>
          <t>Föryngringsavverkning</t>
        </is>
      </c>
      <c r="D1377" s="1" t="n">
        <v>46223</v>
      </c>
      <c r="E1377" s="1" t="n">
        <v>46314</v>
      </c>
      <c r="F1377" t="inlineStr">
        <is>
          <t>DALARNAS LÄN</t>
        </is>
      </c>
      <c r="G1377" t="inlineStr">
        <is>
          <t>FALUN</t>
        </is>
      </c>
      <c r="H1377" t="inlineStr">
        <is>
          <t>Bergvik skog väst AB</t>
        </is>
      </c>
      <c r="I1377" t="n">
        <v>0.7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s="2" t="inlineStr"/>
    </row>
    <row r="1378" ht="15" customHeight="1">
      <c r="A1378" t="inlineStr">
        <is>
          <t>A 31587-2026</t>
        </is>
      </c>
      <c r="B1378" t="inlineStr">
        <is>
          <t>avverkningsanmälan</t>
        </is>
      </c>
      <c r="C1378" t="inlineStr">
        <is>
          <t>Föryngringsavverkning</t>
        </is>
      </c>
      <c r="D1378" s="1" t="n">
        <v>46224</v>
      </c>
      <c r="E1378" s="1" t="n">
        <v>46314</v>
      </c>
      <c r="F1378" t="inlineStr">
        <is>
          <t>DALARNAS LÄN</t>
        </is>
      </c>
      <c r="G1378" t="inlineStr">
        <is>
          <t>FALUN</t>
        </is>
      </c>
      <c r="H1378" t="inlineStr">
        <is>
          <t>Bergvik skog väst AB</t>
        </is>
      </c>
      <c r="I1378" t="n">
        <v>0.6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s="2" t="inlineStr"/>
    </row>
    <row r="1379" ht="15" customHeight="1">
      <c r="A1379" t="inlineStr">
        <is>
          <t>A 31701-2026</t>
        </is>
      </c>
      <c r="B1379" t="inlineStr">
        <is>
          <t>avverkningsanmälan</t>
        </is>
      </c>
      <c r="C1379" t="inlineStr">
        <is>
          <t>Föryngringsavverkning</t>
        </is>
      </c>
      <c r="D1379" s="1" t="n">
        <v>46226</v>
      </c>
      <c r="E1379" s="1" t="n">
        <v>46314</v>
      </c>
      <c r="F1379" t="inlineStr">
        <is>
          <t>DALARNAS LÄN</t>
        </is>
      </c>
      <c r="G1379" t="inlineStr">
        <is>
          <t>FALUN</t>
        </is>
      </c>
      <c r="I1379" t="n">
        <v>1.6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s="2" t="inlineStr"/>
    </row>
    <row r="1380" ht="15" customHeight="1">
      <c r="A1380" t="inlineStr">
        <is>
          <t>A 36795-2026</t>
        </is>
      </c>
      <c r="B1380" t="inlineStr">
        <is>
          <t>avverkningsanmälan</t>
        </is>
      </c>
      <c r="C1380" t="inlineStr">
        <is>
          <t>Föryngringsavverkning</t>
        </is>
      </c>
      <c r="D1380" s="1" t="n">
        <v>46272</v>
      </c>
      <c r="E1380" s="1" t="n">
        <v>46314</v>
      </c>
      <c r="F1380" t="inlineStr">
        <is>
          <t>DALARNAS LÄN</t>
        </is>
      </c>
      <c r="G1380" t="inlineStr">
        <is>
          <t>FALUN</t>
        </is>
      </c>
      <c r="H1380" t="inlineStr">
        <is>
          <t>Bergvik skog väst AB</t>
        </is>
      </c>
      <c r="I1380" t="n">
        <v>0.4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s="2" t="inlineStr"/>
    </row>
    <row r="1381" ht="15" customHeight="1">
      <c r="A1381" t="inlineStr">
        <is>
          <t>A 26598-2023</t>
        </is>
      </c>
      <c r="B1381" t="inlineStr">
        <is>
          <t>avverkningsanmälan</t>
        </is>
      </c>
      <c r="C1381" t="inlineStr">
        <is>
          <t>Föryngringsavverkning</t>
        </is>
      </c>
      <c r="D1381" s="1" t="n">
        <v>45092</v>
      </c>
      <c r="E1381" s="1" t="n">
        <v>46314</v>
      </c>
      <c r="F1381" t="inlineStr">
        <is>
          <t>DALARNAS LÄN</t>
        </is>
      </c>
      <c r="G1381" t="inlineStr">
        <is>
          <t>FALUN</t>
        </is>
      </c>
      <c r="I1381" t="n">
        <v>0.7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s="2" t="inlineStr"/>
    </row>
    <row r="1382" ht="15" customHeight="1">
      <c r="A1382" t="inlineStr">
        <is>
          <t>A 37036-2026</t>
        </is>
      </c>
      <c r="B1382" t="inlineStr">
        <is>
          <t>avverkningsanmälan</t>
        </is>
      </c>
      <c r="C1382" t="inlineStr">
        <is>
          <t>Föryngringsavverkning</t>
        </is>
      </c>
      <c r="D1382" s="1" t="n">
        <v>46273</v>
      </c>
      <c r="E1382" s="1" t="n">
        <v>46314</v>
      </c>
      <c r="F1382" t="inlineStr">
        <is>
          <t>DALARNAS LÄN</t>
        </is>
      </c>
      <c r="G1382" t="inlineStr">
        <is>
          <t>FALUN</t>
        </is>
      </c>
      <c r="I1382" t="n">
        <v>0.6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s="2" t="inlineStr"/>
    </row>
    <row r="1383" ht="15" customHeight="1">
      <c r="A1383" t="inlineStr">
        <is>
          <t>A 9659-2025</t>
        </is>
      </c>
      <c r="B1383" t="inlineStr">
        <is>
          <t>avverkningsanmälan</t>
        </is>
      </c>
      <c r="C1383" t="inlineStr">
        <is>
          <t>Föryngringsavverkning</t>
        </is>
      </c>
      <c r="D1383" s="1" t="n">
        <v>45716</v>
      </c>
      <c r="E1383" s="1" t="n">
        <v>46314</v>
      </c>
      <c r="F1383" t="inlineStr">
        <is>
          <t>DALARNAS LÄN</t>
        </is>
      </c>
      <c r="G1383" t="inlineStr">
        <is>
          <t>FALUN</t>
        </is>
      </c>
      <c r="I1383" t="n">
        <v>1.4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s="2" t="inlineStr"/>
    </row>
    <row r="1384" ht="15" customHeight="1">
      <c r="A1384" t="inlineStr">
        <is>
          <t>A 31858-2026</t>
        </is>
      </c>
      <c r="B1384" t="inlineStr">
        <is>
          <t>avverkningsanmälan</t>
        </is>
      </c>
      <c r="C1384" t="inlineStr">
        <is>
          <t>Föryngringsavverkning</t>
        </is>
      </c>
      <c r="D1384" s="1" t="n">
        <v>46230</v>
      </c>
      <c r="E1384" s="1" t="n">
        <v>46314</v>
      </c>
      <c r="F1384" t="inlineStr">
        <is>
          <t>DALARNAS LÄN</t>
        </is>
      </c>
      <c r="G1384" t="inlineStr">
        <is>
          <t>FALUN</t>
        </is>
      </c>
      <c r="I1384" t="n">
        <v>1.1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s="2" t="inlineStr"/>
    </row>
    <row r="1385" ht="15" customHeight="1">
      <c r="A1385" t="inlineStr">
        <is>
          <t>A 36803-2026</t>
        </is>
      </c>
      <c r="B1385" t="inlineStr">
        <is>
          <t>avverkningsanmälan</t>
        </is>
      </c>
      <c r="C1385" t="inlineStr">
        <is>
          <t>Föryngringsavverkning</t>
        </is>
      </c>
      <c r="D1385" s="1" t="n">
        <v>46272</v>
      </c>
      <c r="E1385" s="1" t="n">
        <v>46314</v>
      </c>
      <c r="F1385" t="inlineStr">
        <is>
          <t>DALARNAS LÄN</t>
        </is>
      </c>
      <c r="G1385" t="inlineStr">
        <is>
          <t>FALUN</t>
        </is>
      </c>
      <c r="H1385" t="inlineStr">
        <is>
          <t>Bergvik skog väst AB</t>
        </is>
      </c>
      <c r="I1385" t="n">
        <v>0.8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s="2" t="inlineStr"/>
    </row>
    <row r="1386" ht="15" customHeight="1">
      <c r="A1386" t="inlineStr">
        <is>
          <t>A 15085-2025</t>
        </is>
      </c>
      <c r="B1386" t="inlineStr">
        <is>
          <t>avverkningsanmälan</t>
        </is>
      </c>
      <c r="C1386" t="inlineStr">
        <is>
          <t>Föryngringsavverkning</t>
        </is>
      </c>
      <c r="D1386" s="1" t="n">
        <v>45744</v>
      </c>
      <c r="E1386" s="1" t="n">
        <v>46314</v>
      </c>
      <c r="F1386" t="inlineStr">
        <is>
          <t>DALARNAS LÄN</t>
        </is>
      </c>
      <c r="G1386" t="inlineStr">
        <is>
          <t>FALUN</t>
        </is>
      </c>
      <c r="I1386" t="n">
        <v>0.9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s="2" t="inlineStr"/>
    </row>
    <row r="1387" ht="15" customHeight="1">
      <c r="A1387" t="inlineStr">
        <is>
          <t>A 37068-2026</t>
        </is>
      </c>
      <c r="B1387" t="inlineStr">
        <is>
          <t>avverkningsanmälan</t>
        </is>
      </c>
      <c r="C1387" t="inlineStr">
        <is>
          <t>Föryngringsavverkning</t>
        </is>
      </c>
      <c r="D1387" s="1" t="n">
        <v>46273</v>
      </c>
      <c r="E1387" s="1" t="n">
        <v>46314</v>
      </c>
      <c r="F1387" t="inlineStr">
        <is>
          <t>DALARNAS LÄN</t>
        </is>
      </c>
      <c r="G1387" t="inlineStr">
        <is>
          <t>FALUN</t>
        </is>
      </c>
      <c r="I1387" t="n">
        <v>2.4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s="2" t="inlineStr"/>
    </row>
    <row r="1388" ht="15" customHeight="1">
      <c r="A1388" t="inlineStr">
        <is>
          <t>A 41538-2024</t>
        </is>
      </c>
      <c r="B1388" t="inlineStr">
        <is>
          <t>avverkningsanmälan</t>
        </is>
      </c>
      <c r="C1388" t="inlineStr">
        <is>
          <t>Föryngringsavverkning</t>
        </is>
      </c>
      <c r="D1388" s="1" t="n">
        <v>45560</v>
      </c>
      <c r="E1388" s="1" t="n">
        <v>46314</v>
      </c>
      <c r="F1388" t="inlineStr">
        <is>
          <t>DALARNAS LÄN</t>
        </is>
      </c>
      <c r="G1388" t="inlineStr">
        <is>
          <t>FALUN</t>
        </is>
      </c>
      <c r="H1388" t="inlineStr">
        <is>
          <t>Bergvik skog väst AB</t>
        </is>
      </c>
      <c r="I1388" t="n">
        <v>2.1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s="2" t="inlineStr"/>
    </row>
    <row r="1389" ht="15" customHeight="1">
      <c r="A1389" t="inlineStr">
        <is>
          <t>A 31859-2026</t>
        </is>
      </c>
      <c r="B1389" t="inlineStr">
        <is>
          <t>avverkningsanmälan</t>
        </is>
      </c>
      <c r="C1389" t="inlineStr">
        <is>
          <t>Föryngringsavverkning</t>
        </is>
      </c>
      <c r="D1389" s="1" t="n">
        <v>46230</v>
      </c>
      <c r="E1389" s="1" t="n">
        <v>46314</v>
      </c>
      <c r="F1389" t="inlineStr">
        <is>
          <t>DALARNAS LÄN</t>
        </is>
      </c>
      <c r="G1389" t="inlineStr">
        <is>
          <t>FALUN</t>
        </is>
      </c>
      <c r="I1389" t="n">
        <v>1.8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s="2" t="inlineStr"/>
    </row>
    <row r="1390" ht="15" customHeight="1">
      <c r="A1390" t="inlineStr">
        <is>
          <t>A 36705-2026</t>
        </is>
      </c>
      <c r="B1390" t="inlineStr">
        <is>
          <t>avverkningsanmälan</t>
        </is>
      </c>
      <c r="C1390" t="inlineStr">
        <is>
          <t>Föryngringsavverkning</t>
        </is>
      </c>
      <c r="D1390" s="1" t="n">
        <v>46272</v>
      </c>
      <c r="E1390" s="1" t="n">
        <v>46314</v>
      </c>
      <c r="F1390" t="inlineStr">
        <is>
          <t>DALARNAS LÄN</t>
        </is>
      </c>
      <c r="G1390" t="inlineStr">
        <is>
          <t>FALUN</t>
        </is>
      </c>
      <c r="H1390" t="inlineStr">
        <is>
          <t>Bergvik skog väst AB</t>
        </is>
      </c>
      <c r="I1390" t="n">
        <v>4.9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s="2" t="inlineStr"/>
    </row>
    <row r="1391" ht="15" customHeight="1">
      <c r="A1391" t="inlineStr">
        <is>
          <t>A 36869-2026</t>
        </is>
      </c>
      <c r="B1391" t="inlineStr">
        <is>
          <t>avverkningsanmälan</t>
        </is>
      </c>
      <c r="C1391" t="inlineStr">
        <is>
          <t>Föryngringsavverkning</t>
        </is>
      </c>
      <c r="D1391" s="1" t="n">
        <v>46272</v>
      </c>
      <c r="E1391" s="1" t="n">
        <v>46314</v>
      </c>
      <c r="F1391" t="inlineStr">
        <is>
          <t>DALARNAS LÄN</t>
        </is>
      </c>
      <c r="G1391" t="inlineStr">
        <is>
          <t>FALUN</t>
        </is>
      </c>
      <c r="I1391" t="n">
        <v>1.3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s="2" t="inlineStr"/>
    </row>
    <row r="1392" ht="15" customHeight="1">
      <c r="A1392" t="inlineStr">
        <is>
          <t>A 36727-2026</t>
        </is>
      </c>
      <c r="B1392" t="inlineStr">
        <is>
          <t>avverkningsanmälan</t>
        </is>
      </c>
      <c r="C1392" t="inlineStr">
        <is>
          <t>Föryngringsavverkning</t>
        </is>
      </c>
      <c r="D1392" s="1" t="n">
        <v>46272</v>
      </c>
      <c r="E1392" s="1" t="n">
        <v>46314</v>
      </c>
      <c r="F1392" t="inlineStr">
        <is>
          <t>DALARNAS LÄN</t>
        </is>
      </c>
      <c r="G1392" t="inlineStr">
        <is>
          <t>FALUN</t>
        </is>
      </c>
      <c r="I1392" t="n">
        <v>1.3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s="2" t="inlineStr"/>
    </row>
    <row r="1393" ht="15" customHeight="1">
      <c r="A1393" t="inlineStr">
        <is>
          <t>A 36695-2026</t>
        </is>
      </c>
      <c r="B1393" t="inlineStr">
        <is>
          <t>avverkningsanmälan</t>
        </is>
      </c>
      <c r="C1393" t="inlineStr">
        <is>
          <t>Föryngringsavverkning</t>
        </is>
      </c>
      <c r="D1393" s="1" t="n">
        <v>46272</v>
      </c>
      <c r="E1393" s="1" t="n">
        <v>46314</v>
      </c>
      <c r="F1393" t="inlineStr">
        <is>
          <t>DALARNAS LÄN</t>
        </is>
      </c>
      <c r="G1393" t="inlineStr">
        <is>
          <t>FALUN</t>
        </is>
      </c>
      <c r="H1393" t="inlineStr">
        <is>
          <t>Bergvik skog väst AB</t>
        </is>
      </c>
      <c r="I1393" t="n">
        <v>1.6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s="2" t="inlineStr"/>
    </row>
    <row r="1394" ht="15" customHeight="1">
      <c r="A1394" t="inlineStr">
        <is>
          <t>A 37435-2026</t>
        </is>
      </c>
      <c r="B1394" t="inlineStr">
        <is>
          <t>avverkningsanmälan</t>
        </is>
      </c>
      <c r="C1394" t="inlineStr">
        <is>
          <t>Föryngringsavverkning</t>
        </is>
      </c>
      <c r="D1394" s="1" t="n">
        <v>46275</v>
      </c>
      <c r="E1394" s="1" t="n">
        <v>46314</v>
      </c>
      <c r="F1394" t="inlineStr">
        <is>
          <t>DALARNAS LÄN</t>
        </is>
      </c>
      <c r="G1394" t="inlineStr">
        <is>
          <t>FALUN</t>
        </is>
      </c>
      <c r="I1394" t="n">
        <v>1.5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s="2" t="inlineStr"/>
    </row>
    <row r="1395" ht="15" customHeight="1">
      <c r="A1395" t="inlineStr">
        <is>
          <t>A 50772-2024</t>
        </is>
      </c>
      <c r="B1395" t="inlineStr">
        <is>
          <t>avverkningsanmälan</t>
        </is>
      </c>
      <c r="C1395" t="inlineStr">
        <is>
          <t>Föryngringsavverkning</t>
        </is>
      </c>
      <c r="D1395" s="1" t="n">
        <v>45602</v>
      </c>
      <c r="E1395" s="1" t="n">
        <v>46314</v>
      </c>
      <c r="F1395" t="inlineStr">
        <is>
          <t>DALARNAS LÄN</t>
        </is>
      </c>
      <c r="G1395" t="inlineStr">
        <is>
          <t>FALUN</t>
        </is>
      </c>
      <c r="I1395" t="n">
        <v>1.6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s="2" t="inlineStr"/>
    </row>
    <row r="1396" ht="15" customHeight="1">
      <c r="A1396" t="inlineStr">
        <is>
          <t>A 58864-2023</t>
        </is>
      </c>
      <c r="B1396" t="inlineStr">
        <is>
          <t>avverkningsanmälan</t>
        </is>
      </c>
      <c r="C1396" t="inlineStr">
        <is>
          <t>Föryngringsavverkning</t>
        </is>
      </c>
      <c r="D1396" s="1" t="n">
        <v>45252</v>
      </c>
      <c r="E1396" s="1" t="n">
        <v>46314</v>
      </c>
      <c r="F1396" t="inlineStr">
        <is>
          <t>DALARNAS LÄN</t>
        </is>
      </c>
      <c r="G1396" t="inlineStr">
        <is>
          <t>FALUN</t>
        </is>
      </c>
      <c r="I1396" t="n">
        <v>0.3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s="2" t="inlineStr"/>
    </row>
    <row r="1397" ht="15" customHeight="1">
      <c r="A1397" t="inlineStr">
        <is>
          <t>A 58713-2024</t>
        </is>
      </c>
      <c r="B1397" t="inlineStr">
        <is>
          <t>avverkningsanmälan</t>
        </is>
      </c>
      <c r="C1397" t="inlineStr">
        <is>
          <t>Avverkning för annat ändamål</t>
        </is>
      </c>
      <c r="D1397" s="1" t="n">
        <v>45635</v>
      </c>
      <c r="E1397" s="1" t="n">
        <v>46314</v>
      </c>
      <c r="F1397" t="inlineStr">
        <is>
          <t>DALARNAS LÄN</t>
        </is>
      </c>
      <c r="G1397" t="inlineStr">
        <is>
          <t>FALUN</t>
        </is>
      </c>
      <c r="H1397" t="inlineStr">
        <is>
          <t>Bergvik skog väst AB</t>
        </is>
      </c>
      <c r="I1397" t="n">
        <v>0.3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s="2" t="inlineStr"/>
    </row>
    <row r="1398" ht="15" customHeight="1">
      <c r="A1398" t="inlineStr">
        <is>
          <t>A 25823-2026</t>
        </is>
      </c>
      <c r="B1398" t="inlineStr">
        <is>
          <t>avverkningsanmälan</t>
        </is>
      </c>
      <c r="C1398" t="inlineStr">
        <is>
          <t>Föryngringsavverkning</t>
        </is>
      </c>
      <c r="D1398" s="1" t="n">
        <v>46178</v>
      </c>
      <c r="E1398" s="1" t="n">
        <v>46314</v>
      </c>
      <c r="F1398" t="inlineStr">
        <is>
          <t>DALARNAS LÄN</t>
        </is>
      </c>
      <c r="G1398" t="inlineStr">
        <is>
          <t>FALUN</t>
        </is>
      </c>
      <c r="I1398" t="n">
        <v>3.3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s="2" t="inlineStr"/>
    </row>
    <row r="1399" ht="15" customHeight="1">
      <c r="A1399" t="inlineStr">
        <is>
          <t>A 59673-2024</t>
        </is>
      </c>
      <c r="B1399" t="inlineStr">
        <is>
          <t>avverkningsanmälan</t>
        </is>
      </c>
      <c r="C1399" t="inlineStr">
        <is>
          <t>Föryngringsavverkning</t>
        </is>
      </c>
      <c r="D1399" s="1" t="n">
        <v>45639</v>
      </c>
      <c r="E1399" s="1" t="n">
        <v>46314</v>
      </c>
      <c r="F1399" t="inlineStr">
        <is>
          <t>DALARNAS LÄN</t>
        </is>
      </c>
      <c r="G1399" t="inlineStr">
        <is>
          <t>FALUN</t>
        </is>
      </c>
      <c r="I1399" t="n">
        <v>0.7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s="2" t="inlineStr"/>
    </row>
    <row r="1400" ht="15" customHeight="1">
      <c r="A1400" t="inlineStr">
        <is>
          <t>A 52116-2022</t>
        </is>
      </c>
      <c r="B1400" t="inlineStr">
        <is>
          <t>avverkningsanmälan</t>
        </is>
      </c>
      <c r="C1400" t="inlineStr">
        <is>
          <t>Föryngringsavverkning</t>
        </is>
      </c>
      <c r="D1400" s="1" t="n">
        <v>44873</v>
      </c>
      <c r="E1400" s="1" t="n">
        <v>46314</v>
      </c>
      <c r="F1400" t="inlineStr">
        <is>
          <t>DALARNAS LÄN</t>
        </is>
      </c>
      <c r="G1400" t="inlineStr">
        <is>
          <t>FALUN</t>
        </is>
      </c>
      <c r="I1400" t="n">
        <v>3.3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s="2" t="inlineStr"/>
    </row>
    <row r="1401" ht="15" customHeight="1">
      <c r="A1401" t="inlineStr">
        <is>
          <t>A 37541-2026</t>
        </is>
      </c>
      <c r="B1401" t="inlineStr">
        <is>
          <t>avverkningsanmälan</t>
        </is>
      </c>
      <c r="C1401" t="inlineStr">
        <is>
          <t>Föryngringsavverkning</t>
        </is>
      </c>
      <c r="D1401" s="1" t="n">
        <v>46276</v>
      </c>
      <c r="E1401" s="1" t="n">
        <v>46314</v>
      </c>
      <c r="F1401" t="inlineStr">
        <is>
          <t>DALARNAS LÄN</t>
        </is>
      </c>
      <c r="G1401" t="inlineStr">
        <is>
          <t>FALUN</t>
        </is>
      </c>
      <c r="I1401" t="n">
        <v>7.3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s="2" t="inlineStr"/>
    </row>
    <row r="1402" ht="15" customHeight="1">
      <c r="A1402" t="inlineStr">
        <is>
          <t>A 5679-2023</t>
        </is>
      </c>
      <c r="B1402" t="inlineStr">
        <is>
          <t>avverkningsanmälan</t>
        </is>
      </c>
      <c r="C1402" t="inlineStr">
        <is>
          <t>Föryngringsavverkning</t>
        </is>
      </c>
      <c r="D1402" s="1" t="n">
        <v>44960</v>
      </c>
      <c r="E1402" s="1" t="n">
        <v>46314</v>
      </c>
      <c r="F1402" t="inlineStr">
        <is>
          <t>DALARNAS LÄN</t>
        </is>
      </c>
      <c r="G1402" t="inlineStr">
        <is>
          <t>FALUN</t>
        </is>
      </c>
      <c r="I1402" t="n">
        <v>1.6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s="2" t="inlineStr"/>
    </row>
    <row r="1403" ht="15" customHeight="1">
      <c r="A1403" t="inlineStr">
        <is>
          <t>A 9835-2024</t>
        </is>
      </c>
      <c r="B1403" t="inlineStr">
        <is>
          <t>avverkningsanmälan</t>
        </is>
      </c>
      <c r="C1403" t="inlineStr">
        <is>
          <t>Föryngringsavverkning</t>
        </is>
      </c>
      <c r="D1403" s="1" t="n">
        <v>45363</v>
      </c>
      <c r="E1403" s="1" t="n">
        <v>46314</v>
      </c>
      <c r="F1403" t="inlineStr">
        <is>
          <t>DALARNAS LÄN</t>
        </is>
      </c>
      <c r="G1403" t="inlineStr">
        <is>
          <t>FALUN</t>
        </is>
      </c>
      <c r="I1403" t="n">
        <v>0.7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s="2" t="inlineStr"/>
    </row>
    <row r="1404" ht="15" customHeight="1">
      <c r="A1404" t="inlineStr">
        <is>
          <t>A 37644-2026</t>
        </is>
      </c>
      <c r="B1404" t="inlineStr">
        <is>
          <t>avverkningsanmälan</t>
        </is>
      </c>
      <c r="C1404" t="inlineStr">
        <is>
          <t>Föryngringsavverkning</t>
        </is>
      </c>
      <c r="D1404" s="1" t="n">
        <v>46276</v>
      </c>
      <c r="E1404" s="1" t="n">
        <v>46314</v>
      </c>
      <c r="F1404" t="inlineStr">
        <is>
          <t>DALARNAS LÄN</t>
        </is>
      </c>
      <c r="G1404" t="inlineStr">
        <is>
          <t>FALUN</t>
        </is>
      </c>
      <c r="I1404" t="n">
        <v>2.6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s="2" t="inlineStr"/>
    </row>
    <row r="1405" ht="15" customHeight="1">
      <c r="A1405" t="inlineStr">
        <is>
          <t>A 37308-2026</t>
        </is>
      </c>
      <c r="B1405" t="inlineStr">
        <is>
          <t>avverkningsanmälan</t>
        </is>
      </c>
      <c r="C1405" t="inlineStr">
        <is>
          <t>Föryngringsavverkning</t>
        </is>
      </c>
      <c r="D1405" s="1" t="n">
        <v>46274</v>
      </c>
      <c r="E1405" s="1" t="n">
        <v>46314</v>
      </c>
      <c r="F1405" t="inlineStr">
        <is>
          <t>DALARNAS LÄN</t>
        </is>
      </c>
      <c r="G1405" t="inlineStr">
        <is>
          <t>FALUN</t>
        </is>
      </c>
      <c r="I1405" t="n">
        <v>1.1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s="2" t="inlineStr"/>
    </row>
    <row r="1406" ht="15" customHeight="1">
      <c r="A1406" t="inlineStr">
        <is>
          <t>A 37538-2026</t>
        </is>
      </c>
      <c r="B1406" t="inlineStr">
        <is>
          <t>avverkningsanmälan</t>
        </is>
      </c>
      <c r="C1406" t="inlineStr">
        <is>
          <t>Föryngringsavverkning</t>
        </is>
      </c>
      <c r="D1406" s="1" t="n">
        <v>46276</v>
      </c>
      <c r="E1406" s="1" t="n">
        <v>46314</v>
      </c>
      <c r="F1406" t="inlineStr">
        <is>
          <t>DALARNAS LÄN</t>
        </is>
      </c>
      <c r="G1406" t="inlineStr">
        <is>
          <t>FALUN</t>
        </is>
      </c>
      <c r="I1406" t="n">
        <v>1.1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s="2" t="inlineStr"/>
    </row>
    <row r="1407" ht="15" customHeight="1">
      <c r="A1407" t="inlineStr">
        <is>
          <t>A 16929-2023</t>
        </is>
      </c>
      <c r="B1407" t="inlineStr">
        <is>
          <t>avverkningsanmälan</t>
        </is>
      </c>
      <c r="C1407" t="inlineStr">
        <is>
          <t>Föryngringsavverkning</t>
        </is>
      </c>
      <c r="D1407" s="1" t="n">
        <v>45033</v>
      </c>
      <c r="E1407" s="1" t="n">
        <v>46314</v>
      </c>
      <c r="F1407" t="inlineStr">
        <is>
          <t>DALARNAS LÄN</t>
        </is>
      </c>
      <c r="G1407" t="inlineStr">
        <is>
          <t>FALUN</t>
        </is>
      </c>
      <c r="I1407" t="n">
        <v>0.3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s="2" t="inlineStr"/>
    </row>
    <row r="1408" ht="15" customHeight="1">
      <c r="A1408" t="inlineStr">
        <is>
          <t>A 49683-2024</t>
        </is>
      </c>
      <c r="B1408" t="inlineStr">
        <is>
          <t>avverkningsanmälan</t>
        </is>
      </c>
      <c r="C1408" t="inlineStr">
        <is>
          <t>Föryngringsavverkning</t>
        </is>
      </c>
      <c r="D1408" s="1" t="n">
        <v>45596</v>
      </c>
      <c r="E1408" s="1" t="n">
        <v>46314</v>
      </c>
      <c r="F1408" t="inlineStr">
        <is>
          <t>DALARNAS LÄN</t>
        </is>
      </c>
      <c r="G1408" t="inlineStr">
        <is>
          <t>FALUN</t>
        </is>
      </c>
      <c r="H1408" t="inlineStr">
        <is>
          <t>Bergvik skog väst AB</t>
        </is>
      </c>
      <c r="I1408" t="n">
        <v>4.4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s="2" t="inlineStr"/>
    </row>
    <row r="1409" ht="15" customHeight="1">
      <c r="A1409" t="inlineStr">
        <is>
          <t>A 38279-2026</t>
        </is>
      </c>
      <c r="B1409" t="inlineStr">
        <is>
          <t>avverkningsanmälan</t>
        </is>
      </c>
      <c r="C1409" t="inlineStr">
        <is>
          <t>Föryngringsavverkning</t>
        </is>
      </c>
      <c r="D1409" s="1" t="n">
        <v>46281</v>
      </c>
      <c r="E1409" s="1" t="n">
        <v>46314</v>
      </c>
      <c r="F1409" t="inlineStr">
        <is>
          <t>DALARNAS LÄN</t>
        </is>
      </c>
      <c r="G1409" t="inlineStr">
        <is>
          <t>FALUN</t>
        </is>
      </c>
      <c r="I1409" t="n">
        <v>6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s="2" t="inlineStr"/>
    </row>
    <row r="1410" ht="15" customHeight="1">
      <c r="A1410" t="inlineStr">
        <is>
          <t>A 32390-2026</t>
        </is>
      </c>
      <c r="B1410" t="inlineStr">
        <is>
          <t>avverkningsanmälan</t>
        </is>
      </c>
      <c r="C1410" t="inlineStr">
        <is>
          <t>Föryngringsavverkning</t>
        </is>
      </c>
      <c r="D1410" s="1" t="n">
        <v>46238</v>
      </c>
      <c r="E1410" s="1" t="n">
        <v>46314</v>
      </c>
      <c r="F1410" t="inlineStr">
        <is>
          <t>DALARNAS LÄN</t>
        </is>
      </c>
      <c r="G1410" t="inlineStr">
        <is>
          <t>FALUN</t>
        </is>
      </c>
      <c r="I1410" t="n">
        <v>13.1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s="2" t="inlineStr"/>
    </row>
    <row r="1411" ht="15" customHeight="1">
      <c r="A1411" t="inlineStr">
        <is>
          <t>A 38019-2026</t>
        </is>
      </c>
      <c r="B1411" t="inlineStr">
        <is>
          <t>avverkningsanmälan</t>
        </is>
      </c>
      <c r="C1411" t="inlineStr">
        <is>
          <t>Föryngringsavverkning</t>
        </is>
      </c>
      <c r="D1411" s="1" t="n">
        <v>46280</v>
      </c>
      <c r="E1411" s="1" t="n">
        <v>46314</v>
      </c>
      <c r="F1411" t="inlineStr">
        <is>
          <t>DALARNAS LÄN</t>
        </is>
      </c>
      <c r="G1411" t="inlineStr">
        <is>
          <t>FALUN</t>
        </is>
      </c>
      <c r="I1411" t="n">
        <v>1.5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s="2" t="inlineStr"/>
    </row>
    <row r="1412" ht="15" customHeight="1">
      <c r="A1412" t="inlineStr">
        <is>
          <t>A 16004-2024</t>
        </is>
      </c>
      <c r="B1412" t="inlineStr">
        <is>
          <t>avverkningsanmälan</t>
        </is>
      </c>
      <c r="C1412" t="inlineStr">
        <is>
          <t>Föryngringsavverkning</t>
        </is>
      </c>
      <c r="D1412" s="1" t="n">
        <v>45405</v>
      </c>
      <c r="E1412" s="1" t="n">
        <v>46314</v>
      </c>
      <c r="F1412" t="inlineStr">
        <is>
          <t>DALARNAS LÄN</t>
        </is>
      </c>
      <c r="G1412" t="inlineStr">
        <is>
          <t>FALUN</t>
        </is>
      </c>
      <c r="I1412" t="n">
        <v>0.9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s="2" t="inlineStr"/>
    </row>
    <row r="1413" ht="15" customHeight="1">
      <c r="A1413" t="inlineStr">
        <is>
          <t>A 41275-2023</t>
        </is>
      </c>
      <c r="B1413" t="inlineStr">
        <is>
          <t>avverkningsanmälan</t>
        </is>
      </c>
      <c r="C1413" t="inlineStr">
        <is>
          <t>Föryngringsavverkning</t>
        </is>
      </c>
      <c r="D1413" s="1" t="n">
        <v>45174</v>
      </c>
      <c r="E1413" s="1" t="n">
        <v>46314</v>
      </c>
      <c r="F1413" t="inlineStr">
        <is>
          <t>DALARNAS LÄN</t>
        </is>
      </c>
      <c r="G1413" t="inlineStr">
        <is>
          <t>FALUN</t>
        </is>
      </c>
      <c r="I1413" t="n">
        <v>2.4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s="2" t="inlineStr"/>
    </row>
    <row r="1414" ht="15" customHeight="1">
      <c r="A1414" t="inlineStr">
        <is>
          <t>A 38694-2026</t>
        </is>
      </c>
      <c r="B1414" t="inlineStr">
        <is>
          <t>avverkningsanmälan</t>
        </is>
      </c>
      <c r="C1414" t="inlineStr">
        <is>
          <t>Föryngringsavverkning</t>
        </is>
      </c>
      <c r="D1414" s="1" t="n">
        <v>46283</v>
      </c>
      <c r="E1414" s="1" t="n">
        <v>46314</v>
      </c>
      <c r="F1414" t="inlineStr">
        <is>
          <t>DALARNAS LÄN</t>
        </is>
      </c>
      <c r="G1414" t="inlineStr">
        <is>
          <t>FALUN</t>
        </is>
      </c>
      <c r="H1414" t="inlineStr">
        <is>
          <t>Bergvik skog väst AB</t>
        </is>
      </c>
      <c r="I1414" t="n">
        <v>3.4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s="2" t="inlineStr"/>
    </row>
    <row r="1415" ht="15" customHeight="1">
      <c r="A1415" t="inlineStr">
        <is>
          <t>A 4057-2024</t>
        </is>
      </c>
      <c r="B1415" t="inlineStr">
        <is>
          <t>avverkningsanmälan</t>
        </is>
      </c>
      <c r="C1415" t="inlineStr">
        <is>
          <t>Avverkning för annat ändamål</t>
        </is>
      </c>
      <c r="D1415" s="1" t="n">
        <v>45323</v>
      </c>
      <c r="E1415" s="1" t="n">
        <v>46314</v>
      </c>
      <c r="F1415" t="inlineStr">
        <is>
          <t>DALARNAS LÄN</t>
        </is>
      </c>
      <c r="G1415" t="inlineStr">
        <is>
          <t>FALUN</t>
        </is>
      </c>
      <c r="I1415" t="n">
        <v>0.7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s="2" t="inlineStr"/>
    </row>
    <row r="1416" ht="15" customHeight="1">
      <c r="A1416" t="inlineStr">
        <is>
          <t>A 38678-2026</t>
        </is>
      </c>
      <c r="B1416" t="inlineStr">
        <is>
          <t>avverkningsanmälan</t>
        </is>
      </c>
      <c r="C1416" t="inlineStr">
        <is>
          <t>Föryngringsavverkning</t>
        </is>
      </c>
      <c r="D1416" s="1" t="n">
        <v>46283</v>
      </c>
      <c r="E1416" s="1" t="n">
        <v>46314</v>
      </c>
      <c r="F1416" t="inlineStr">
        <is>
          <t>DALARNAS LÄN</t>
        </is>
      </c>
      <c r="G1416" t="inlineStr">
        <is>
          <t>FALUN</t>
        </is>
      </c>
      <c r="H1416" t="inlineStr">
        <is>
          <t>Bergvik skog väst AB</t>
        </is>
      </c>
      <c r="I1416" t="n">
        <v>3.3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s="2" t="inlineStr"/>
    </row>
    <row r="1417" ht="15" customHeight="1">
      <c r="A1417" t="inlineStr">
        <is>
          <t>A 40832-2024</t>
        </is>
      </c>
      <c r="B1417" t="inlineStr">
        <is>
          <t>avverkningsanmälan</t>
        </is>
      </c>
      <c r="C1417" t="inlineStr">
        <is>
          <t>Föryngringsavverkning</t>
        </is>
      </c>
      <c r="D1417" s="1" t="n">
        <v>45558</v>
      </c>
      <c r="E1417" s="1" t="n">
        <v>46314</v>
      </c>
      <c r="F1417" t="inlineStr">
        <is>
          <t>DALARNAS LÄN</t>
        </is>
      </c>
      <c r="G1417" t="inlineStr">
        <is>
          <t>FALUN</t>
        </is>
      </c>
      <c r="H1417" t="inlineStr">
        <is>
          <t>Bergvik skog väst AB</t>
        </is>
      </c>
      <c r="I1417" t="n">
        <v>2.9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s="2" t="inlineStr"/>
    </row>
    <row r="1418" ht="15" customHeight="1">
      <c r="A1418" t="inlineStr">
        <is>
          <t>A 25811-2026</t>
        </is>
      </c>
      <c r="B1418" t="inlineStr">
        <is>
          <t>avverkningsanmälan</t>
        </is>
      </c>
      <c r="C1418" t="inlineStr">
        <is>
          <t>Föryngringsavverkning</t>
        </is>
      </c>
      <c r="D1418" s="1" t="n">
        <v>46178</v>
      </c>
      <c r="E1418" s="1" t="n">
        <v>46314</v>
      </c>
      <c r="F1418" t="inlineStr">
        <is>
          <t>DALARNAS LÄN</t>
        </is>
      </c>
      <c r="G1418" t="inlineStr">
        <is>
          <t>FALUN</t>
        </is>
      </c>
      <c r="I1418" t="n">
        <v>0.9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s="2" t="inlineStr"/>
    </row>
    <row r="1419" ht="15" customHeight="1">
      <c r="A1419" t="inlineStr">
        <is>
          <t>A 56587-2024</t>
        </is>
      </c>
      <c r="B1419" t="inlineStr">
        <is>
          <t>avverkningsanmälan</t>
        </is>
      </c>
      <c r="C1419" t="inlineStr">
        <is>
          <t>Föryngringsavverkning</t>
        </is>
      </c>
      <c r="D1419" s="1" t="n">
        <v>45625</v>
      </c>
      <c r="E1419" s="1" t="n">
        <v>46314</v>
      </c>
      <c r="F1419" t="inlineStr">
        <is>
          <t>DALARNAS LÄN</t>
        </is>
      </c>
      <c r="G1419" t="inlineStr">
        <is>
          <t>FALUN</t>
        </is>
      </c>
      <c r="H1419" t="inlineStr">
        <is>
          <t>Bergvik skog väst AB</t>
        </is>
      </c>
      <c r="I1419" t="n">
        <v>2.9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s="2" t="inlineStr"/>
    </row>
    <row r="1420" ht="15" customHeight="1">
      <c r="A1420" t="inlineStr">
        <is>
          <t>A 8823-2023</t>
        </is>
      </c>
      <c r="B1420" t="inlineStr">
        <is>
          <t>avverkningsanmälan</t>
        </is>
      </c>
      <c r="C1420" t="inlineStr">
        <is>
          <t>Föryngringsavverkning</t>
        </is>
      </c>
      <c r="D1420" s="1" t="n">
        <v>44978</v>
      </c>
      <c r="E1420" s="1" t="n">
        <v>46314</v>
      </c>
      <c r="F1420" t="inlineStr">
        <is>
          <t>DALARNAS LÄN</t>
        </is>
      </c>
      <c r="G1420" t="inlineStr">
        <is>
          <t>FALUN</t>
        </is>
      </c>
      <c r="I1420" t="n">
        <v>0.5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s="2" t="inlineStr"/>
    </row>
    <row r="1421" ht="15" customHeight="1">
      <c r="A1421" t="inlineStr">
        <is>
          <t>A 35943-2023</t>
        </is>
      </c>
      <c r="B1421" t="inlineStr">
        <is>
          <t>avverkningsanmälan</t>
        </is>
      </c>
      <c r="C1421" t="inlineStr">
        <is>
          <t>Avverkning för annat ändamål</t>
        </is>
      </c>
      <c r="D1421" s="1" t="n">
        <v>45148</v>
      </c>
      <c r="E1421" s="1" t="n">
        <v>46314</v>
      </c>
      <c r="F1421" t="inlineStr">
        <is>
          <t>DALARNAS LÄN</t>
        </is>
      </c>
      <c r="G1421" t="inlineStr">
        <is>
          <t>FALUN</t>
        </is>
      </c>
      <c r="I1421" t="n">
        <v>0.5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s="2" t="inlineStr"/>
    </row>
    <row r="1422" ht="15" customHeight="1">
      <c r="A1422" t="inlineStr">
        <is>
          <t>A 55390-2022</t>
        </is>
      </c>
      <c r="B1422" t="inlineStr">
        <is>
          <t>avverkningsanmälan</t>
        </is>
      </c>
      <c r="C1422" t="inlineStr">
        <is>
          <t>Föryngringsavverkning</t>
        </is>
      </c>
      <c r="D1422" s="1" t="n">
        <v>44887</v>
      </c>
      <c r="E1422" s="1" t="n">
        <v>46314</v>
      </c>
      <c r="F1422" t="inlineStr">
        <is>
          <t>DALARNAS LÄN</t>
        </is>
      </c>
      <c r="G1422" t="inlineStr">
        <is>
          <t>FALUN</t>
        </is>
      </c>
      <c r="I1422" t="n">
        <v>7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s="2" t="inlineStr"/>
    </row>
    <row r="1423" ht="15" customHeight="1">
      <c r="A1423" t="inlineStr">
        <is>
          <t>A 17336-2025</t>
        </is>
      </c>
      <c r="B1423" t="inlineStr">
        <is>
          <t>avverkningsanmälan</t>
        </is>
      </c>
      <c r="C1423" t="inlineStr">
        <is>
          <t>Föryngringsavverkning</t>
        </is>
      </c>
      <c r="D1423" s="1" t="n">
        <v>45756</v>
      </c>
      <c r="E1423" s="1" t="n">
        <v>46314</v>
      </c>
      <c r="F1423" t="inlineStr">
        <is>
          <t>DALARNAS LÄN</t>
        </is>
      </c>
      <c r="G1423" t="inlineStr">
        <is>
          <t>FALUN</t>
        </is>
      </c>
      <c r="I1423" t="n">
        <v>3.2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s="2" t="inlineStr"/>
    </row>
    <row r="1424" ht="15" customHeight="1">
      <c r="A1424" t="inlineStr">
        <is>
          <t>A 53864-2023</t>
        </is>
      </c>
      <c r="B1424" t="inlineStr">
        <is>
          <t>avverkningsanmälan</t>
        </is>
      </c>
      <c r="C1424" t="inlineStr">
        <is>
          <t>Föryngringsavverkning</t>
        </is>
      </c>
      <c r="D1424" s="1" t="n">
        <v>45231</v>
      </c>
      <c r="E1424" s="1" t="n">
        <v>46314</v>
      </c>
      <c r="F1424" t="inlineStr">
        <is>
          <t>DALARNAS LÄN</t>
        </is>
      </c>
      <c r="G1424" t="inlineStr">
        <is>
          <t>FALUN</t>
        </is>
      </c>
      <c r="I1424" t="n">
        <v>2.2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s="2" t="inlineStr"/>
    </row>
    <row r="1425" ht="15" customHeight="1">
      <c r="A1425" t="inlineStr">
        <is>
          <t>A 27924-2026</t>
        </is>
      </c>
      <c r="B1425" t="inlineStr">
        <is>
          <t>avverkningsanmälan</t>
        </is>
      </c>
      <c r="C1425" t="inlineStr">
        <is>
          <t>Föryngringsavverkning</t>
        </is>
      </c>
      <c r="D1425" s="1" t="n">
        <v>46191</v>
      </c>
      <c r="E1425" s="1" t="n">
        <v>46314</v>
      </c>
      <c r="F1425" t="inlineStr">
        <is>
          <t>DALARNAS LÄN</t>
        </is>
      </c>
      <c r="G1425" t="inlineStr">
        <is>
          <t>FALUN</t>
        </is>
      </c>
      <c r="H1425" t="inlineStr">
        <is>
          <t>Bergvik skog väst AB</t>
        </is>
      </c>
      <c r="I1425" t="n">
        <v>7.5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s="2" t="inlineStr"/>
    </row>
    <row r="1426" ht="15" customHeight="1">
      <c r="A1426" t="inlineStr">
        <is>
          <t>A 43238-2024</t>
        </is>
      </c>
      <c r="B1426" t="inlineStr">
        <is>
          <t>avverkningsanmälan</t>
        </is>
      </c>
      <c r="C1426" t="inlineStr">
        <is>
          <t>Föryngringsavverkning</t>
        </is>
      </c>
      <c r="D1426" s="1" t="n">
        <v>45567</v>
      </c>
      <c r="E1426" s="1" t="n">
        <v>46314</v>
      </c>
      <c r="F1426" t="inlineStr">
        <is>
          <t>DALARNAS LÄN</t>
        </is>
      </c>
      <c r="G1426" t="inlineStr">
        <is>
          <t>FALUN</t>
        </is>
      </c>
      <c r="I1426" t="n">
        <v>2.2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s="2" t="inlineStr"/>
    </row>
    <row r="1427" ht="15" customHeight="1">
      <c r="A1427" t="inlineStr">
        <is>
          <t>A 32772-2026</t>
        </is>
      </c>
      <c r="B1427" t="inlineStr">
        <is>
          <t>avverkningsanmälan</t>
        </is>
      </c>
      <c r="C1427" t="inlineStr">
        <is>
          <t>Föryngringsavverkning</t>
        </is>
      </c>
      <c r="D1427" s="1" t="n">
        <v>46241</v>
      </c>
      <c r="E1427" s="1" t="n">
        <v>46314</v>
      </c>
      <c r="F1427" t="inlineStr">
        <is>
          <t>DALARNAS LÄN</t>
        </is>
      </c>
      <c r="G1427" t="inlineStr">
        <is>
          <t>FALUN</t>
        </is>
      </c>
      <c r="I1427" t="n">
        <v>1.1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s="2" t="inlineStr"/>
    </row>
    <row r="1428" ht="15" customHeight="1">
      <c r="A1428" t="inlineStr">
        <is>
          <t>A 35063-2022</t>
        </is>
      </c>
      <c r="B1428" t="inlineStr">
        <is>
          <t>avverkningsanmälan</t>
        </is>
      </c>
      <c r="C1428" t="inlineStr">
        <is>
          <t>Föryngringsavverkning</t>
        </is>
      </c>
      <c r="D1428" s="1" t="n">
        <v>44797</v>
      </c>
      <c r="E1428" s="1" t="n">
        <v>46314</v>
      </c>
      <c r="F1428" t="inlineStr">
        <is>
          <t>DALARNAS LÄN</t>
        </is>
      </c>
      <c r="G1428" t="inlineStr">
        <is>
          <t>FALUN</t>
        </is>
      </c>
      <c r="I1428" t="n">
        <v>1.1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s="2" t="inlineStr"/>
    </row>
    <row r="1429" ht="15" customHeight="1">
      <c r="A1429" t="inlineStr">
        <is>
          <t>A 33299-2026</t>
        </is>
      </c>
      <c r="B1429" t="inlineStr">
        <is>
          <t>avverkningsanmälan</t>
        </is>
      </c>
      <c r="C1429" t="inlineStr">
        <is>
          <t>Föryngringsavverkning</t>
        </is>
      </c>
      <c r="D1429" s="1" t="n">
        <v>46246</v>
      </c>
      <c r="E1429" s="1" t="n">
        <v>46314</v>
      </c>
      <c r="F1429" t="inlineStr">
        <is>
          <t>DALARNAS LÄN</t>
        </is>
      </c>
      <c r="G1429" t="inlineStr">
        <is>
          <t>FALUN</t>
        </is>
      </c>
      <c r="H1429" t="inlineStr">
        <is>
          <t>Bergvik skog väst AB</t>
        </is>
      </c>
      <c r="I1429" t="n">
        <v>2.4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s="2" t="inlineStr"/>
    </row>
    <row r="1430" ht="15" customHeight="1">
      <c r="A1430" t="inlineStr">
        <is>
          <t>A 40635-2022</t>
        </is>
      </c>
      <c r="B1430" t="inlineStr">
        <is>
          <t>avverkningsanmälan</t>
        </is>
      </c>
      <c r="C1430" t="inlineStr">
        <is>
          <t>Avverkning för annat ändamål</t>
        </is>
      </c>
      <c r="D1430" s="1" t="n">
        <v>44824</v>
      </c>
      <c r="E1430" s="1" t="n">
        <v>46314</v>
      </c>
      <c r="F1430" t="inlineStr">
        <is>
          <t>DALARNAS LÄN</t>
        </is>
      </c>
      <c r="G1430" t="inlineStr">
        <is>
          <t>FALUN</t>
        </is>
      </c>
      <c r="I1430" t="n">
        <v>0.5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s="2" t="inlineStr"/>
    </row>
    <row r="1431" ht="15" customHeight="1">
      <c r="A1431" t="inlineStr">
        <is>
          <t>A 42455-2022</t>
        </is>
      </c>
      <c r="B1431" t="inlineStr">
        <is>
          <t>avverkningsanmälan</t>
        </is>
      </c>
      <c r="C1431" t="inlineStr">
        <is>
          <t>Föryngringsavverkning</t>
        </is>
      </c>
      <c r="D1431" s="1" t="n">
        <v>44831</v>
      </c>
      <c r="E1431" s="1" t="n">
        <v>46314</v>
      </c>
      <c r="F1431" t="inlineStr">
        <is>
          <t>DALARNAS LÄN</t>
        </is>
      </c>
      <c r="G1431" t="inlineStr">
        <is>
          <t>FALUN</t>
        </is>
      </c>
      <c r="I1431" t="n">
        <v>0.6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s="2" t="inlineStr"/>
    </row>
    <row r="1432" ht="15" customHeight="1">
      <c r="A1432" t="inlineStr">
        <is>
          <t>A 39544-2026</t>
        </is>
      </c>
      <c r="B1432" t="inlineStr">
        <is>
          <t>avverkningsanmälan</t>
        </is>
      </c>
      <c r="C1432" t="inlineStr">
        <is>
          <t>Föryngringsavverkning</t>
        </is>
      </c>
      <c r="D1432" s="1" t="n">
        <v>46289</v>
      </c>
      <c r="E1432" s="1" t="n">
        <v>46314</v>
      </c>
      <c r="F1432" t="inlineStr">
        <is>
          <t>DALARNAS LÄN</t>
        </is>
      </c>
      <c r="G1432" t="inlineStr">
        <is>
          <t>FALUN</t>
        </is>
      </c>
      <c r="H1432" t="inlineStr">
        <is>
          <t>Bergvik skog väst AB</t>
        </is>
      </c>
      <c r="I1432" t="n">
        <v>3.1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s="2" t="inlineStr"/>
    </row>
    <row r="1433" ht="15" customHeight="1">
      <c r="A1433" t="inlineStr">
        <is>
          <t>A 12685-2026</t>
        </is>
      </c>
      <c r="B1433" t="inlineStr">
        <is>
          <t>avverkningsanmälan</t>
        </is>
      </c>
      <c r="C1433" t="inlineStr">
        <is>
          <t>Föryngringsavverkning</t>
        </is>
      </c>
      <c r="D1433" s="1" t="n">
        <v>46090</v>
      </c>
      <c r="E1433" s="1" t="n">
        <v>46314</v>
      </c>
      <c r="F1433" t="inlineStr">
        <is>
          <t>DALARNAS LÄN</t>
        </is>
      </c>
      <c r="G1433" t="inlineStr">
        <is>
          <t>FALUN</t>
        </is>
      </c>
      <c r="I1433" t="n">
        <v>6.5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s="2" t="inlineStr"/>
    </row>
    <row r="1434" ht="15" customHeight="1">
      <c r="A1434" t="inlineStr">
        <is>
          <t>A 44593-2023</t>
        </is>
      </c>
      <c r="B1434" t="inlineStr">
        <is>
          <t>avverkningsanmälan</t>
        </is>
      </c>
      <c r="C1434" t="inlineStr">
        <is>
          <t>Avverkning för annat ändamål</t>
        </is>
      </c>
      <c r="D1434" s="1" t="n">
        <v>45189</v>
      </c>
      <c r="E1434" s="1" t="n">
        <v>46314</v>
      </c>
      <c r="F1434" t="inlineStr">
        <is>
          <t>DALARNAS LÄN</t>
        </is>
      </c>
      <c r="G1434" t="inlineStr">
        <is>
          <t>FALUN</t>
        </is>
      </c>
      <c r="I1434" t="n">
        <v>0.2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s="2" t="inlineStr"/>
    </row>
    <row r="1435" ht="15" customHeight="1">
      <c r="A1435" t="inlineStr">
        <is>
          <t>A 312-2026</t>
        </is>
      </c>
      <c r="B1435" t="inlineStr">
        <is>
          <t>avverkningsanmälan</t>
        </is>
      </c>
      <c r="C1435" t="inlineStr">
        <is>
          <t>Föryngringsavverkning</t>
        </is>
      </c>
      <c r="D1435" s="1" t="n">
        <v>46027</v>
      </c>
      <c r="E1435" s="1" t="n">
        <v>46314</v>
      </c>
      <c r="F1435" t="inlineStr">
        <is>
          <t>DALARNAS LÄN</t>
        </is>
      </c>
      <c r="G1435" t="inlineStr">
        <is>
          <t>FALUN</t>
        </is>
      </c>
      <c r="I1435" t="n">
        <v>13.7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s="2" t="inlineStr"/>
    </row>
    <row r="1436" ht="15" customHeight="1">
      <c r="A1436" t="inlineStr">
        <is>
          <t>A 6985-2026</t>
        </is>
      </c>
      <c r="B1436" t="inlineStr">
        <is>
          <t>avverkningsanmälan</t>
        </is>
      </c>
      <c r="C1436" t="inlineStr">
        <is>
          <t>Föryngringsavverkning</t>
        </is>
      </c>
      <c r="D1436" s="1" t="n">
        <v>46057</v>
      </c>
      <c r="E1436" s="1" t="n">
        <v>46314</v>
      </c>
      <c r="F1436" t="inlineStr">
        <is>
          <t>DALARNAS LÄN</t>
        </is>
      </c>
      <c r="G1436" t="inlineStr">
        <is>
          <t>FALUN</t>
        </is>
      </c>
      <c r="H1436" t="inlineStr">
        <is>
          <t>Bergvik skog väst AB</t>
        </is>
      </c>
      <c r="I1436" t="n">
        <v>24.1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s="2" t="inlineStr"/>
    </row>
    <row r="1437" ht="15" customHeight="1">
      <c r="A1437" t="inlineStr">
        <is>
          <t>A 5973-2024</t>
        </is>
      </c>
      <c r="B1437" t="inlineStr">
        <is>
          <t>avverkningsanmälan</t>
        </is>
      </c>
      <c r="C1437" t="inlineStr">
        <is>
          <t>Föryngringsavverkning</t>
        </is>
      </c>
      <c r="D1437" s="1" t="n">
        <v>45336</v>
      </c>
      <c r="E1437" s="1" t="n">
        <v>46314</v>
      </c>
      <c r="F1437" t="inlineStr">
        <is>
          <t>DALARNAS LÄN</t>
        </is>
      </c>
      <c r="G1437" t="inlineStr">
        <is>
          <t>FALUN</t>
        </is>
      </c>
      <c r="I1437" t="n">
        <v>2.2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s="2" t="inlineStr"/>
    </row>
    <row r="1438" ht="15" customHeight="1">
      <c r="A1438" t="inlineStr">
        <is>
          <t>A 3360-2023</t>
        </is>
      </c>
      <c r="B1438" t="inlineStr">
        <is>
          <t>avverkningsanmälan</t>
        </is>
      </c>
      <c r="C1438" t="inlineStr">
        <is>
          <t>Föryngringsavverkning</t>
        </is>
      </c>
      <c r="D1438" s="1" t="n">
        <v>44949</v>
      </c>
      <c r="E1438" s="1" t="n">
        <v>46314</v>
      </c>
      <c r="F1438" t="inlineStr">
        <is>
          <t>DALARNAS LÄN</t>
        </is>
      </c>
      <c r="G1438" t="inlineStr">
        <is>
          <t>FALUN</t>
        </is>
      </c>
      <c r="I1438" t="n">
        <v>1.6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s="2" t="inlineStr"/>
    </row>
    <row r="1439" ht="15" customHeight="1">
      <c r="A1439" t="inlineStr">
        <is>
          <t>A 29508-2024</t>
        </is>
      </c>
      <c r="B1439" t="inlineStr">
        <is>
          <t>avverkningsanmälan</t>
        </is>
      </c>
      <c r="C1439" t="inlineStr">
        <is>
          <t>Föryngringsavverkning</t>
        </is>
      </c>
      <c r="D1439" s="1" t="n">
        <v>45484</v>
      </c>
      <c r="E1439" s="1" t="n">
        <v>46314</v>
      </c>
      <c r="F1439" t="inlineStr">
        <is>
          <t>DALARNAS LÄN</t>
        </is>
      </c>
      <c r="G1439" t="inlineStr">
        <is>
          <t>FALUN</t>
        </is>
      </c>
      <c r="I1439" t="n">
        <v>0.5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s="2" t="inlineStr"/>
    </row>
    <row r="1440" ht="15" customHeight="1">
      <c r="A1440" t="inlineStr">
        <is>
          <t>A 905-2026</t>
        </is>
      </c>
      <c r="B1440" t="inlineStr">
        <is>
          <t>avverkningsanmälan</t>
        </is>
      </c>
      <c r="C1440" t="inlineStr">
        <is>
          <t>Föryngringsavverkning</t>
        </is>
      </c>
      <c r="D1440" s="1" t="n">
        <v>46030</v>
      </c>
      <c r="E1440" s="1" t="n">
        <v>46314</v>
      </c>
      <c r="F1440" t="inlineStr">
        <is>
          <t>DALARNAS LÄN</t>
        </is>
      </c>
      <c r="G1440" t="inlineStr">
        <is>
          <t>FALUN</t>
        </is>
      </c>
      <c r="I1440" t="n">
        <v>1.8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s="2" t="inlineStr"/>
    </row>
    <row r="1441" ht="15" customHeight="1">
      <c r="A1441" t="inlineStr">
        <is>
          <t>A 25809-2026</t>
        </is>
      </c>
      <c r="B1441" t="inlineStr">
        <is>
          <t>avverkningsanmälan</t>
        </is>
      </c>
      <c r="C1441" t="inlineStr">
        <is>
          <t>Föryngringsavverkning</t>
        </is>
      </c>
      <c r="D1441" s="1" t="n">
        <v>46178</v>
      </c>
      <c r="E1441" s="1" t="n">
        <v>46314</v>
      </c>
      <c r="F1441" t="inlineStr">
        <is>
          <t>DALARNAS LÄN</t>
        </is>
      </c>
      <c r="G1441" t="inlineStr">
        <is>
          <t>FALUN</t>
        </is>
      </c>
      <c r="I1441" t="n">
        <v>3.2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s="2" t="inlineStr"/>
    </row>
    <row r="1442" ht="15" customHeight="1">
      <c r="A1442" t="inlineStr">
        <is>
          <t>A 39778-2026</t>
        </is>
      </c>
      <c r="B1442" t="inlineStr">
        <is>
          <t>avverkningsanmälan</t>
        </is>
      </c>
      <c r="C1442" t="inlineStr">
        <is>
          <t>Föryngringsavverkning</t>
        </is>
      </c>
      <c r="D1442" s="1" t="n">
        <v>46290</v>
      </c>
      <c r="E1442" s="1" t="n">
        <v>46314</v>
      </c>
      <c r="F1442" t="inlineStr">
        <is>
          <t>DALARNAS LÄN</t>
        </is>
      </c>
      <c r="G1442" t="inlineStr">
        <is>
          <t>FALUN</t>
        </is>
      </c>
      <c r="H1442" t="inlineStr">
        <is>
          <t>Bergvik skog väst AB</t>
        </is>
      </c>
      <c r="I1442" t="n">
        <v>2.5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s="2" t="inlineStr"/>
    </row>
    <row r="1443" ht="15" customHeight="1">
      <c r="A1443" t="inlineStr">
        <is>
          <t>A 39892-2026</t>
        </is>
      </c>
      <c r="B1443" t="inlineStr">
        <is>
          <t>avverkningsanmälan</t>
        </is>
      </c>
      <c r="C1443" t="inlineStr">
        <is>
          <t>Föryngringsavverkning</t>
        </is>
      </c>
      <c r="D1443" s="1" t="n">
        <v>46289</v>
      </c>
      <c r="E1443" s="1" t="n">
        <v>46314</v>
      </c>
      <c r="F1443" t="inlineStr">
        <is>
          <t>DALARNAS LÄN</t>
        </is>
      </c>
      <c r="G1443" t="inlineStr">
        <is>
          <t>FALUN</t>
        </is>
      </c>
      <c r="H1443" t="inlineStr">
        <is>
          <t>Allmännings- och besparingsskogar</t>
        </is>
      </c>
      <c r="I1443" t="n">
        <v>3.5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s="2" t="inlineStr"/>
    </row>
    <row r="1444" ht="15" customHeight="1">
      <c r="A1444" t="inlineStr">
        <is>
          <t>A 4928-2024</t>
        </is>
      </c>
      <c r="B1444" t="inlineStr">
        <is>
          <t>avverkningsanmälan</t>
        </is>
      </c>
      <c r="C1444" t="inlineStr">
        <is>
          <t>Föryngringsavverkning</t>
        </is>
      </c>
      <c r="D1444" s="1" t="n">
        <v>45329</v>
      </c>
      <c r="E1444" s="1" t="n">
        <v>46314</v>
      </c>
      <c r="F1444" t="inlineStr">
        <is>
          <t>DALARNAS LÄN</t>
        </is>
      </c>
      <c r="G1444" t="inlineStr">
        <is>
          <t>FALUN</t>
        </is>
      </c>
      <c r="I1444" t="n">
        <v>0.2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s="2" t="inlineStr"/>
    </row>
    <row r="1445" ht="15" customHeight="1">
      <c r="A1445" t="inlineStr">
        <is>
          <t>A 18502-2026</t>
        </is>
      </c>
      <c r="B1445" t="inlineStr">
        <is>
          <t>avverkningsanmälan</t>
        </is>
      </c>
      <c r="C1445" t="inlineStr">
        <is>
          <t>Föryngringsavverkning</t>
        </is>
      </c>
      <c r="D1445" s="1" t="n">
        <v>46127</v>
      </c>
      <c r="E1445" s="1" t="n">
        <v>46314</v>
      </c>
      <c r="F1445" t="inlineStr">
        <is>
          <t>DALARNAS LÄN</t>
        </is>
      </c>
      <c r="G1445" t="inlineStr">
        <is>
          <t>FALUN</t>
        </is>
      </c>
      <c r="H1445" t="inlineStr">
        <is>
          <t>Bergvik skog väst AB</t>
        </is>
      </c>
      <c r="I1445" t="n">
        <v>4.6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s="2" t="inlineStr"/>
    </row>
    <row r="1446" ht="15" customHeight="1">
      <c r="A1446" t="inlineStr">
        <is>
          <t>A 33972-2023</t>
        </is>
      </c>
      <c r="B1446" t="inlineStr">
        <is>
          <t>avverkningsanmälan</t>
        </is>
      </c>
      <c r="C1446" t="inlineStr">
        <is>
          <t>Föryngringsavverkning</t>
        </is>
      </c>
      <c r="D1446" s="1" t="n">
        <v>45134</v>
      </c>
      <c r="E1446" s="1" t="n">
        <v>46314</v>
      </c>
      <c r="F1446" t="inlineStr">
        <is>
          <t>DALARNAS LÄN</t>
        </is>
      </c>
      <c r="G1446" t="inlineStr">
        <is>
          <t>FALUN</t>
        </is>
      </c>
      <c r="I1446" t="n">
        <v>2.7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s="2" t="inlineStr"/>
    </row>
    <row r="1447" ht="15" customHeight="1">
      <c r="A1447" t="inlineStr">
        <is>
          <t>A 33596-2026</t>
        </is>
      </c>
      <c r="B1447" t="inlineStr">
        <is>
          <t>avverkningsanmälan</t>
        </is>
      </c>
      <c r="C1447" t="inlineStr">
        <is>
          <t>Föryngringsavverkning</t>
        </is>
      </c>
      <c r="D1447" s="1" t="n">
        <v>46248</v>
      </c>
      <c r="E1447" s="1" t="n">
        <v>46314</v>
      </c>
      <c r="F1447" t="inlineStr">
        <is>
          <t>DALARNAS LÄN</t>
        </is>
      </c>
      <c r="G1447" t="inlineStr">
        <is>
          <t>FALUN</t>
        </is>
      </c>
      <c r="I1447" t="n">
        <v>3.4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s="2" t="inlineStr"/>
    </row>
    <row r="1448" ht="15" customHeight="1">
      <c r="A1448" t="inlineStr">
        <is>
          <t>A 1758-2024</t>
        </is>
      </c>
      <c r="B1448" t="inlineStr">
        <is>
          <t>avverkningsanmälan</t>
        </is>
      </c>
      <c r="C1448" t="inlineStr">
        <is>
          <t>Föryngringsavverkning</t>
        </is>
      </c>
      <c r="D1448" s="1" t="n">
        <v>45307</v>
      </c>
      <c r="E1448" s="1" t="n">
        <v>46314</v>
      </c>
      <c r="F1448" t="inlineStr">
        <is>
          <t>DALARNAS LÄN</t>
        </is>
      </c>
      <c r="G1448" t="inlineStr">
        <is>
          <t>FALUN</t>
        </is>
      </c>
      <c r="I1448" t="n">
        <v>0.7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s="2" t="inlineStr"/>
    </row>
    <row r="1449" ht="15" customHeight="1">
      <c r="A1449" t="inlineStr">
        <is>
          <t>A 34279-2026</t>
        </is>
      </c>
      <c r="B1449" t="inlineStr">
        <is>
          <t>avverkningsanmälan</t>
        </is>
      </c>
      <c r="C1449" t="inlineStr">
        <is>
          <t>Föryngringsavverkning</t>
        </is>
      </c>
      <c r="D1449" s="1" t="n">
        <v>46253</v>
      </c>
      <c r="E1449" s="1" t="n">
        <v>46314</v>
      </c>
      <c r="F1449" t="inlineStr">
        <is>
          <t>DALARNAS LÄN</t>
        </is>
      </c>
      <c r="G1449" t="inlineStr">
        <is>
          <t>FALUN</t>
        </is>
      </c>
      <c r="I1449" t="n">
        <v>4.3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s="2" t="inlineStr"/>
    </row>
    <row r="1450" ht="15" customHeight="1">
      <c r="A1450" t="inlineStr">
        <is>
          <t>A 33762-2026</t>
        </is>
      </c>
      <c r="B1450" t="inlineStr">
        <is>
          <t>avverkningsanmälan</t>
        </is>
      </c>
      <c r="C1450" t="inlineStr">
        <is>
          <t>Föryngringsavverkning</t>
        </is>
      </c>
      <c r="D1450" s="1" t="n">
        <v>46251</v>
      </c>
      <c r="E1450" s="1" t="n">
        <v>46314</v>
      </c>
      <c r="F1450" t="inlineStr">
        <is>
          <t>DALARNAS LÄN</t>
        </is>
      </c>
      <c r="G1450" t="inlineStr">
        <is>
          <t>FALUN</t>
        </is>
      </c>
      <c r="I1450" t="n">
        <v>5.6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s="2" t="inlineStr"/>
    </row>
    <row r="1451" ht="15" customHeight="1">
      <c r="A1451" t="inlineStr">
        <is>
          <t>A 17883-2025</t>
        </is>
      </c>
      <c r="B1451" t="inlineStr">
        <is>
          <t>avverkningsanmälan</t>
        </is>
      </c>
      <c r="C1451" t="inlineStr">
        <is>
          <t>Föryngringsavverkning</t>
        </is>
      </c>
      <c r="D1451" s="1" t="n">
        <v>45758</v>
      </c>
      <c r="E1451" s="1" t="n">
        <v>46314</v>
      </c>
      <c r="F1451" t="inlineStr">
        <is>
          <t>DALARNAS LÄN</t>
        </is>
      </c>
      <c r="G1451" t="inlineStr">
        <is>
          <t>FALUN</t>
        </is>
      </c>
      <c r="H1451" t="inlineStr">
        <is>
          <t>Bergvik skog väst AB</t>
        </is>
      </c>
      <c r="I1451" t="n">
        <v>2.9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s="2" t="inlineStr"/>
    </row>
    <row r="1452" ht="15" customHeight="1">
      <c r="A1452" t="inlineStr">
        <is>
          <t>A 40558-2026</t>
        </is>
      </c>
      <c r="B1452" t="inlineStr">
        <is>
          <t>avverkningsanmälan</t>
        </is>
      </c>
      <c r="C1452" t="inlineStr">
        <is>
          <t>Föryngringsavverkning</t>
        </is>
      </c>
      <c r="D1452" s="1" t="n">
        <v>46295</v>
      </c>
      <c r="E1452" s="1" t="n">
        <v>46314</v>
      </c>
      <c r="F1452" t="inlineStr">
        <is>
          <t>DALARNAS LÄN</t>
        </is>
      </c>
      <c r="G1452" t="inlineStr">
        <is>
          <t>FALUN</t>
        </is>
      </c>
      <c r="I1452" t="n">
        <v>0.9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s="2" t="inlineStr"/>
    </row>
    <row r="1453" ht="15" customHeight="1">
      <c r="A1453" t="inlineStr">
        <is>
          <t>A 41611-2024</t>
        </is>
      </c>
      <c r="B1453" t="inlineStr">
        <is>
          <t>avverkningsanmälan</t>
        </is>
      </c>
      <c r="C1453" t="inlineStr">
        <is>
          <t>Föryngringsavverkning</t>
        </is>
      </c>
      <c r="D1453" s="1" t="n">
        <v>45560</v>
      </c>
      <c r="E1453" s="1" t="n">
        <v>46314</v>
      </c>
      <c r="F1453" t="inlineStr">
        <is>
          <t>DALARNAS LÄN</t>
        </is>
      </c>
      <c r="G1453" t="inlineStr">
        <is>
          <t>FALUN</t>
        </is>
      </c>
      <c r="I1453" t="n">
        <v>1.9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s="2" t="inlineStr"/>
    </row>
    <row r="1454" ht="15" customHeight="1">
      <c r="A1454" t="inlineStr">
        <is>
          <t>A 50757-2024</t>
        </is>
      </c>
      <c r="B1454" t="inlineStr">
        <is>
          <t>avverkningsanmälan</t>
        </is>
      </c>
      <c r="C1454" t="inlineStr">
        <is>
          <t>Föryngringsavverkning</t>
        </is>
      </c>
      <c r="D1454" s="1" t="n">
        <v>45602</v>
      </c>
      <c r="E1454" s="1" t="n">
        <v>46314</v>
      </c>
      <c r="F1454" t="inlineStr">
        <is>
          <t>DALARNAS LÄN</t>
        </is>
      </c>
      <c r="G1454" t="inlineStr">
        <is>
          <t>FALUN</t>
        </is>
      </c>
      <c r="I1454" t="n">
        <v>0.6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s="2" t="inlineStr"/>
    </row>
    <row r="1455" ht="15" customHeight="1">
      <c r="A1455" t="inlineStr">
        <is>
          <t>A 34090-2026</t>
        </is>
      </c>
      <c r="B1455" t="inlineStr">
        <is>
          <t>avverkningsanmälan</t>
        </is>
      </c>
      <c r="C1455" t="inlineStr">
        <is>
          <t>Föryngringsavverkning</t>
        </is>
      </c>
      <c r="D1455" s="1" t="n">
        <v>46252</v>
      </c>
      <c r="E1455" s="1" t="n">
        <v>46314</v>
      </c>
      <c r="F1455" t="inlineStr">
        <is>
          <t>DALARNAS LÄN</t>
        </is>
      </c>
      <c r="G1455" t="inlineStr">
        <is>
          <t>FALUN</t>
        </is>
      </c>
      <c r="H1455" t="inlineStr">
        <is>
          <t>Bergvik skog väst AB</t>
        </is>
      </c>
      <c r="I1455" t="n">
        <v>0.7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s="2" t="inlineStr"/>
    </row>
    <row r="1456" ht="15" customHeight="1">
      <c r="A1456" t="inlineStr">
        <is>
          <t>A 33815-2026</t>
        </is>
      </c>
      <c r="B1456" t="inlineStr">
        <is>
          <t>avverkningsanmälan</t>
        </is>
      </c>
      <c r="C1456" t="inlineStr">
        <is>
          <t>Föryngringsavverkning</t>
        </is>
      </c>
      <c r="D1456" s="1" t="n">
        <v>46251</v>
      </c>
      <c r="E1456" s="1" t="n">
        <v>46314</v>
      </c>
      <c r="F1456" t="inlineStr">
        <is>
          <t>DALARNAS LÄN</t>
        </is>
      </c>
      <c r="G1456" t="inlineStr">
        <is>
          <t>FALUN</t>
        </is>
      </c>
      <c r="I1456" t="n">
        <v>1.3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s="2" t="inlineStr"/>
    </row>
    <row r="1457" ht="15" customHeight="1">
      <c r="A1457" t="inlineStr">
        <is>
          <t>A 44315-2023</t>
        </is>
      </c>
      <c r="B1457" t="inlineStr">
        <is>
          <t>avverkningsanmälan</t>
        </is>
      </c>
      <c r="C1457" t="inlineStr">
        <is>
          <t>Föryngringsavverkning</t>
        </is>
      </c>
      <c r="D1457" s="1" t="n">
        <v>45188</v>
      </c>
      <c r="E1457" s="1" t="n">
        <v>46314</v>
      </c>
      <c r="F1457" t="inlineStr">
        <is>
          <t>DALARNAS LÄN</t>
        </is>
      </c>
      <c r="G1457" t="inlineStr">
        <is>
          <t>FALUN</t>
        </is>
      </c>
      <c r="I1457" t="n">
        <v>1.1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s="2" t="inlineStr"/>
    </row>
    <row r="1458" ht="15" customHeight="1">
      <c r="A1458" t="inlineStr">
        <is>
          <t>A 36212-2024</t>
        </is>
      </c>
      <c r="B1458" t="inlineStr">
        <is>
          <t>avverkningsanmälan</t>
        </is>
      </c>
      <c r="C1458" t="inlineStr">
        <is>
          <t>Föryngringsavverkning</t>
        </is>
      </c>
      <c r="D1458" s="1" t="n">
        <v>45534</v>
      </c>
      <c r="E1458" s="1" t="n">
        <v>46314</v>
      </c>
      <c r="F1458" t="inlineStr">
        <is>
          <t>DALARNAS LÄN</t>
        </is>
      </c>
      <c r="G1458" t="inlineStr">
        <is>
          <t>FALUN</t>
        </is>
      </c>
      <c r="H1458" t="inlineStr">
        <is>
          <t>Bergvik skog väst AB</t>
        </is>
      </c>
      <c r="I1458" t="n">
        <v>1.5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s="2" t="inlineStr"/>
    </row>
    <row r="1459" ht="15" customHeight="1">
      <c r="A1459" t="inlineStr">
        <is>
          <t>A 11897-2023</t>
        </is>
      </c>
      <c r="B1459" t="inlineStr">
        <is>
          <t>avverkningsanmälan</t>
        </is>
      </c>
      <c r="C1459" t="inlineStr">
        <is>
          <t>Föryngringsavverkning</t>
        </is>
      </c>
      <c r="D1459" s="1" t="n">
        <v>44995</v>
      </c>
      <c r="E1459" s="1" t="n">
        <v>46314</v>
      </c>
      <c r="F1459" t="inlineStr">
        <is>
          <t>DALARNAS LÄN</t>
        </is>
      </c>
      <c r="G1459" t="inlineStr">
        <is>
          <t>FALUN</t>
        </is>
      </c>
      <c r="I1459" t="n">
        <v>0.8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s="2" t="inlineStr"/>
    </row>
    <row r="1460" ht="15" customHeight="1">
      <c r="A1460" t="inlineStr">
        <is>
          <t>A 40368-2026</t>
        </is>
      </c>
      <c r="B1460" t="inlineStr">
        <is>
          <t>avverkningsanmälan</t>
        </is>
      </c>
      <c r="C1460" t="inlineStr">
        <is>
          <t>Föryngringsavverkning</t>
        </is>
      </c>
      <c r="D1460" s="1" t="n">
        <v>46294</v>
      </c>
      <c r="E1460" s="1" t="n">
        <v>46314</v>
      </c>
      <c r="F1460" t="inlineStr">
        <is>
          <t>DALARNAS LÄN</t>
        </is>
      </c>
      <c r="G1460" t="inlineStr">
        <is>
          <t>FALUN</t>
        </is>
      </c>
      <c r="H1460" t="inlineStr">
        <is>
          <t>Bergvik skog väst AB</t>
        </is>
      </c>
      <c r="I1460" t="n">
        <v>1.1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s="2" t="inlineStr"/>
    </row>
    <row r="1461" ht="15" customHeight="1">
      <c r="A1461" t="inlineStr">
        <is>
          <t>A 33820-2026</t>
        </is>
      </c>
      <c r="B1461" t="inlineStr">
        <is>
          <t>avverkningsanmälan</t>
        </is>
      </c>
      <c r="C1461" t="inlineStr">
        <is>
          <t>Föryngringsavverkning</t>
        </is>
      </c>
      <c r="D1461" s="1" t="n">
        <v>46251</v>
      </c>
      <c r="E1461" s="1" t="n">
        <v>46314</v>
      </c>
      <c r="F1461" t="inlineStr">
        <is>
          <t>DALARNAS LÄN</t>
        </is>
      </c>
      <c r="G1461" t="inlineStr">
        <is>
          <t>FALUN</t>
        </is>
      </c>
      <c r="I1461" t="n">
        <v>2.7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s="2" t="inlineStr"/>
    </row>
    <row r="1462" ht="15" customHeight="1">
      <c r="A1462" t="inlineStr">
        <is>
          <t>A 22843-2022</t>
        </is>
      </c>
      <c r="B1462" t="inlineStr">
        <is>
          <t>avverkningsanmälan</t>
        </is>
      </c>
      <c r="C1462" t="inlineStr">
        <is>
          <t>Föryngringsavverkning</t>
        </is>
      </c>
      <c r="D1462" s="1" t="n">
        <v>44715</v>
      </c>
      <c r="E1462" s="1" t="n">
        <v>46314</v>
      </c>
      <c r="F1462" t="inlineStr">
        <is>
          <t>DALARNAS LÄN</t>
        </is>
      </c>
      <c r="G1462" t="inlineStr">
        <is>
          <t>FALUN</t>
        </is>
      </c>
      <c r="I1462" t="n">
        <v>1.4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s="2" t="inlineStr"/>
    </row>
    <row r="1463" ht="15" customHeight="1">
      <c r="A1463" t="inlineStr">
        <is>
          <t>A 34490-2026</t>
        </is>
      </c>
      <c r="B1463" t="inlineStr">
        <is>
          <t>avverkningsanmälan</t>
        </is>
      </c>
      <c r="C1463" t="inlineStr">
        <is>
          <t>Föryngringsavverkning</t>
        </is>
      </c>
      <c r="D1463" s="1" t="n">
        <v>46254</v>
      </c>
      <c r="E1463" s="1" t="n">
        <v>46314</v>
      </c>
      <c r="F1463" t="inlineStr">
        <is>
          <t>DALARNAS LÄN</t>
        </is>
      </c>
      <c r="G1463" t="inlineStr">
        <is>
          <t>FALUN</t>
        </is>
      </c>
      <c r="H1463" t="inlineStr">
        <is>
          <t>Allmännings- och besparingsskogar</t>
        </is>
      </c>
      <c r="I1463" t="n">
        <v>9.300000000000001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s="2" t="inlineStr"/>
    </row>
    <row r="1464" ht="15" customHeight="1">
      <c r="A1464" t="inlineStr">
        <is>
          <t>A 56768-2024</t>
        </is>
      </c>
      <c r="B1464" t="inlineStr">
        <is>
          <t>avverkningsanmälan</t>
        </is>
      </c>
      <c r="C1464" t="inlineStr">
        <is>
          <t>Föryngringsavverkning</t>
        </is>
      </c>
      <c r="D1464" s="1" t="n">
        <v>45628</v>
      </c>
      <c r="E1464" s="1" t="n">
        <v>46314</v>
      </c>
      <c r="F1464" t="inlineStr">
        <is>
          <t>DALARNAS LÄN</t>
        </is>
      </c>
      <c r="G1464" t="inlineStr">
        <is>
          <t>FALUN</t>
        </is>
      </c>
      <c r="I1464" t="n">
        <v>0.9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s="2" t="inlineStr"/>
    </row>
    <row r="1465" ht="15" customHeight="1">
      <c r="A1465" t="inlineStr">
        <is>
          <t>A 34324-2026</t>
        </is>
      </c>
      <c r="B1465" t="inlineStr">
        <is>
          <t>avverkningsanmälan</t>
        </is>
      </c>
      <c r="C1465" t="inlineStr">
        <is>
          <t>Föryngringsavverkning</t>
        </is>
      </c>
      <c r="D1465" s="1" t="n">
        <v>46254</v>
      </c>
      <c r="E1465" s="1" t="n">
        <v>46314</v>
      </c>
      <c r="F1465" t="inlineStr">
        <is>
          <t>DALARNAS LÄN</t>
        </is>
      </c>
      <c r="G1465" t="inlineStr">
        <is>
          <t>FALUN</t>
        </is>
      </c>
      <c r="H1465" t="inlineStr">
        <is>
          <t>Bergvik skog väst AB</t>
        </is>
      </c>
      <c r="I1465" t="n">
        <v>32.9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s="2" t="inlineStr"/>
    </row>
    <row r="1466" ht="15" customHeight="1">
      <c r="A1466" t="inlineStr">
        <is>
          <t>A 34201-2026</t>
        </is>
      </c>
      <c r="B1466" t="inlineStr">
        <is>
          <t>avverkningsanmälan</t>
        </is>
      </c>
      <c r="C1466" t="inlineStr">
        <is>
          <t>Föryngringsavverkning</t>
        </is>
      </c>
      <c r="D1466" s="1" t="n">
        <v>46253</v>
      </c>
      <c r="E1466" s="1" t="n">
        <v>46314</v>
      </c>
      <c r="F1466" t="inlineStr">
        <is>
          <t>DALARNAS LÄN</t>
        </is>
      </c>
      <c r="G1466" t="inlineStr">
        <is>
          <t>FALUN</t>
        </is>
      </c>
      <c r="I1466" t="n">
        <v>1.1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s="2" t="inlineStr"/>
    </row>
    <row r="1467" ht="15" customHeight="1">
      <c r="A1467" t="inlineStr">
        <is>
          <t>A 34327-2026</t>
        </is>
      </c>
      <c r="B1467" t="inlineStr">
        <is>
          <t>avverkningsanmälan</t>
        </is>
      </c>
      <c r="C1467" t="inlineStr">
        <is>
          <t>Föryngringsavverkning</t>
        </is>
      </c>
      <c r="D1467" s="1" t="n">
        <v>46254</v>
      </c>
      <c r="E1467" s="1" t="n">
        <v>46314</v>
      </c>
      <c r="F1467" t="inlineStr">
        <is>
          <t>DALARNAS LÄN</t>
        </is>
      </c>
      <c r="G1467" t="inlineStr">
        <is>
          <t>FALUN</t>
        </is>
      </c>
      <c r="H1467" t="inlineStr">
        <is>
          <t>Bergvik skog väst AB</t>
        </is>
      </c>
      <c r="I1467" t="n">
        <v>0.4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s="2" t="inlineStr"/>
    </row>
    <row r="1468" ht="15" customHeight="1">
      <c r="A1468" t="inlineStr">
        <is>
          <t>A 13220-2025</t>
        </is>
      </c>
      <c r="B1468" t="inlineStr">
        <is>
          <t>avverkningsanmälan</t>
        </is>
      </c>
      <c r="C1468" t="inlineStr">
        <is>
          <t>Föryngringsavverkning</t>
        </is>
      </c>
      <c r="D1468" s="1" t="n">
        <v>45735</v>
      </c>
      <c r="E1468" s="1" t="n">
        <v>46314</v>
      </c>
      <c r="F1468" t="inlineStr">
        <is>
          <t>DALARNAS LÄN</t>
        </is>
      </c>
      <c r="G1468" t="inlineStr">
        <is>
          <t>FALUN</t>
        </is>
      </c>
      <c r="I1468" t="n">
        <v>0.7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s="2" t="inlineStr"/>
    </row>
    <row r="1469" ht="15" customHeight="1">
      <c r="A1469" t="inlineStr">
        <is>
          <t>A 50241-2024</t>
        </is>
      </c>
      <c r="B1469" t="inlineStr">
        <is>
          <t>avverkningsanmälan</t>
        </is>
      </c>
      <c r="C1469" t="inlineStr">
        <is>
          <t>Föryngringsavverkning</t>
        </is>
      </c>
      <c r="D1469" s="1" t="n">
        <v>45600</v>
      </c>
      <c r="E1469" s="1" t="n">
        <v>46314</v>
      </c>
      <c r="F1469" t="inlineStr">
        <is>
          <t>DALARNAS LÄN</t>
        </is>
      </c>
      <c r="G1469" t="inlineStr">
        <is>
          <t>FALUN</t>
        </is>
      </c>
      <c r="H1469" t="inlineStr">
        <is>
          <t>Bergvik skog väst AB</t>
        </is>
      </c>
      <c r="I1469" t="n">
        <v>2.5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s="2" t="inlineStr"/>
    </row>
    <row r="1470" ht="15" customHeight="1">
      <c r="A1470" t="inlineStr">
        <is>
          <t>A 5017-2026</t>
        </is>
      </c>
      <c r="B1470" t="inlineStr">
        <is>
          <t>avverkningsanmälan</t>
        </is>
      </c>
      <c r="C1470" t="inlineStr">
        <is>
          <t>Föryngringsavverkning</t>
        </is>
      </c>
      <c r="D1470" s="1" t="n">
        <v>46049</v>
      </c>
      <c r="E1470" s="1" t="n">
        <v>46314</v>
      </c>
      <c r="F1470" t="inlineStr">
        <is>
          <t>DALARNAS LÄN</t>
        </is>
      </c>
      <c r="G1470" t="inlineStr">
        <is>
          <t>FALUN</t>
        </is>
      </c>
      <c r="I1470" t="n">
        <v>6.8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s="2" t="inlineStr"/>
    </row>
    <row r="1471" ht="15" customHeight="1">
      <c r="A1471" t="inlineStr">
        <is>
          <t>A 54909-2024</t>
        </is>
      </c>
      <c r="B1471" t="inlineStr">
        <is>
          <t>avverkningsanmälan</t>
        </is>
      </c>
      <c r="C1471" t="inlineStr">
        <is>
          <t>Föryngringsavverkning</t>
        </is>
      </c>
      <c r="D1471" s="1" t="n">
        <v>45618</v>
      </c>
      <c r="E1471" s="1" t="n">
        <v>46314</v>
      </c>
      <c r="F1471" t="inlineStr">
        <is>
          <t>DALARNAS LÄN</t>
        </is>
      </c>
      <c r="G1471" t="inlineStr">
        <is>
          <t>FALUN</t>
        </is>
      </c>
      <c r="I1471" t="n">
        <v>2.3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s="2" t="inlineStr"/>
    </row>
    <row r="1472" ht="15" customHeight="1">
      <c r="A1472" t="inlineStr">
        <is>
          <t>A 22663-2023</t>
        </is>
      </c>
      <c r="B1472" t="inlineStr">
        <is>
          <t>avverkningsanmälan</t>
        </is>
      </c>
      <c r="C1472" t="inlineStr">
        <is>
          <t>Föryngringsavverkning</t>
        </is>
      </c>
      <c r="D1472" s="1" t="n">
        <v>45071</v>
      </c>
      <c r="E1472" s="1" t="n">
        <v>46314</v>
      </c>
      <c r="F1472" t="inlineStr">
        <is>
          <t>DALARNAS LÄN</t>
        </is>
      </c>
      <c r="G1472" t="inlineStr">
        <is>
          <t>FALUN</t>
        </is>
      </c>
      <c r="I1472" t="n">
        <v>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s="2" t="inlineStr"/>
    </row>
    <row r="1473" ht="15" customHeight="1">
      <c r="A1473" t="inlineStr">
        <is>
          <t>A 20954-2025</t>
        </is>
      </c>
      <c r="B1473" t="inlineStr">
        <is>
          <t>avverkningsanmälan</t>
        </is>
      </c>
      <c r="C1473" t="inlineStr">
        <is>
          <t>Föryngringsavverkning</t>
        </is>
      </c>
      <c r="D1473" s="1" t="n">
        <v>45777</v>
      </c>
      <c r="E1473" s="1" t="n">
        <v>46314</v>
      </c>
      <c r="F1473" t="inlineStr">
        <is>
          <t>DALARNAS LÄN</t>
        </is>
      </c>
      <c r="G1473" t="inlineStr">
        <is>
          <t>FALUN</t>
        </is>
      </c>
      <c r="I1473" t="n">
        <v>2.1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s="2" t="inlineStr"/>
    </row>
    <row r="1474" ht="15" customHeight="1">
      <c r="A1474" t="inlineStr">
        <is>
          <t>A 20680-2025</t>
        </is>
      </c>
      <c r="B1474" t="inlineStr">
        <is>
          <t>avverkningsanmälan</t>
        </is>
      </c>
      <c r="C1474" t="inlineStr">
        <is>
          <t>Föryngringsavverkning</t>
        </is>
      </c>
      <c r="D1474" s="1" t="n">
        <v>45776</v>
      </c>
      <c r="E1474" s="1" t="n">
        <v>46314</v>
      </c>
      <c r="F1474" t="inlineStr">
        <is>
          <t>DALARNAS LÄN</t>
        </is>
      </c>
      <c r="G1474" t="inlineStr">
        <is>
          <t>FALUN</t>
        </is>
      </c>
      <c r="I1474" t="n">
        <v>0.8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s="2" t="inlineStr"/>
    </row>
    <row r="1475" ht="15" customHeight="1">
      <c r="A1475" t="inlineStr">
        <is>
          <t>A 20684-2025</t>
        </is>
      </c>
      <c r="B1475" t="inlineStr">
        <is>
          <t>avverkningsanmälan</t>
        </is>
      </c>
      <c r="C1475" t="inlineStr">
        <is>
          <t>Föryngringsavverkning</t>
        </is>
      </c>
      <c r="D1475" s="1" t="n">
        <v>45776</v>
      </c>
      <c r="E1475" s="1" t="n">
        <v>46314</v>
      </c>
      <c r="F1475" t="inlineStr">
        <is>
          <t>DALARNAS LÄN</t>
        </is>
      </c>
      <c r="G1475" t="inlineStr">
        <is>
          <t>FALUN</t>
        </is>
      </c>
      <c r="I1475" t="n">
        <v>0.4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s="2" t="inlineStr"/>
    </row>
    <row r="1476" ht="15" customHeight="1">
      <c r="A1476" t="inlineStr">
        <is>
          <t>A 44183-2024</t>
        </is>
      </c>
      <c r="B1476" t="inlineStr">
        <is>
          <t>avverkningsanmälan</t>
        </is>
      </c>
      <c r="C1476" t="inlineStr">
        <is>
          <t>Föryngringsavverkning</t>
        </is>
      </c>
      <c r="D1476" s="1" t="n">
        <v>45572</v>
      </c>
      <c r="E1476" s="1" t="n">
        <v>46314</v>
      </c>
      <c r="F1476" t="inlineStr">
        <is>
          <t>DALARNAS LÄN</t>
        </is>
      </c>
      <c r="G1476" t="inlineStr">
        <is>
          <t>FALUN</t>
        </is>
      </c>
      <c r="I1476" t="n">
        <v>1.9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s="2" t="inlineStr"/>
    </row>
    <row r="1477" ht="15" customHeight="1">
      <c r="A1477" t="inlineStr">
        <is>
          <t>A 29880-2024</t>
        </is>
      </c>
      <c r="B1477" t="inlineStr">
        <is>
          <t>avverkningsanmälan</t>
        </is>
      </c>
      <c r="C1477" t="inlineStr">
        <is>
          <t>Föryngringsavverkning</t>
        </is>
      </c>
      <c r="D1477" s="1" t="n">
        <v>45486</v>
      </c>
      <c r="E1477" s="1" t="n">
        <v>46314</v>
      </c>
      <c r="F1477" t="inlineStr">
        <is>
          <t>DALARNAS LÄN</t>
        </is>
      </c>
      <c r="G1477" t="inlineStr">
        <is>
          <t>FALUN</t>
        </is>
      </c>
      <c r="I1477" t="n">
        <v>1.6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s="2" t="inlineStr"/>
    </row>
    <row r="1478" ht="15" customHeight="1">
      <c r="A1478" t="inlineStr">
        <is>
          <t>A 26773-2024</t>
        </is>
      </c>
      <c r="B1478" t="inlineStr">
        <is>
          <t>avverkningsanmälan</t>
        </is>
      </c>
      <c r="C1478" t="inlineStr">
        <is>
          <t>Föryngringsavverkning</t>
        </is>
      </c>
      <c r="D1478" s="1" t="n">
        <v>45470</v>
      </c>
      <c r="E1478" s="1" t="n">
        <v>46314</v>
      </c>
      <c r="F1478" t="inlineStr">
        <is>
          <t>DALARNAS LÄN</t>
        </is>
      </c>
      <c r="G1478" t="inlineStr">
        <is>
          <t>FALUN</t>
        </is>
      </c>
      <c r="I1478" t="n">
        <v>1.3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s="2" t="inlineStr"/>
    </row>
    <row r="1479" ht="15" customHeight="1">
      <c r="A1479" t="inlineStr">
        <is>
          <t>A 43755-2023</t>
        </is>
      </c>
      <c r="B1479" t="inlineStr">
        <is>
          <t>avverkningsanmälan</t>
        </is>
      </c>
      <c r="C1479" t="inlineStr">
        <is>
          <t>Föryngringsavverkning</t>
        </is>
      </c>
      <c r="D1479" s="1" t="n">
        <v>45187</v>
      </c>
      <c r="E1479" s="1" t="n">
        <v>46314</v>
      </c>
      <c r="F1479" t="inlineStr">
        <is>
          <t>DALARNAS LÄN</t>
        </is>
      </c>
      <c r="G1479" t="inlineStr">
        <is>
          <t>FALUN</t>
        </is>
      </c>
      <c r="I1479" t="n">
        <v>3.8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s="2" t="inlineStr"/>
    </row>
    <row r="1480" ht="15" customHeight="1">
      <c r="A1480" t="inlineStr">
        <is>
          <t>A 24625-2024</t>
        </is>
      </c>
      <c r="B1480" t="inlineStr">
        <is>
          <t>avverkningsanmälan</t>
        </is>
      </c>
      <c r="C1480" t="inlineStr">
        <is>
          <t>Föryngringsavverkning</t>
        </is>
      </c>
      <c r="D1480" s="1" t="n">
        <v>45460</v>
      </c>
      <c r="E1480" s="1" t="n">
        <v>46314</v>
      </c>
      <c r="F1480" t="inlineStr">
        <is>
          <t>DALARNAS LÄN</t>
        </is>
      </c>
      <c r="G1480" t="inlineStr">
        <is>
          <t>FALUN</t>
        </is>
      </c>
      <c r="I1480" t="n">
        <v>3.8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s="2" t="inlineStr"/>
    </row>
    <row r="1481" ht="15" customHeight="1">
      <c r="A1481" t="inlineStr">
        <is>
          <t>A 28123-2024</t>
        </is>
      </c>
      <c r="B1481" t="inlineStr">
        <is>
          <t>avverkningsanmälan</t>
        </is>
      </c>
      <c r="C1481" t="inlineStr">
        <is>
          <t>Föryngringsavverkning</t>
        </is>
      </c>
      <c r="D1481" s="1" t="n">
        <v>45476</v>
      </c>
      <c r="E1481" s="1" t="n">
        <v>46314</v>
      </c>
      <c r="F1481" t="inlineStr">
        <is>
          <t>DALARNAS LÄN</t>
        </is>
      </c>
      <c r="G1481" t="inlineStr">
        <is>
          <t>FALUN</t>
        </is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s="2" t="inlineStr"/>
    </row>
    <row r="1482" ht="15" customHeight="1">
      <c r="A1482" t="inlineStr">
        <is>
          <t>A 28724-2024</t>
        </is>
      </c>
      <c r="B1482" t="inlineStr">
        <is>
          <t>avverkningsanmälan</t>
        </is>
      </c>
      <c r="C1482" t="inlineStr">
        <is>
          <t>Föryngringsavverkning</t>
        </is>
      </c>
      <c r="D1482" s="1" t="n">
        <v>45478</v>
      </c>
      <c r="E1482" s="1" t="n">
        <v>46314</v>
      </c>
      <c r="F1482" t="inlineStr">
        <is>
          <t>DALARNAS LÄN</t>
        </is>
      </c>
      <c r="G1482" t="inlineStr">
        <is>
          <t>FALUN</t>
        </is>
      </c>
      <c r="I1482" t="n">
        <v>5.1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s="2" t="inlineStr"/>
    </row>
    <row r="1483" ht="15" customHeight="1">
      <c r="A1483" t="inlineStr">
        <is>
          <t>A 15790-2024</t>
        </is>
      </c>
      <c r="B1483" t="inlineStr">
        <is>
          <t>avverkningsanmälan</t>
        </is>
      </c>
      <c r="C1483" t="inlineStr">
        <is>
          <t>Föryngringsavverkning</t>
        </is>
      </c>
      <c r="D1483" s="1" t="n">
        <v>45404</v>
      </c>
      <c r="E1483" s="1" t="n">
        <v>46314</v>
      </c>
      <c r="F1483" t="inlineStr">
        <is>
          <t>DALARNAS LÄN</t>
        </is>
      </c>
      <c r="G1483" t="inlineStr">
        <is>
          <t>FALUN</t>
        </is>
      </c>
      <c r="I1483" t="n">
        <v>3.7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s="2" t="inlineStr"/>
    </row>
    <row r="1484" ht="15" customHeight="1">
      <c r="A1484" t="inlineStr">
        <is>
          <t>A 11109-2024</t>
        </is>
      </c>
      <c r="B1484" t="inlineStr">
        <is>
          <t>avverkningsanmälan</t>
        </is>
      </c>
      <c r="C1484" t="inlineStr">
        <is>
          <t>Föryngringsavverkning</t>
        </is>
      </c>
      <c r="D1484" s="1" t="n">
        <v>45371</v>
      </c>
      <c r="E1484" s="1" t="n">
        <v>46314</v>
      </c>
      <c r="F1484" t="inlineStr">
        <is>
          <t>DALARNAS LÄN</t>
        </is>
      </c>
      <c r="G1484" t="inlineStr">
        <is>
          <t>FALUN</t>
        </is>
      </c>
      <c r="I1484" t="n">
        <v>2.6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s="2" t="inlineStr"/>
    </row>
    <row r="1485" ht="15" customHeight="1">
      <c r="A1485" t="inlineStr">
        <is>
          <t>A 35894-2024</t>
        </is>
      </c>
      <c r="B1485" t="inlineStr">
        <is>
          <t>avverkningsanmälan</t>
        </is>
      </c>
      <c r="C1485" t="inlineStr">
        <is>
          <t>Föryngringsavverkning</t>
        </is>
      </c>
      <c r="D1485" s="1" t="n">
        <v>45533</v>
      </c>
      <c r="E1485" s="1" t="n">
        <v>46314</v>
      </c>
      <c r="F1485" t="inlineStr">
        <is>
          <t>DALARNAS LÄN</t>
        </is>
      </c>
      <c r="G1485" t="inlineStr">
        <is>
          <t>FALUN</t>
        </is>
      </c>
      <c r="I1485" t="n">
        <v>8.800000000000001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s="2" t="inlineStr"/>
    </row>
    <row r="1486" ht="15" customHeight="1">
      <c r="A1486" t="inlineStr">
        <is>
          <t>A 35530-2024</t>
        </is>
      </c>
      <c r="B1486" t="inlineStr">
        <is>
          <t>avverkningsanmälan</t>
        </is>
      </c>
      <c r="C1486" t="inlineStr">
        <is>
          <t>Föryngringsavverkning</t>
        </is>
      </c>
      <c r="D1486" s="1" t="n">
        <v>45531</v>
      </c>
      <c r="E1486" s="1" t="n">
        <v>46314</v>
      </c>
      <c r="F1486" t="inlineStr">
        <is>
          <t>DALARNAS LÄN</t>
        </is>
      </c>
      <c r="G1486" t="inlineStr">
        <is>
          <t>FALUN</t>
        </is>
      </c>
      <c r="I1486" t="n">
        <v>1.2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s="2" t="inlineStr"/>
    </row>
    <row r="1487" ht="15" customHeight="1">
      <c r="A1487" t="inlineStr">
        <is>
          <t>A 5818-2024</t>
        </is>
      </c>
      <c r="B1487" t="inlineStr">
        <is>
          <t>avverkningsanmälan</t>
        </is>
      </c>
      <c r="C1487" t="inlineStr">
        <is>
          <t>Föryngringsavverkning</t>
        </is>
      </c>
      <c r="D1487" s="1" t="n">
        <v>45335</v>
      </c>
      <c r="E1487" s="1" t="n">
        <v>46314</v>
      </c>
      <c r="F1487" t="inlineStr">
        <is>
          <t>DALARNAS LÄN</t>
        </is>
      </c>
      <c r="G1487" t="inlineStr">
        <is>
          <t>FALUN</t>
        </is>
      </c>
      <c r="I1487" t="n">
        <v>1.2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s="2" t="inlineStr"/>
    </row>
    <row r="1488" ht="15" customHeight="1">
      <c r="A1488" t="inlineStr">
        <is>
          <t>A 7902-2024</t>
        </is>
      </c>
      <c r="B1488" t="inlineStr">
        <is>
          <t>avverkningsanmälan</t>
        </is>
      </c>
      <c r="C1488" t="inlineStr">
        <is>
          <t>Föryngringsavverkning</t>
        </is>
      </c>
      <c r="D1488" s="1" t="n">
        <v>45350</v>
      </c>
      <c r="E1488" s="1" t="n">
        <v>46314</v>
      </c>
      <c r="F1488" t="inlineStr">
        <is>
          <t>DALARNAS LÄN</t>
        </is>
      </c>
      <c r="G1488" t="inlineStr">
        <is>
          <t>FALUN</t>
        </is>
      </c>
      <c r="I1488" t="n">
        <v>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s="2" t="inlineStr"/>
    </row>
    <row r="1489" ht="15" customHeight="1">
      <c r="A1489" t="inlineStr">
        <is>
          <t>A 5169-2024</t>
        </is>
      </c>
      <c r="B1489" t="inlineStr">
        <is>
          <t>avverkningsanmälan</t>
        </is>
      </c>
      <c r="C1489" t="inlineStr">
        <is>
          <t>Föryngringsavverkning</t>
        </is>
      </c>
      <c r="D1489" s="1" t="n">
        <v>45330</v>
      </c>
      <c r="E1489" s="1" t="n">
        <v>46314</v>
      </c>
      <c r="F1489" t="inlineStr">
        <is>
          <t>DALARNAS LÄN</t>
        </is>
      </c>
      <c r="G1489" t="inlineStr">
        <is>
          <t>FALUN</t>
        </is>
      </c>
      <c r="I1489" t="n">
        <v>2.2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s="2" t="inlineStr"/>
    </row>
    <row r="1490" ht="15" customHeight="1">
      <c r="A1490" t="inlineStr">
        <is>
          <t>A 41937-2026</t>
        </is>
      </c>
      <c r="B1490" t="inlineStr">
        <is>
          <t>avverkningsanmälan</t>
        </is>
      </c>
      <c r="C1490" t="inlineStr">
        <is>
          <t>Föryngringsavverkning</t>
        </is>
      </c>
      <c r="D1490" s="1" t="n">
        <v>46303</v>
      </c>
      <c r="E1490" s="1" t="n">
        <v>46314</v>
      </c>
      <c r="F1490" t="inlineStr">
        <is>
          <t>DALARNAS LÄN</t>
        </is>
      </c>
      <c r="G1490" t="inlineStr">
        <is>
          <t>FALUN</t>
        </is>
      </c>
      <c r="I1490" t="n">
        <v>3.1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s="2" t="inlineStr"/>
    </row>
    <row r="1491" ht="15" customHeight="1">
      <c r="A1491" t="inlineStr">
        <is>
          <t>A 35890-2024</t>
        </is>
      </c>
      <c r="B1491" t="inlineStr">
        <is>
          <t>avverkningsanmälan</t>
        </is>
      </c>
      <c r="C1491" t="inlineStr">
        <is>
          <t>Föryngringsavverkning</t>
        </is>
      </c>
      <c r="D1491" s="1" t="n">
        <v>45533</v>
      </c>
      <c r="E1491" s="1" t="n">
        <v>46314</v>
      </c>
      <c r="F1491" t="inlineStr">
        <is>
          <t>DALARNAS LÄN</t>
        </is>
      </c>
      <c r="G1491" t="inlineStr">
        <is>
          <t>FALUN</t>
        </is>
      </c>
      <c r="I1491" t="n">
        <v>2.9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s="2" t="inlineStr"/>
    </row>
    <row r="1492" ht="15" customHeight="1">
      <c r="A1492" t="inlineStr">
        <is>
          <t>A 34524-2026</t>
        </is>
      </c>
      <c r="B1492" t="inlineStr">
        <is>
          <t>avverkningsanmälan</t>
        </is>
      </c>
      <c r="C1492" t="inlineStr">
        <is>
          <t>Föryngringsavverkning</t>
        </is>
      </c>
      <c r="D1492" s="1" t="n">
        <v>46255</v>
      </c>
      <c r="E1492" s="1" t="n">
        <v>46314</v>
      </c>
      <c r="F1492" t="inlineStr">
        <is>
          <t>DALARNAS LÄN</t>
        </is>
      </c>
      <c r="G1492" t="inlineStr">
        <is>
          <t>FALUN</t>
        </is>
      </c>
      <c r="I1492" t="n">
        <v>0.7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s="2" t="inlineStr"/>
    </row>
    <row r="1493" ht="15" customHeight="1">
      <c r="A1493" t="inlineStr">
        <is>
          <t>A 50512-2024</t>
        </is>
      </c>
      <c r="B1493" t="inlineStr">
        <is>
          <t>avverkningsanmälan</t>
        </is>
      </c>
      <c r="C1493" t="inlineStr">
        <is>
          <t>Föryngringsavverkning</t>
        </is>
      </c>
      <c r="D1493" s="1" t="n">
        <v>45601</v>
      </c>
      <c r="E1493" s="1" t="n">
        <v>46314</v>
      </c>
      <c r="F1493" t="inlineStr">
        <is>
          <t>DALARNAS LÄN</t>
        </is>
      </c>
      <c r="G1493" t="inlineStr">
        <is>
          <t>FALUN</t>
        </is>
      </c>
      <c r="H1493" t="inlineStr">
        <is>
          <t>Bergvik skog väst AB</t>
        </is>
      </c>
      <c r="I1493" t="n">
        <v>1.7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s="2" t="inlineStr"/>
    </row>
    <row r="1494" ht="15" customHeight="1">
      <c r="A1494" t="inlineStr">
        <is>
          <t>A 38216-2024</t>
        </is>
      </c>
      <c r="B1494" t="inlineStr">
        <is>
          <t>avverkningsanmälan</t>
        </is>
      </c>
      <c r="C1494" t="inlineStr">
        <is>
          <t>Föryngringsavverkning</t>
        </is>
      </c>
      <c r="D1494" s="1" t="n">
        <v>45545</v>
      </c>
      <c r="E1494" s="1" t="n">
        <v>46314</v>
      </c>
      <c r="F1494" t="inlineStr">
        <is>
          <t>DALARNAS LÄN</t>
        </is>
      </c>
      <c r="G1494" t="inlineStr">
        <is>
          <t>FALUN</t>
        </is>
      </c>
      <c r="H1494" t="inlineStr">
        <is>
          <t>Bergvik skog väst AB</t>
        </is>
      </c>
      <c r="I1494" t="n">
        <v>9.699999999999999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s="2" t="inlineStr"/>
    </row>
    <row r="1495" ht="15" customHeight="1">
      <c r="A1495" t="inlineStr">
        <is>
          <t>A 35210-2026</t>
        </is>
      </c>
      <c r="B1495" t="inlineStr">
        <is>
          <t>avverkningsanmälan</t>
        </is>
      </c>
      <c r="C1495" t="inlineStr">
        <is>
          <t>Föryngringsavverkning</t>
        </is>
      </c>
      <c r="D1495" s="1" t="n">
        <v>46260</v>
      </c>
      <c r="E1495" s="1" t="n">
        <v>46314</v>
      </c>
      <c r="F1495" t="inlineStr">
        <is>
          <t>DALARNAS LÄN</t>
        </is>
      </c>
      <c r="G1495" t="inlineStr">
        <is>
          <t>FALUN</t>
        </is>
      </c>
      <c r="H1495" t="inlineStr">
        <is>
          <t>Bergvik skog väst AB</t>
        </is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s="2" t="inlineStr"/>
    </row>
    <row r="1496" ht="15" customHeight="1">
      <c r="A1496" t="inlineStr">
        <is>
          <t>A 22782-2024</t>
        </is>
      </c>
      <c r="B1496" t="inlineStr">
        <is>
          <t>avverkningsanmälan</t>
        </is>
      </c>
      <c r="C1496" t="inlineStr">
        <is>
          <t>Föryngringsavverkning</t>
        </is>
      </c>
      <c r="D1496" s="1" t="n">
        <v>45448</v>
      </c>
      <c r="E1496" s="1" t="n">
        <v>46314</v>
      </c>
      <c r="F1496" t="inlineStr">
        <is>
          <t>DALARNAS LÄN</t>
        </is>
      </c>
      <c r="G1496" t="inlineStr">
        <is>
          <t>FALUN</t>
        </is>
      </c>
      <c r="I1496" t="n">
        <v>1.5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s="2" t="inlineStr"/>
    </row>
    <row r="1497" ht="15" customHeight="1">
      <c r="A1497" t="inlineStr">
        <is>
          <t>A 36397-2024</t>
        </is>
      </c>
      <c r="B1497" t="inlineStr">
        <is>
          <t>avverkningsanmälan</t>
        </is>
      </c>
      <c r="C1497" t="inlineStr">
        <is>
          <t>Föryngringsavverkning</t>
        </is>
      </c>
      <c r="D1497" s="1" t="n">
        <v>45535</v>
      </c>
      <c r="E1497" s="1" t="n">
        <v>46314</v>
      </c>
      <c r="F1497" t="inlineStr">
        <is>
          <t>DALARNAS LÄN</t>
        </is>
      </c>
      <c r="G1497" t="inlineStr">
        <is>
          <t>FALUN</t>
        </is>
      </c>
      <c r="I1497" t="n">
        <v>1.5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s="2" t="inlineStr"/>
    </row>
    <row r="1498" ht="15" customHeight="1">
      <c r="A1498" t="inlineStr">
        <is>
          <t>A 35109-2026</t>
        </is>
      </c>
      <c r="B1498" t="inlineStr">
        <is>
          <t>avverkningsanmälan</t>
        </is>
      </c>
      <c r="C1498" t="inlineStr">
        <is>
          <t>Föryngringsavverkning</t>
        </is>
      </c>
      <c r="D1498" s="1" t="n">
        <v>46260</v>
      </c>
      <c r="E1498" s="1" t="n">
        <v>46314</v>
      </c>
      <c r="F1498" t="inlineStr">
        <is>
          <t>DALARNAS LÄN</t>
        </is>
      </c>
      <c r="G1498" t="inlineStr">
        <is>
          <t>FALUN</t>
        </is>
      </c>
      <c r="I1498" t="n">
        <v>6.7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s="2" t="inlineStr"/>
    </row>
    <row r="1499" ht="15" customHeight="1">
      <c r="A1499" t="inlineStr">
        <is>
          <t>A 35070-2024</t>
        </is>
      </c>
      <c r="B1499" t="inlineStr">
        <is>
          <t>avverkningsanmälan</t>
        </is>
      </c>
      <c r="C1499" t="inlineStr">
        <is>
          <t>Avverkning för annat ändamål</t>
        </is>
      </c>
      <c r="D1499" s="1" t="n">
        <v>45527</v>
      </c>
      <c r="E1499" s="1" t="n">
        <v>46314</v>
      </c>
      <c r="F1499" t="inlineStr">
        <is>
          <t>DALARNAS LÄN</t>
        </is>
      </c>
      <c r="G1499" t="inlineStr">
        <is>
          <t>FALUN</t>
        </is>
      </c>
      <c r="I1499" t="n">
        <v>1.2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s="2" t="inlineStr"/>
    </row>
    <row r="1500" ht="15" customHeight="1">
      <c r="A1500" t="inlineStr">
        <is>
          <t>A 26883-2022</t>
        </is>
      </c>
      <c r="B1500" t="inlineStr">
        <is>
          <t>avverkningsanmälan</t>
        </is>
      </c>
      <c r="C1500" t="inlineStr">
        <is>
          <t>Föryngringsavverkning</t>
        </is>
      </c>
      <c r="D1500" s="1" t="n">
        <v>44740</v>
      </c>
      <c r="E1500" s="1" t="n">
        <v>46314</v>
      </c>
      <c r="F1500" t="inlineStr">
        <is>
          <t>DALARNAS LÄN</t>
        </is>
      </c>
      <c r="G1500" t="inlineStr">
        <is>
          <t>FALUN</t>
        </is>
      </c>
      <c r="H1500" t="inlineStr">
        <is>
          <t>Bergvik skog väst AB</t>
        </is>
      </c>
      <c r="I1500" t="n">
        <v>1.8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s="2" t="inlineStr"/>
    </row>
    <row r="1501" ht="15" customHeight="1">
      <c r="A1501" t="inlineStr">
        <is>
          <t>A 23711-2025</t>
        </is>
      </c>
      <c r="B1501" t="inlineStr">
        <is>
          <t>avverkningsanmälan</t>
        </is>
      </c>
      <c r="C1501" t="inlineStr">
        <is>
          <t>Föryngringsavverkning</t>
        </is>
      </c>
      <c r="D1501" s="1" t="n">
        <v>45793</v>
      </c>
      <c r="E1501" s="1" t="n">
        <v>46314</v>
      </c>
      <c r="F1501" t="inlineStr">
        <is>
          <t>DALARNAS LÄN</t>
        </is>
      </c>
      <c r="G1501" t="inlineStr">
        <is>
          <t>FALUN</t>
        </is>
      </c>
      <c r="I1501" t="n">
        <v>5.3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s="2" t="inlineStr"/>
    </row>
    <row r="1502" ht="15" customHeight="1">
      <c r="A1502" t="inlineStr">
        <is>
          <t>A 51130-2024</t>
        </is>
      </c>
      <c r="B1502" t="inlineStr">
        <is>
          <t>avverkningsanmälan</t>
        </is>
      </c>
      <c r="C1502" t="inlineStr">
        <is>
          <t>Föryngringsavverkning</t>
        </is>
      </c>
      <c r="D1502" s="1" t="n">
        <v>45603</v>
      </c>
      <c r="E1502" s="1" t="n">
        <v>46314</v>
      </c>
      <c r="F1502" t="inlineStr">
        <is>
          <t>DALARNAS LÄN</t>
        </is>
      </c>
      <c r="G1502" t="inlineStr">
        <is>
          <t>FALUN</t>
        </is>
      </c>
      <c r="I1502" t="n">
        <v>1.5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s="2" t="inlineStr"/>
    </row>
    <row r="1503" ht="15" customHeight="1">
      <c r="A1503" t="inlineStr">
        <is>
          <t>A 41487-2026</t>
        </is>
      </c>
      <c r="B1503" t="inlineStr">
        <is>
          <t>avverkningsanmälan</t>
        </is>
      </c>
      <c r="C1503" t="inlineStr">
        <is>
          <t>Föryngringsavverkning</t>
        </is>
      </c>
      <c r="D1503" s="1" t="n">
        <v>46301</v>
      </c>
      <c r="E1503" s="1" t="n">
        <v>46314</v>
      </c>
      <c r="F1503" t="inlineStr">
        <is>
          <t>DALARNAS LÄN</t>
        </is>
      </c>
      <c r="G1503" t="inlineStr">
        <is>
          <t>FALUN</t>
        </is>
      </c>
      <c r="I1503" t="n">
        <v>4.9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s="2" t="inlineStr"/>
    </row>
    <row r="1504" ht="15" customHeight="1">
      <c r="A1504" t="inlineStr">
        <is>
          <t>A 36308-2024</t>
        </is>
      </c>
      <c r="B1504" t="inlineStr">
        <is>
          <t>avverkningsanmälan</t>
        </is>
      </c>
      <c r="C1504" t="inlineStr">
        <is>
          <t>Föryngringsavverkning</t>
        </is>
      </c>
      <c r="D1504" s="1" t="n">
        <v>45534</v>
      </c>
      <c r="E1504" s="1" t="n">
        <v>46314</v>
      </c>
      <c r="F1504" t="inlineStr">
        <is>
          <t>DALARNAS LÄN</t>
        </is>
      </c>
      <c r="G1504" t="inlineStr">
        <is>
          <t>FALUN</t>
        </is>
      </c>
      <c r="I1504" t="n">
        <v>0.9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s="2" t="inlineStr"/>
    </row>
    <row r="1505" ht="15" customHeight="1">
      <c r="A1505" t="inlineStr">
        <is>
          <t>A 35559-2026</t>
        </is>
      </c>
      <c r="B1505" t="inlineStr">
        <is>
          <t>avverkningsanmälan</t>
        </is>
      </c>
      <c r="C1505" t="inlineStr">
        <is>
          <t>Föryngringsavverkning</t>
        </is>
      </c>
      <c r="D1505" s="1" t="n">
        <v>46262</v>
      </c>
      <c r="E1505" s="1" t="n">
        <v>46314</v>
      </c>
      <c r="F1505" t="inlineStr">
        <is>
          <t>DALARNAS LÄN</t>
        </is>
      </c>
      <c r="G1505" t="inlineStr">
        <is>
          <t>FALUN</t>
        </is>
      </c>
      <c r="I1505" t="n">
        <v>1.2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s="2" t="inlineStr"/>
    </row>
    <row r="1506" ht="15" customHeight="1">
      <c r="A1506" t="inlineStr">
        <is>
          <t>A 35437-2024</t>
        </is>
      </c>
      <c r="B1506" t="inlineStr">
        <is>
          <t>avverkningsanmälan</t>
        </is>
      </c>
      <c r="C1506" t="inlineStr">
        <is>
          <t>Föryngringsavverkning</t>
        </is>
      </c>
      <c r="D1506" s="1" t="n">
        <v>45531</v>
      </c>
      <c r="E1506" s="1" t="n">
        <v>46314</v>
      </c>
      <c r="F1506" t="inlineStr">
        <is>
          <t>DALARNAS LÄN</t>
        </is>
      </c>
      <c r="G1506" t="inlineStr">
        <is>
          <t>FALUN</t>
        </is>
      </c>
      <c r="I1506" t="n">
        <v>2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s="2" t="inlineStr"/>
    </row>
    <row r="1507" ht="15" customHeight="1">
      <c r="A1507" t="inlineStr">
        <is>
          <t>A 42093-2026</t>
        </is>
      </c>
      <c r="B1507" t="inlineStr">
        <is>
          <t>avverkningsanmälan</t>
        </is>
      </c>
      <c r="C1507" t="inlineStr">
        <is>
          <t>Föryngringsavverkning</t>
        </is>
      </c>
      <c r="D1507" s="1" t="n">
        <v>46304</v>
      </c>
      <c r="E1507" s="1" t="n">
        <v>46314</v>
      </c>
      <c r="F1507" t="inlineStr">
        <is>
          <t>DALARNAS LÄN</t>
        </is>
      </c>
      <c r="G1507" t="inlineStr">
        <is>
          <t>FALUN</t>
        </is>
      </c>
      <c r="H1507" t="inlineStr">
        <is>
          <t>Bergvik skog väst AB</t>
        </is>
      </c>
      <c r="I1507" t="n">
        <v>1.8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s="2" t="inlineStr"/>
    </row>
    <row r="1508" ht="15" customHeight="1">
      <c r="A1508" t="inlineStr">
        <is>
          <t>A 39514-2026</t>
        </is>
      </c>
      <c r="B1508" t="inlineStr">
        <is>
          <t>avverkningsanmälan</t>
        </is>
      </c>
      <c r="C1508" t="inlineStr">
        <is>
          <t>Föryngringsavverkning</t>
        </is>
      </c>
      <c r="D1508" s="1" t="n">
        <v>46289</v>
      </c>
      <c r="E1508" s="1" t="n">
        <v>46314</v>
      </c>
      <c r="F1508" t="inlineStr">
        <is>
          <t>DALARNAS LÄN</t>
        </is>
      </c>
      <c r="G1508" t="inlineStr">
        <is>
          <t>FALUN</t>
        </is>
      </c>
      <c r="I1508" t="n">
        <v>3.4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s="2" t="inlineStr"/>
    </row>
    <row r="1509" ht="15" customHeight="1">
      <c r="A1509" t="inlineStr">
        <is>
          <t>A 4766-2026</t>
        </is>
      </c>
      <c r="B1509" t="inlineStr">
        <is>
          <t>avverkningsanmälan</t>
        </is>
      </c>
      <c r="C1509" t="inlineStr">
        <is>
          <t>Föryngringsavverkning</t>
        </is>
      </c>
      <c r="D1509" s="1" t="n">
        <v>46048</v>
      </c>
      <c r="E1509" s="1" t="n">
        <v>46314</v>
      </c>
      <c r="F1509" t="inlineStr">
        <is>
          <t>DALARNAS LÄN</t>
        </is>
      </c>
      <c r="G1509" t="inlineStr">
        <is>
          <t>FALUN</t>
        </is>
      </c>
      <c r="I1509" t="n">
        <v>2.7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s="2" t="inlineStr"/>
    </row>
    <row r="1510" ht="15" customHeight="1">
      <c r="A1510" t="inlineStr">
        <is>
          <t>A 18051-2025</t>
        </is>
      </c>
      <c r="B1510" t="inlineStr">
        <is>
          <t>avverkningsanmälan</t>
        </is>
      </c>
      <c r="C1510" t="inlineStr">
        <is>
          <t>Föryngringsavverkning</t>
        </is>
      </c>
      <c r="D1510" s="1" t="n">
        <v>45761</v>
      </c>
      <c r="E1510" s="1" t="n">
        <v>46314</v>
      </c>
      <c r="F1510" t="inlineStr">
        <is>
          <t>DALARNAS LÄN</t>
        </is>
      </c>
      <c r="G1510" t="inlineStr">
        <is>
          <t>FALUN</t>
        </is>
      </c>
      <c r="H1510" t="inlineStr">
        <is>
          <t>Bergvik skog väst AB</t>
        </is>
      </c>
      <c r="I1510" t="n">
        <v>5.1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s="2" t="inlineStr"/>
    </row>
    <row r="1511" ht="15" customHeight="1">
      <c r="A1511" t="inlineStr">
        <is>
          <t>A 58623-2024</t>
        </is>
      </c>
      <c r="B1511" t="inlineStr">
        <is>
          <t>avverkningsanmälan</t>
        </is>
      </c>
      <c r="C1511" t="inlineStr">
        <is>
          <t>Avverkning för annat ändamål</t>
        </is>
      </c>
      <c r="D1511" s="1" t="n">
        <v>45635</v>
      </c>
      <c r="E1511" s="1" t="n">
        <v>46314</v>
      </c>
      <c r="F1511" t="inlineStr">
        <is>
          <t>DALARNAS LÄN</t>
        </is>
      </c>
      <c r="G1511" t="inlineStr">
        <is>
          <t>FALUN</t>
        </is>
      </c>
      <c r="I1511" t="n">
        <v>1.3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s="2" t="inlineStr"/>
    </row>
    <row r="1512" ht="15" customHeight="1">
      <c r="A1512" t="inlineStr">
        <is>
          <t>A 61877-2024</t>
        </is>
      </c>
      <c r="B1512" t="inlineStr">
        <is>
          <t>avverkningsanmälan</t>
        </is>
      </c>
      <c r="C1512" t="inlineStr">
        <is>
          <t>Föryngringsavverkning</t>
        </is>
      </c>
      <c r="D1512" s="1" t="n">
        <v>45652</v>
      </c>
      <c r="E1512" s="1" t="n">
        <v>46314</v>
      </c>
      <c r="F1512" t="inlineStr">
        <is>
          <t>DALARNAS LÄN</t>
        </is>
      </c>
      <c r="G1512" t="inlineStr">
        <is>
          <t>FALUN</t>
        </is>
      </c>
      <c r="I1512" t="n">
        <v>1.5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s="2" t="inlineStr"/>
    </row>
    <row r="1513" ht="15" customHeight="1">
      <c r="A1513" t="inlineStr">
        <is>
          <t>A 20437-2024</t>
        </is>
      </c>
      <c r="B1513" t="inlineStr">
        <is>
          <t>avverkningsanmälan</t>
        </is>
      </c>
      <c r="C1513" t="inlineStr">
        <is>
          <t>Föryngringsavverkning</t>
        </is>
      </c>
      <c r="D1513" s="1" t="n">
        <v>45435</v>
      </c>
      <c r="E1513" s="1" t="n">
        <v>46314</v>
      </c>
      <c r="F1513" t="inlineStr">
        <is>
          <t>DALARNAS LÄN</t>
        </is>
      </c>
      <c r="G1513" t="inlineStr">
        <is>
          <t>FALUN</t>
        </is>
      </c>
      <c r="I1513" t="n">
        <v>1.2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s="2" t="inlineStr"/>
    </row>
    <row r="1514" ht="15" customHeight="1">
      <c r="A1514" t="inlineStr">
        <is>
          <t>A 39276-2025</t>
        </is>
      </c>
      <c r="B1514" t="inlineStr">
        <is>
          <t>avverkningsanmälan</t>
        </is>
      </c>
      <c r="C1514" t="inlineStr">
        <is>
          <t>Föryngringsavverkning</t>
        </is>
      </c>
      <c r="D1514" s="1" t="n">
        <v>45889</v>
      </c>
      <c r="E1514" s="1" t="n">
        <v>46314</v>
      </c>
      <c r="F1514" t="inlineStr">
        <is>
          <t>DALARNAS LÄN</t>
        </is>
      </c>
      <c r="G1514" t="inlineStr">
        <is>
          <t>FALUN</t>
        </is>
      </c>
      <c r="I1514" t="n">
        <v>4.7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s="2" t="inlineStr"/>
    </row>
    <row r="1515" ht="15" customHeight="1">
      <c r="A1515" t="inlineStr">
        <is>
          <t>A 18042-2025</t>
        </is>
      </c>
      <c r="B1515" t="inlineStr">
        <is>
          <t>avverkningsanmälan</t>
        </is>
      </c>
      <c r="C1515" t="inlineStr">
        <is>
          <t>Föryngringsavverkning</t>
        </is>
      </c>
      <c r="D1515" s="1" t="n">
        <v>45761</v>
      </c>
      <c r="E1515" s="1" t="n">
        <v>46314</v>
      </c>
      <c r="F1515" t="inlineStr">
        <is>
          <t>DALARNAS LÄN</t>
        </is>
      </c>
      <c r="G1515" t="inlineStr">
        <is>
          <t>FALUN</t>
        </is>
      </c>
      <c r="H1515" t="inlineStr">
        <is>
          <t>Bergvik skog väst AB</t>
        </is>
      </c>
      <c r="I1515" t="n">
        <v>5.1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s="2" t="inlineStr"/>
    </row>
    <row r="1516" ht="15" customHeight="1">
      <c r="A1516" t="inlineStr">
        <is>
          <t>A 35426-2026</t>
        </is>
      </c>
      <c r="B1516" t="inlineStr">
        <is>
          <t>avverkningsanmälan</t>
        </is>
      </c>
      <c r="C1516" t="inlineStr">
        <is>
          <t>Avverkning för annat ändamål</t>
        </is>
      </c>
      <c r="D1516" s="1" t="n">
        <v>46261</v>
      </c>
      <c r="E1516" s="1" t="n">
        <v>46314</v>
      </c>
      <c r="F1516" t="inlineStr">
        <is>
          <t>DALARNAS LÄN</t>
        </is>
      </c>
      <c r="G1516" t="inlineStr">
        <is>
          <t>FALUN</t>
        </is>
      </c>
      <c r="I1516" t="n">
        <v>0.7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s="2" t="inlineStr"/>
    </row>
    <row r="1517" ht="15" customHeight="1">
      <c r="A1517" t="inlineStr">
        <is>
          <t>A 42128-2026</t>
        </is>
      </c>
      <c r="B1517" t="inlineStr">
        <is>
          <t>avverkningsanmälan</t>
        </is>
      </c>
      <c r="C1517" t="inlineStr">
        <is>
          <t>Föryngringsavverkning</t>
        </is>
      </c>
      <c r="D1517" s="1" t="n">
        <v>46304</v>
      </c>
      <c r="E1517" s="1" t="n">
        <v>46314</v>
      </c>
      <c r="F1517" t="inlineStr">
        <is>
          <t>DALARNAS LÄN</t>
        </is>
      </c>
      <c r="G1517" t="inlineStr">
        <is>
          <t>FALUN</t>
        </is>
      </c>
      <c r="H1517" t="inlineStr">
        <is>
          <t>Bergvik skog väst AB</t>
        </is>
      </c>
      <c r="I1517" t="n">
        <v>2.7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s="2" t="inlineStr"/>
    </row>
    <row r="1518" ht="15" customHeight="1">
      <c r="A1518" t="inlineStr">
        <is>
          <t>A 42060-2024</t>
        </is>
      </c>
      <c r="B1518" t="inlineStr">
        <is>
          <t>avverkningsanmälan</t>
        </is>
      </c>
      <c r="C1518" t="inlineStr">
        <is>
          <t>Föryngringsavverkning</t>
        </is>
      </c>
      <c r="D1518" s="1" t="n">
        <v>45561</v>
      </c>
      <c r="E1518" s="1" t="n">
        <v>46314</v>
      </c>
      <c r="F1518" t="inlineStr">
        <is>
          <t>DALARNAS LÄN</t>
        </is>
      </c>
      <c r="G1518" t="inlineStr">
        <is>
          <t>FALUN</t>
        </is>
      </c>
      <c r="I1518" t="n">
        <v>2.5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s="2" t="inlineStr"/>
    </row>
    <row r="1519" ht="15" customHeight="1">
      <c r="A1519" t="inlineStr">
        <is>
          <t>A 2767-2024</t>
        </is>
      </c>
      <c r="B1519" t="inlineStr">
        <is>
          <t>avverkningsanmälan</t>
        </is>
      </c>
      <c r="C1519" t="inlineStr">
        <is>
          <t>Föryngringsavverkning</t>
        </is>
      </c>
      <c r="D1519" s="1" t="n">
        <v>45314</v>
      </c>
      <c r="E1519" s="1" t="n">
        <v>46314</v>
      </c>
      <c r="F1519" t="inlineStr">
        <is>
          <t>DALARNAS LÄN</t>
        </is>
      </c>
      <c r="G1519" t="inlineStr">
        <is>
          <t>FALUN</t>
        </is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s="2" t="inlineStr"/>
    </row>
    <row r="1520" ht="15" customHeight="1">
      <c r="A1520" t="inlineStr">
        <is>
          <t>A 24443-2025</t>
        </is>
      </c>
      <c r="B1520" t="inlineStr">
        <is>
          <t>avverkningsanmälan</t>
        </is>
      </c>
      <c r="C1520" t="inlineStr">
        <is>
          <t>Föryngringsavverkning</t>
        </is>
      </c>
      <c r="D1520" s="1" t="n">
        <v>45798</v>
      </c>
      <c r="E1520" s="1" t="n">
        <v>46314</v>
      </c>
      <c r="F1520" t="inlineStr">
        <is>
          <t>DALARNAS LÄN</t>
        </is>
      </c>
      <c r="G1520" t="inlineStr">
        <is>
          <t>FALUN</t>
        </is>
      </c>
      <c r="I1520" t="n">
        <v>2.3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s="2" t="inlineStr"/>
    </row>
    <row r="1521" ht="15" customHeight="1">
      <c r="A1521" t="inlineStr">
        <is>
          <t>A 11554-2026</t>
        </is>
      </c>
      <c r="B1521" t="inlineStr">
        <is>
          <t>avverkningsanmälan</t>
        </is>
      </c>
      <c r="C1521" t="inlineStr">
        <is>
          <t>Föryngringsavverkning</t>
        </is>
      </c>
      <c r="D1521" s="1" t="n">
        <v>46084</v>
      </c>
      <c r="E1521" s="1" t="n">
        <v>46314</v>
      </c>
      <c r="F1521" t="inlineStr">
        <is>
          <t>DALARNAS LÄN</t>
        </is>
      </c>
      <c r="G1521" t="inlineStr">
        <is>
          <t>FALUN</t>
        </is>
      </c>
      <c r="I1521" t="n">
        <v>2.6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s="2" t="inlineStr"/>
    </row>
    <row r="1522" ht="15" customHeight="1">
      <c r="A1522" t="inlineStr">
        <is>
          <t>A 41506-2026</t>
        </is>
      </c>
      <c r="B1522" t="inlineStr">
        <is>
          <t>avverkningsanmälan</t>
        </is>
      </c>
      <c r="C1522" t="inlineStr">
        <is>
          <t>Föryngringsavverkning</t>
        </is>
      </c>
      <c r="D1522" s="1" t="n">
        <v>46301</v>
      </c>
      <c r="E1522" s="1" t="n">
        <v>46314</v>
      </c>
      <c r="F1522" t="inlineStr">
        <is>
          <t>DALARNAS LÄN</t>
        </is>
      </c>
      <c r="G1522" t="inlineStr">
        <is>
          <t>FALUN</t>
        </is>
      </c>
      <c r="I1522" t="n">
        <v>4.5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s="2" t="inlineStr"/>
    </row>
    <row r="1523" ht="15" customHeight="1">
      <c r="A1523" t="inlineStr">
        <is>
          <t>A 10940-2025</t>
        </is>
      </c>
      <c r="B1523" t="inlineStr">
        <is>
          <t>avverkningsanmälan</t>
        </is>
      </c>
      <c r="C1523" t="inlineStr">
        <is>
          <t>Avverkning för annat ändamål</t>
        </is>
      </c>
      <c r="D1523" s="1" t="n">
        <v>45723</v>
      </c>
      <c r="E1523" s="1" t="n">
        <v>46314</v>
      </c>
      <c r="F1523" t="inlineStr">
        <is>
          <t>DALARNAS LÄN</t>
        </is>
      </c>
      <c r="G1523" t="inlineStr">
        <is>
          <t>FALUN</t>
        </is>
      </c>
      <c r="I1523" t="n">
        <v>2.6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s="2" t="inlineStr"/>
    </row>
    <row r="1524" ht="15" customHeight="1">
      <c r="A1524" t="inlineStr">
        <is>
          <t>A 42595-2026</t>
        </is>
      </c>
      <c r="B1524" t="inlineStr">
        <is>
          <t>avverkningsanmälan</t>
        </is>
      </c>
      <c r="C1524" t="inlineStr">
        <is>
          <t>Föryngringsavverkning</t>
        </is>
      </c>
      <c r="D1524" s="1" t="n">
        <v>46308</v>
      </c>
      <c r="E1524" s="1" t="n">
        <v>46314</v>
      </c>
      <c r="F1524" t="inlineStr">
        <is>
          <t>DALARNAS LÄN</t>
        </is>
      </c>
      <c r="G1524" t="inlineStr">
        <is>
          <t>FALUN</t>
        </is>
      </c>
      <c r="I1524" t="n">
        <v>3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s="2" t="inlineStr"/>
    </row>
    <row r="1525" ht="15" customHeight="1">
      <c r="A1525" t="inlineStr">
        <is>
          <t>A 35836-2026</t>
        </is>
      </c>
      <c r="B1525" t="inlineStr">
        <is>
          <t>avverkningsanmälan</t>
        </is>
      </c>
      <c r="C1525" t="inlineStr">
        <is>
          <t>Föryngringsavverkning</t>
        </is>
      </c>
      <c r="D1525" s="1" t="n">
        <v>46265</v>
      </c>
      <c r="E1525" s="1" t="n">
        <v>46314</v>
      </c>
      <c r="F1525" t="inlineStr">
        <is>
          <t>DALARNAS LÄN</t>
        </is>
      </c>
      <c r="G1525" t="inlineStr">
        <is>
          <t>FALUN</t>
        </is>
      </c>
      <c r="I1525" t="n">
        <v>0.7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s="2" t="inlineStr"/>
    </row>
    <row r="1526" ht="15" customHeight="1">
      <c r="A1526" t="inlineStr">
        <is>
          <t>A 26771-2025</t>
        </is>
      </c>
      <c r="B1526" t="inlineStr">
        <is>
          <t>avverkningsanmälan</t>
        </is>
      </c>
      <c r="C1526" t="inlineStr">
        <is>
          <t>Föryngringsavverkning</t>
        </is>
      </c>
      <c r="D1526" s="1" t="n">
        <v>45810</v>
      </c>
      <c r="E1526" s="1" t="n">
        <v>46314</v>
      </c>
      <c r="F1526" t="inlineStr">
        <is>
          <t>DALARNAS LÄN</t>
        </is>
      </c>
      <c r="G1526" t="inlineStr">
        <is>
          <t>FALUN</t>
        </is>
      </c>
      <c r="H1526" t="inlineStr">
        <is>
          <t>Bergvik skog väst AB</t>
        </is>
      </c>
      <c r="I1526" t="n">
        <v>11.6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s="2" t="inlineStr"/>
    </row>
    <row r="1527" ht="15" customHeight="1">
      <c r="A1527" t="inlineStr">
        <is>
          <t>A 42423-2026</t>
        </is>
      </c>
      <c r="B1527" t="inlineStr">
        <is>
          <t>avverkningsanmälan</t>
        </is>
      </c>
      <c r="C1527" t="inlineStr">
        <is>
          <t>Föryngringsavverkning</t>
        </is>
      </c>
      <c r="D1527" s="1" t="n">
        <v>46308</v>
      </c>
      <c r="E1527" s="1" t="n">
        <v>46314</v>
      </c>
      <c r="F1527" t="inlineStr">
        <is>
          <t>DALARNAS LÄN</t>
        </is>
      </c>
      <c r="G1527" t="inlineStr">
        <is>
          <t>FALUN</t>
        </is>
      </c>
      <c r="H1527" t="inlineStr">
        <is>
          <t>Bergvik skog väst AB</t>
        </is>
      </c>
      <c r="I1527" t="n">
        <v>5.2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s="2" t="inlineStr"/>
    </row>
    <row r="1528" ht="15" customHeight="1">
      <c r="A1528" t="inlineStr">
        <is>
          <t>A 41047-2026</t>
        </is>
      </c>
      <c r="B1528" t="inlineStr">
        <is>
          <t>avverkningsanmälan</t>
        </is>
      </c>
      <c r="C1528" t="inlineStr">
        <is>
          <t>Föryngringsavverkning</t>
        </is>
      </c>
      <c r="D1528" s="1" t="n">
        <v>46299</v>
      </c>
      <c r="E1528" s="1" t="n">
        <v>46314</v>
      </c>
      <c r="F1528" t="inlineStr">
        <is>
          <t>DALARNAS LÄN</t>
        </is>
      </c>
      <c r="G1528" t="inlineStr">
        <is>
          <t>FALUN</t>
        </is>
      </c>
      <c r="I1528" t="n">
        <v>2.2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s="2" t="inlineStr"/>
    </row>
    <row r="1529" ht="15" customHeight="1">
      <c r="A1529" t="inlineStr">
        <is>
          <t>A 26927-2025</t>
        </is>
      </c>
      <c r="B1529" t="inlineStr">
        <is>
          <t>avverkningsanmälan</t>
        </is>
      </c>
      <c r="C1529" t="inlineStr">
        <is>
          <t>Föryngringsavverkning</t>
        </is>
      </c>
      <c r="D1529" s="1" t="n">
        <v>45811</v>
      </c>
      <c r="E1529" s="1" t="n">
        <v>46314</v>
      </c>
      <c r="F1529" t="inlineStr">
        <is>
          <t>DALARNAS LÄN</t>
        </is>
      </c>
      <c r="G1529" t="inlineStr">
        <is>
          <t>FALUN</t>
        </is>
      </c>
      <c r="I1529" t="n">
        <v>1.1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s="2" t="inlineStr"/>
    </row>
    <row r="1530" ht="15" customHeight="1">
      <c r="A1530" t="inlineStr">
        <is>
          <t>A 15207-2025</t>
        </is>
      </c>
      <c r="B1530" t="inlineStr">
        <is>
          <t>avverkningsanmälan</t>
        </is>
      </c>
      <c r="C1530" t="inlineStr">
        <is>
          <t>Föryngringsavverkning</t>
        </is>
      </c>
      <c r="D1530" s="1" t="n">
        <v>45744</v>
      </c>
      <c r="E1530" s="1" t="n">
        <v>46314</v>
      </c>
      <c r="F1530" t="inlineStr">
        <is>
          <t>DALARNAS LÄN</t>
        </is>
      </c>
      <c r="G1530" t="inlineStr">
        <is>
          <t>FALUN</t>
        </is>
      </c>
      <c r="I1530" t="n">
        <v>1.8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s="2" t="inlineStr"/>
    </row>
    <row r="1531" ht="15" customHeight="1">
      <c r="A1531" t="inlineStr">
        <is>
          <t>A 36495-2026</t>
        </is>
      </c>
      <c r="B1531" t="inlineStr">
        <is>
          <t>avverkningsanmälan</t>
        </is>
      </c>
      <c r="C1531" t="inlineStr">
        <is>
          <t>Föryngringsavverkning</t>
        </is>
      </c>
      <c r="D1531" s="1" t="n">
        <v>46269</v>
      </c>
      <c r="E1531" s="1" t="n">
        <v>46314</v>
      </c>
      <c r="F1531" t="inlineStr">
        <is>
          <t>DALARNAS LÄN</t>
        </is>
      </c>
      <c r="G1531" t="inlineStr">
        <is>
          <t>FALUN</t>
        </is>
      </c>
      <c r="I1531" t="n">
        <v>0.6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s="2" t="inlineStr"/>
    </row>
    <row r="1532" ht="15" customHeight="1">
      <c r="A1532" t="inlineStr">
        <is>
          <t>A 26800-2025</t>
        </is>
      </c>
      <c r="B1532" t="inlineStr">
        <is>
          <t>avverkningsanmälan</t>
        </is>
      </c>
      <c r="C1532" t="inlineStr">
        <is>
          <t>Föryngringsavverkning</t>
        </is>
      </c>
      <c r="D1532" s="1" t="n">
        <v>45810</v>
      </c>
      <c r="E1532" s="1" t="n">
        <v>46314</v>
      </c>
      <c r="F1532" t="inlineStr">
        <is>
          <t>DALARNAS LÄN</t>
        </is>
      </c>
      <c r="G1532" t="inlineStr">
        <is>
          <t>FALUN</t>
        </is>
      </c>
      <c r="I1532" t="n">
        <v>1.9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s="2" t="inlineStr"/>
    </row>
    <row r="1533" ht="15" customHeight="1">
      <c r="A1533" t="inlineStr">
        <is>
          <t>A 18463-2022</t>
        </is>
      </c>
      <c r="B1533" t="inlineStr">
        <is>
          <t>avverkningsanmälan</t>
        </is>
      </c>
      <c r="C1533" t="inlineStr">
        <is>
          <t>Föryngringsavverkning</t>
        </is>
      </c>
      <c r="D1533" s="1" t="n">
        <v>44686</v>
      </c>
      <c r="E1533" s="1" t="n">
        <v>46314</v>
      </c>
      <c r="F1533" t="inlineStr">
        <is>
          <t>DALARNAS LÄN</t>
        </is>
      </c>
      <c r="G1533" t="inlineStr">
        <is>
          <t>FALUN</t>
        </is>
      </c>
      <c r="I1533" t="n">
        <v>1.6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s="2" t="inlineStr"/>
    </row>
    <row r="1534" ht="15" customHeight="1">
      <c r="A1534" t="inlineStr">
        <is>
          <t>A 27158-2025</t>
        </is>
      </c>
      <c r="B1534" t="inlineStr">
        <is>
          <t>avverkningsanmälan</t>
        </is>
      </c>
      <c r="C1534" t="inlineStr">
        <is>
          <t>Föryngringsavverkning</t>
        </is>
      </c>
      <c r="D1534" s="1" t="n">
        <v>45812</v>
      </c>
      <c r="E1534" s="1" t="n">
        <v>46314</v>
      </c>
      <c r="F1534" t="inlineStr">
        <is>
          <t>DALARNAS LÄN</t>
        </is>
      </c>
      <c r="G1534" t="inlineStr">
        <is>
          <t>FALUN</t>
        </is>
      </c>
      <c r="I1534" t="n">
        <v>13.4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s="2" t="inlineStr"/>
    </row>
    <row r="1535" ht="15" customHeight="1">
      <c r="A1535" t="inlineStr">
        <is>
          <t>A 23600-2026</t>
        </is>
      </c>
      <c r="B1535" t="inlineStr">
        <is>
          <t>avverkningsanmälan</t>
        </is>
      </c>
      <c r="C1535" t="inlineStr">
        <is>
          <t>Föryngringsavverkning</t>
        </is>
      </c>
      <c r="D1535" s="1" t="n">
        <v>46163</v>
      </c>
      <c r="E1535" s="1" t="n">
        <v>46314</v>
      </c>
      <c r="F1535" t="inlineStr">
        <is>
          <t>DALARNAS LÄN</t>
        </is>
      </c>
      <c r="G1535" t="inlineStr">
        <is>
          <t>FALUN</t>
        </is>
      </c>
      <c r="H1535" t="inlineStr">
        <is>
          <t>Bergvik skog väst AB</t>
        </is>
      </c>
      <c r="I1535" t="n">
        <v>15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s="2" t="inlineStr"/>
    </row>
    <row r="1536" ht="15" customHeight="1">
      <c r="A1536" t="inlineStr">
        <is>
          <t>A 27469-2025</t>
        </is>
      </c>
      <c r="B1536" t="inlineStr">
        <is>
          <t>avverkningsanmälan</t>
        </is>
      </c>
      <c r="C1536" t="inlineStr">
        <is>
          <t>Föryngringsavverkning</t>
        </is>
      </c>
      <c r="D1536" s="1" t="n">
        <v>45813</v>
      </c>
      <c r="E1536" s="1" t="n">
        <v>46314</v>
      </c>
      <c r="F1536" t="inlineStr">
        <is>
          <t>DALARNAS LÄN</t>
        </is>
      </c>
      <c r="G1536" t="inlineStr">
        <is>
          <t>FALUN</t>
        </is>
      </c>
      <c r="I1536" t="n">
        <v>0.5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s="2" t="inlineStr"/>
    </row>
    <row r="1537" ht="15" customHeight="1">
      <c r="A1537" t="inlineStr">
        <is>
          <t>A 28828-2025</t>
        </is>
      </c>
      <c r="B1537" t="inlineStr">
        <is>
          <t>avverkningsanmälan</t>
        </is>
      </c>
      <c r="C1537" t="inlineStr">
        <is>
          <t>Föryngringsavverkning</t>
        </is>
      </c>
      <c r="D1537" s="1" t="n">
        <v>45820</v>
      </c>
      <c r="E1537" s="1" t="n">
        <v>46314</v>
      </c>
      <c r="F1537" t="inlineStr">
        <is>
          <t>DALARNAS LÄN</t>
        </is>
      </c>
      <c r="G1537" t="inlineStr">
        <is>
          <t>FALUN</t>
        </is>
      </c>
      <c r="I1537" t="n">
        <v>0.4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s="2" t="inlineStr"/>
    </row>
    <row r="1538" ht="15" customHeight="1">
      <c r="A1538" t="inlineStr">
        <is>
          <t>A 28721-2025</t>
        </is>
      </c>
      <c r="B1538" t="inlineStr">
        <is>
          <t>avverkningsanmälan</t>
        </is>
      </c>
      <c r="C1538" t="inlineStr">
        <is>
          <t>Föryngringsavverkning</t>
        </is>
      </c>
      <c r="D1538" s="1" t="n">
        <v>45820</v>
      </c>
      <c r="E1538" s="1" t="n">
        <v>46314</v>
      </c>
      <c r="F1538" t="inlineStr">
        <is>
          <t>DALARNAS LÄN</t>
        </is>
      </c>
      <c r="G1538" t="inlineStr">
        <is>
          <t>FALUN</t>
        </is>
      </c>
      <c r="I1538" t="n">
        <v>2.4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s="2" t="inlineStr"/>
    </row>
    <row r="1539" ht="15" customHeight="1">
      <c r="A1539" t="inlineStr">
        <is>
          <t>A 28730-2025</t>
        </is>
      </c>
      <c r="B1539" t="inlineStr">
        <is>
          <t>avverkningsanmälan</t>
        </is>
      </c>
      <c r="C1539" t="inlineStr">
        <is>
          <t>Föryngringsavverkning</t>
        </is>
      </c>
      <c r="D1539" s="1" t="n">
        <v>45820</v>
      </c>
      <c r="E1539" s="1" t="n">
        <v>46314</v>
      </c>
      <c r="F1539" t="inlineStr">
        <is>
          <t>DALARNAS LÄN</t>
        </is>
      </c>
      <c r="G1539" t="inlineStr">
        <is>
          <t>FALUN</t>
        </is>
      </c>
      <c r="I1539" t="n">
        <v>1.4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s="2" t="inlineStr"/>
    </row>
    <row r="1540" ht="15" customHeight="1">
      <c r="A1540" t="inlineStr">
        <is>
          <t>A 35721-2026</t>
        </is>
      </c>
      <c r="B1540" t="inlineStr">
        <is>
          <t>avverkningsanmälan</t>
        </is>
      </c>
      <c r="C1540" t="inlineStr">
        <is>
          <t>Föryngringsavverkning</t>
        </is>
      </c>
      <c r="D1540" s="1" t="n">
        <v>46265</v>
      </c>
      <c r="E1540" s="1" t="n">
        <v>46314</v>
      </c>
      <c r="F1540" t="inlineStr">
        <is>
          <t>DALARNAS LÄN</t>
        </is>
      </c>
      <c r="G1540" t="inlineStr">
        <is>
          <t>FALUN</t>
        </is>
      </c>
      <c r="I1540" t="n">
        <v>1.9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s="2" t="inlineStr"/>
    </row>
    <row r="1541" ht="15" customHeight="1">
      <c r="A1541" t="inlineStr">
        <is>
          <t>A 29294-2025</t>
        </is>
      </c>
      <c r="B1541" t="inlineStr">
        <is>
          <t>avverkningsanmälan</t>
        </is>
      </c>
      <c r="C1541" t="inlineStr">
        <is>
          <t>Föryngringsavverkning</t>
        </is>
      </c>
      <c r="D1541" s="1" t="n">
        <v>45824</v>
      </c>
      <c r="E1541" s="1" t="n">
        <v>46314</v>
      </c>
      <c r="F1541" t="inlineStr">
        <is>
          <t>DALARNAS LÄN</t>
        </is>
      </c>
      <c r="G1541" t="inlineStr">
        <is>
          <t>FALUN</t>
        </is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s="2" t="inlineStr"/>
    </row>
    <row r="1542" ht="15" customHeight="1">
      <c r="A1542" t="inlineStr">
        <is>
          <t>A 29355-2025</t>
        </is>
      </c>
      <c r="B1542" t="inlineStr">
        <is>
          <t>avverkningsanmälan</t>
        </is>
      </c>
      <c r="C1542" t="inlineStr">
        <is>
          <t>Föryngringsavverkning</t>
        </is>
      </c>
      <c r="D1542" s="1" t="n">
        <v>45824</v>
      </c>
      <c r="E1542" s="1" t="n">
        <v>46314</v>
      </c>
      <c r="F1542" t="inlineStr">
        <is>
          <t>DALARNAS LÄN</t>
        </is>
      </c>
      <c r="G1542" t="inlineStr">
        <is>
          <t>FALUN</t>
        </is>
      </c>
      <c r="I1542" t="n">
        <v>1.9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s="2" t="inlineStr"/>
    </row>
    <row r="1543" ht="15" customHeight="1">
      <c r="A1543" t="inlineStr">
        <is>
          <t>A 36155-2026</t>
        </is>
      </c>
      <c r="B1543" t="inlineStr">
        <is>
          <t>avverkningsanmälan</t>
        </is>
      </c>
      <c r="C1543" t="inlineStr">
        <is>
          <t>Avverkning för annat ändamål</t>
        </is>
      </c>
      <c r="D1543" s="1" t="n">
        <v>46267</v>
      </c>
      <c r="E1543" s="1" t="n">
        <v>46314</v>
      </c>
      <c r="F1543" t="inlineStr">
        <is>
          <t>DALARNAS LÄN</t>
        </is>
      </c>
      <c r="G1543" t="inlineStr">
        <is>
          <t>FALUN</t>
        </is>
      </c>
      <c r="I1543" t="n">
        <v>0.7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s="2" t="inlineStr"/>
    </row>
    <row r="1544" ht="15" customHeight="1">
      <c r="A1544" t="inlineStr">
        <is>
          <t>A 30927-2025</t>
        </is>
      </c>
      <c r="B1544" t="inlineStr">
        <is>
          <t>avverkningsanmälan</t>
        </is>
      </c>
      <c r="C1544" t="inlineStr">
        <is>
          <t>Föryngringsavverkning</t>
        </is>
      </c>
      <c r="D1544" s="1" t="n">
        <v>45832</v>
      </c>
      <c r="E1544" s="1" t="n">
        <v>46314</v>
      </c>
      <c r="F1544" t="inlineStr">
        <is>
          <t>DALARNAS LÄN</t>
        </is>
      </c>
      <c r="G1544" t="inlineStr">
        <is>
          <t>FALUN</t>
        </is>
      </c>
      <c r="H1544" t="inlineStr">
        <is>
          <t>Bergvik skog väst AB</t>
        </is>
      </c>
      <c r="I1544" t="n">
        <v>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s="2" t="inlineStr"/>
    </row>
    <row r="1545" ht="15" customHeight="1">
      <c r="A1545" t="inlineStr">
        <is>
          <t>A 30869-2025</t>
        </is>
      </c>
      <c r="B1545" t="inlineStr">
        <is>
          <t>avverkningsanmälan</t>
        </is>
      </c>
      <c r="C1545" t="inlineStr">
        <is>
          <t>Föryngringsavverkning</t>
        </is>
      </c>
      <c r="D1545" s="1" t="n">
        <v>45832</v>
      </c>
      <c r="E1545" s="1" t="n">
        <v>46314</v>
      </c>
      <c r="F1545" t="inlineStr">
        <is>
          <t>DALARNAS LÄN</t>
        </is>
      </c>
      <c r="G1545" t="inlineStr">
        <is>
          <t>FALUN</t>
        </is>
      </c>
      <c r="H1545" t="inlineStr">
        <is>
          <t>Bergvik skog väst AB</t>
        </is>
      </c>
      <c r="I1545" t="n">
        <v>1.3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s="2" t="inlineStr"/>
    </row>
    <row r="1546" ht="15" customHeight="1">
      <c r="A1546" t="inlineStr">
        <is>
          <t>A 33542-2025</t>
        </is>
      </c>
      <c r="B1546" t="inlineStr">
        <is>
          <t>avverkningsanmälan</t>
        </is>
      </c>
      <c r="C1546" t="inlineStr">
        <is>
          <t>Föryngringsavverkning</t>
        </is>
      </c>
      <c r="D1546" s="1" t="n">
        <v>45841</v>
      </c>
      <c r="E1546" s="1" t="n">
        <v>46314</v>
      </c>
      <c r="F1546" t="inlineStr">
        <is>
          <t>DALARNAS LÄN</t>
        </is>
      </c>
      <c r="G1546" t="inlineStr">
        <is>
          <t>FALUN</t>
        </is>
      </c>
      <c r="H1546" t="inlineStr">
        <is>
          <t>Bergvik skog väst AB</t>
        </is>
      </c>
      <c r="I1546" t="n">
        <v>2.6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s="2" t="inlineStr"/>
    </row>
    <row r="1547" ht="15" customHeight="1">
      <c r="A1547" t="inlineStr">
        <is>
          <t>A 34443-2025</t>
        </is>
      </c>
      <c r="B1547" t="inlineStr">
        <is>
          <t>avverkningsanmälan</t>
        </is>
      </c>
      <c r="C1547" t="inlineStr">
        <is>
          <t>Föryngringsavverkning</t>
        </is>
      </c>
      <c r="D1547" s="1" t="n">
        <v>45845</v>
      </c>
      <c r="E1547" s="1" t="n">
        <v>46314</v>
      </c>
      <c r="F1547" t="inlineStr">
        <is>
          <t>DALARNAS LÄN</t>
        </is>
      </c>
      <c r="G1547" t="inlineStr">
        <is>
          <t>FALUN</t>
        </is>
      </c>
      <c r="I1547" t="n">
        <v>0.8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s="2" t="inlineStr"/>
    </row>
    <row r="1548" ht="15" customHeight="1">
      <c r="A1548" t="inlineStr">
        <is>
          <t>A 24782-2025</t>
        </is>
      </c>
      <c r="B1548" t="inlineStr">
        <is>
          <t>avverkningsanmälan</t>
        </is>
      </c>
      <c r="C1548" t="inlineStr">
        <is>
          <t>Föryngringsavverkning</t>
        </is>
      </c>
      <c r="D1548" s="1" t="n">
        <v>45799</v>
      </c>
      <c r="E1548" s="1" t="n">
        <v>46314</v>
      </c>
      <c r="F1548" t="inlineStr">
        <is>
          <t>DALARNAS LÄN</t>
        </is>
      </c>
      <c r="G1548" t="inlineStr">
        <is>
          <t>FALUN</t>
        </is>
      </c>
      <c r="I1548" t="n">
        <v>2.8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s="2" t="inlineStr"/>
    </row>
    <row r="1549" ht="15" customHeight="1">
      <c r="A1549" t="inlineStr">
        <is>
          <t>A 34941-2025</t>
        </is>
      </c>
      <c r="B1549" t="inlineStr">
        <is>
          <t>avverkningsanmälan</t>
        </is>
      </c>
      <c r="C1549" t="inlineStr">
        <is>
          <t>Föryngringsavverkning</t>
        </is>
      </c>
      <c r="D1549" s="1" t="n">
        <v>45849</v>
      </c>
      <c r="E1549" s="1" t="n">
        <v>46314</v>
      </c>
      <c r="F1549" t="inlineStr">
        <is>
          <t>DALARNAS LÄN</t>
        </is>
      </c>
      <c r="G1549" t="inlineStr">
        <is>
          <t>FALUN</t>
        </is>
      </c>
      <c r="H1549" t="inlineStr">
        <is>
          <t>Bergvik skog väst AB</t>
        </is>
      </c>
      <c r="I1549" t="n">
        <v>18.1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s="2" t="inlineStr"/>
    </row>
    <row r="1550" ht="15" customHeight="1">
      <c r="A1550" t="inlineStr">
        <is>
          <t>A 35323-2025</t>
        </is>
      </c>
      <c r="B1550" t="inlineStr">
        <is>
          <t>avverkningsanmälan</t>
        </is>
      </c>
      <c r="C1550" t="inlineStr">
        <is>
          <t>Föryngringsavverkning</t>
        </is>
      </c>
      <c r="D1550" s="1" t="n">
        <v>45854</v>
      </c>
      <c r="E1550" s="1" t="n">
        <v>46314</v>
      </c>
      <c r="F1550" t="inlineStr">
        <is>
          <t>DALARNAS LÄN</t>
        </is>
      </c>
      <c r="G1550" t="inlineStr">
        <is>
          <t>FALUN</t>
        </is>
      </c>
      <c r="I1550" t="n">
        <v>2.4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s="2" t="inlineStr"/>
    </row>
    <row r="1551" ht="15" customHeight="1">
      <c r="A1551" t="inlineStr">
        <is>
          <t>A 36271-2025</t>
        </is>
      </c>
      <c r="B1551" t="inlineStr">
        <is>
          <t>avverkningsanmälan</t>
        </is>
      </c>
      <c r="C1551" t="inlineStr">
        <is>
          <t>Föryngringsavverkning</t>
        </is>
      </c>
      <c r="D1551" s="1" t="n">
        <v>45867</v>
      </c>
      <c r="E1551" s="1" t="n">
        <v>46314</v>
      </c>
      <c r="F1551" t="inlineStr">
        <is>
          <t>DALARNAS LÄN</t>
        </is>
      </c>
      <c r="G1551" t="inlineStr">
        <is>
          <t>FALUN</t>
        </is>
      </c>
      <c r="H1551" t="inlineStr">
        <is>
          <t>Bergvik skog väst AB</t>
        </is>
      </c>
      <c r="I1551" t="n">
        <v>2.6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s="2" t="inlineStr"/>
    </row>
    <row r="1552" ht="15" customHeight="1">
      <c r="A1552" t="inlineStr">
        <is>
          <t>A 37456-2025</t>
        </is>
      </c>
      <c r="B1552" t="inlineStr">
        <is>
          <t>avverkningsanmälan</t>
        </is>
      </c>
      <c r="C1552" t="inlineStr">
        <is>
          <t>Föryngringsavverkning</t>
        </is>
      </c>
      <c r="D1552" s="1" t="n">
        <v>45877</v>
      </c>
      <c r="E1552" s="1" t="n">
        <v>46314</v>
      </c>
      <c r="F1552" t="inlineStr">
        <is>
          <t>DALARNAS LÄN</t>
        </is>
      </c>
      <c r="G1552" t="inlineStr">
        <is>
          <t>FALUN</t>
        </is>
      </c>
      <c r="I1552" t="n">
        <v>4.8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s="2" t="inlineStr"/>
    </row>
    <row r="1553" ht="15" customHeight="1">
      <c r="A1553" t="inlineStr">
        <is>
          <t>A 21747-2024</t>
        </is>
      </c>
      <c r="B1553" t="inlineStr">
        <is>
          <t>avverkningsanmälan</t>
        </is>
      </c>
      <c r="C1553" t="inlineStr">
        <is>
          <t>Föryngringsavverkning</t>
        </is>
      </c>
      <c r="D1553" s="1" t="n">
        <v>45442</v>
      </c>
      <c r="E1553" s="1" t="n">
        <v>46314</v>
      </c>
      <c r="F1553" t="inlineStr">
        <is>
          <t>DALARNAS LÄN</t>
        </is>
      </c>
      <c r="G1553" t="inlineStr">
        <is>
          <t>FALUN</t>
        </is>
      </c>
      <c r="H1553" t="inlineStr">
        <is>
          <t>Bergvik skog väst AB</t>
        </is>
      </c>
      <c r="I1553" t="n">
        <v>1.9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s="2" t="inlineStr"/>
    </row>
    <row r="1554" ht="15" customHeight="1">
      <c r="A1554" t="inlineStr">
        <is>
          <t>A 37999-2025</t>
        </is>
      </c>
      <c r="B1554" t="inlineStr">
        <is>
          <t>avverkningsanmälan</t>
        </is>
      </c>
      <c r="C1554" t="inlineStr">
        <is>
          <t>Föryngringsavverkning</t>
        </is>
      </c>
      <c r="D1554" s="1" t="n">
        <v>45881</v>
      </c>
      <c r="E1554" s="1" t="n">
        <v>46314</v>
      </c>
      <c r="F1554" t="inlineStr">
        <is>
          <t>DALARNAS LÄN</t>
        </is>
      </c>
      <c r="G1554" t="inlineStr">
        <is>
          <t>FALUN</t>
        </is>
      </c>
      <c r="I1554" t="n">
        <v>1.2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s="2" t="inlineStr"/>
    </row>
    <row r="1555" ht="15" customHeight="1">
      <c r="A1555" t="inlineStr">
        <is>
          <t>S 2065-2022</t>
        </is>
      </c>
      <c r="B1555" t="inlineStr">
        <is>
          <t>samrådsanmälan</t>
        </is>
      </c>
      <c r="C1555" t="inlineStr">
        <is>
          <t>Askåterföring</t>
        </is>
      </c>
      <c r="D1555" s="1" t="n">
        <v>44672</v>
      </c>
      <c r="E1555" s="1" t="n">
        <v>46314</v>
      </c>
      <c r="F1555" t="inlineStr">
        <is>
          <t>DALARNAS LÄN</t>
        </is>
      </c>
      <c r="G1555" t="inlineStr">
        <is>
          <t>FALUN</t>
        </is>
      </c>
      <c r="I1555" t="n">
        <v>84.09999999999999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s="2" t="inlineStr"/>
    </row>
    <row r="1556" ht="15" customHeight="1">
      <c r="A1556" t="inlineStr">
        <is>
          <t>S 889-2021</t>
        </is>
      </c>
      <c r="B1556" t="inlineStr">
        <is>
          <t>samrådsanmälan</t>
        </is>
      </c>
      <c r="C1556" t="inlineStr">
        <is>
          <t>Askåterföring</t>
        </is>
      </c>
      <c r="D1556" s="1" t="n">
        <v>44301</v>
      </c>
      <c r="E1556" s="1" t="n">
        <v>46314</v>
      </c>
      <c r="F1556" t="inlineStr">
        <is>
          <t>DALARNAS LÄN</t>
        </is>
      </c>
      <c r="G1556" t="inlineStr">
        <is>
          <t>FALUN</t>
        </is>
      </c>
      <c r="I1556" t="n">
        <v>84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s="2" t="inlineStr"/>
    </row>
    <row r="1557" ht="15" customHeight="1">
      <c r="A1557" t="inlineStr">
        <is>
          <t>S 2524-2024</t>
        </is>
      </c>
      <c r="B1557" t="inlineStr">
        <is>
          <t>samrådsanmälan</t>
        </is>
      </c>
      <c r="C1557" t="inlineStr">
        <is>
          <t>Annan skogsbruksåtgärd</t>
        </is>
      </c>
      <c r="D1557" s="1" t="n">
        <v>45474</v>
      </c>
      <c r="E1557" s="1" t="n">
        <v>46314</v>
      </c>
      <c r="F1557" t="inlineStr">
        <is>
          <t>DALARNAS LÄN</t>
        </is>
      </c>
      <c r="G1557" t="inlineStr">
        <is>
          <t>FALUN</t>
        </is>
      </c>
      <c r="H1557" t="inlineStr">
        <is>
          <t>Bergvik skog väst AB</t>
        </is>
      </c>
      <c r="I1557" t="n">
        <v>4.4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s="2" t="inlineStr"/>
    </row>
    <row r="1558" ht="15" customHeight="1">
      <c r="A1558" t="inlineStr">
        <is>
          <t>S 2621-2023</t>
        </is>
      </c>
      <c r="B1558" t="inlineStr">
        <is>
          <t>samrådsanmälan</t>
        </is>
      </c>
      <c r="C1558" t="inlineStr">
        <is>
          <t>Askåterföring</t>
        </is>
      </c>
      <c r="D1558" s="1" t="n">
        <v>45147</v>
      </c>
      <c r="E1558" s="1" t="n">
        <v>46314</v>
      </c>
      <c r="F1558" t="inlineStr">
        <is>
          <t>DALARNAS LÄN</t>
        </is>
      </c>
      <c r="G1558" t="inlineStr">
        <is>
          <t>FALUN</t>
        </is>
      </c>
      <c r="I1558" t="n">
        <v>84.3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s="2" t="inlineStr"/>
    </row>
    <row r="1559" ht="15" customHeight="1">
      <c r="A1559" t="inlineStr">
        <is>
          <t>S 2711-2023</t>
        </is>
      </c>
      <c r="B1559" t="inlineStr">
        <is>
          <t>samrådsanmälan</t>
        </is>
      </c>
      <c r="C1559" t="inlineStr">
        <is>
          <t>Askåterföring</t>
        </is>
      </c>
      <c r="D1559" s="1" t="n">
        <v>45155</v>
      </c>
      <c r="E1559" s="1" t="n">
        <v>46314</v>
      </c>
      <c r="F1559" t="inlineStr">
        <is>
          <t>DALARNAS LÄN</t>
        </is>
      </c>
      <c r="G1559" t="inlineStr">
        <is>
          <t>FALUN</t>
        </is>
      </c>
      <c r="I1559" t="n">
        <v>2.2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s="2" t="inlineStr"/>
    </row>
    <row r="1560" ht="15" customHeight="1">
      <c r="A1560" t="inlineStr">
        <is>
          <t>S 2070-2022</t>
        </is>
      </c>
      <c r="B1560" t="inlineStr">
        <is>
          <t>samrådsanmälan</t>
        </is>
      </c>
      <c r="C1560" t="inlineStr">
        <is>
          <t>Askåterföring</t>
        </is>
      </c>
      <c r="D1560" s="1" t="n">
        <v>44672</v>
      </c>
      <c r="E1560" s="1" t="n">
        <v>46314</v>
      </c>
      <c r="F1560" t="inlineStr">
        <is>
          <t>DALARNAS LÄN</t>
        </is>
      </c>
      <c r="G1560" t="inlineStr">
        <is>
          <t>FALUN</t>
        </is>
      </c>
      <c r="I1560" t="n">
        <v>18.4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s="2" t="inlineStr"/>
    </row>
    <row r="1561" ht="15" customHeight="1">
      <c r="A1561" t="inlineStr">
        <is>
          <t>S 1536-2023</t>
        </is>
      </c>
      <c r="B1561" t="inlineStr">
        <is>
          <t>samrådsanmälan</t>
        </is>
      </c>
      <c r="C1561" t="inlineStr">
        <is>
          <t>Skogsgödsling</t>
        </is>
      </c>
      <c r="D1561" s="1" t="n">
        <v>45054</v>
      </c>
      <c r="E1561" s="1" t="n">
        <v>46314</v>
      </c>
      <c r="F1561" t="inlineStr">
        <is>
          <t>DALARNAS LÄN</t>
        </is>
      </c>
      <c r="G1561" t="inlineStr">
        <is>
          <t>FALUN</t>
        </is>
      </c>
      <c r="H1561" t="inlineStr">
        <is>
          <t>Bergvik skog väst AB</t>
        </is>
      </c>
      <c r="I1561" t="n">
        <v>179.7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s="2" t="inlineStr"/>
    </row>
    <row r="1562" ht="15" customHeight="1">
      <c r="A1562" t="inlineStr">
        <is>
          <t>S 2990-2022</t>
        </is>
      </c>
      <c r="B1562" t="inlineStr">
        <is>
          <t>samrådsanmälan</t>
        </is>
      </c>
      <c r="C1562" t="inlineStr">
        <is>
          <t>Skogsgödsling</t>
        </is>
      </c>
      <c r="D1562" s="1" t="n">
        <v>44713</v>
      </c>
      <c r="E1562" s="1" t="n">
        <v>46314</v>
      </c>
      <c r="F1562" t="inlineStr">
        <is>
          <t>DALARNAS LÄN</t>
        </is>
      </c>
      <c r="G1562" t="inlineStr">
        <is>
          <t>FALUN</t>
        </is>
      </c>
      <c r="H1562" t="inlineStr">
        <is>
          <t>Bergvik skog väst AB</t>
        </is>
      </c>
      <c r="I1562" t="n">
        <v>317.3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s="2" t="inlineStr"/>
    </row>
    <row r="1563" ht="15" customHeight="1">
      <c r="A1563" t="inlineStr">
        <is>
          <t>S 2864-2023</t>
        </is>
      </c>
      <c r="B1563" t="inlineStr">
        <is>
          <t>samrådsanmälan</t>
        </is>
      </c>
      <c r="C1563" t="inlineStr">
        <is>
          <t>Askåterföring</t>
        </is>
      </c>
      <c r="D1563" s="1" t="n">
        <v>45168</v>
      </c>
      <c r="E1563" s="1" t="n">
        <v>46314</v>
      </c>
      <c r="F1563" t="inlineStr">
        <is>
          <t>DALARNAS LÄN</t>
        </is>
      </c>
      <c r="G1563" t="inlineStr">
        <is>
          <t>FALUN</t>
        </is>
      </c>
      <c r="H1563" t="inlineStr">
        <is>
          <t>Övriga statliga verk och myndigheter</t>
        </is>
      </c>
      <c r="I1563" t="n">
        <v>15.7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s="2" t="inlineStr"/>
    </row>
    <row r="1564" ht="15" customHeight="1">
      <c r="A1564" t="inlineStr">
        <is>
          <t>S 2917-2023</t>
        </is>
      </c>
      <c r="B1564" t="inlineStr">
        <is>
          <t>samrådsanmälan</t>
        </is>
      </c>
      <c r="C1564" t="inlineStr">
        <is>
          <t>Askåterföring</t>
        </is>
      </c>
      <c r="D1564" s="1" t="n">
        <v>45169</v>
      </c>
      <c r="E1564" s="1" t="n">
        <v>46314</v>
      </c>
      <c r="F1564" t="inlineStr">
        <is>
          <t>DALARNAS LÄN</t>
        </is>
      </c>
      <c r="G1564" t="inlineStr">
        <is>
          <t>FALUN</t>
        </is>
      </c>
      <c r="H1564" t="inlineStr">
        <is>
          <t>Övriga statliga verk och myndigheter</t>
        </is>
      </c>
      <c r="I1564" t="n">
        <v>5.5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s="2" t="inlineStr"/>
    </row>
    <row r="1565" ht="15" customHeight="1">
      <c r="A1565" t="inlineStr">
        <is>
          <t>S 2714-2023</t>
        </is>
      </c>
      <c r="B1565" t="inlineStr">
        <is>
          <t>samrådsanmälan</t>
        </is>
      </c>
      <c r="C1565" t="inlineStr">
        <is>
          <t>Askåterföring</t>
        </is>
      </c>
      <c r="D1565" s="1" t="n">
        <v>45155</v>
      </c>
      <c r="E1565" s="1" t="n">
        <v>46314</v>
      </c>
      <c r="F1565" t="inlineStr">
        <is>
          <t>DALARNAS LÄN</t>
        </is>
      </c>
      <c r="G1565" t="inlineStr">
        <is>
          <t>FALUN</t>
        </is>
      </c>
      <c r="I1565" t="n">
        <v>10.8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s="2" t="inlineStr"/>
    </row>
    <row r="1566" ht="15" customHeight="1">
      <c r="A1566" t="inlineStr">
        <is>
          <t>S 2916-2023</t>
        </is>
      </c>
      <c r="B1566" t="inlineStr">
        <is>
          <t>samrådsanmälan</t>
        </is>
      </c>
      <c r="C1566" t="inlineStr">
        <is>
          <t>Askåterföring</t>
        </is>
      </c>
      <c r="D1566" s="1" t="n">
        <v>45169</v>
      </c>
      <c r="E1566" s="1" t="n">
        <v>46314</v>
      </c>
      <c r="F1566" t="inlineStr">
        <is>
          <t>DALARNAS LÄN</t>
        </is>
      </c>
      <c r="G1566" t="inlineStr">
        <is>
          <t>FALUN</t>
        </is>
      </c>
      <c r="H1566" t="inlineStr">
        <is>
          <t>Övriga statliga verk och myndigheter</t>
        </is>
      </c>
      <c r="I1566" t="n">
        <v>10.4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s="2" t="inlineStr"/>
    </row>
    <row r="1567" ht="15" customHeight="1">
      <c r="A1567" t="inlineStr">
        <is>
          <t>S 240-2024</t>
        </is>
      </c>
      <c r="B1567" t="inlineStr">
        <is>
          <t>samrådsanmälan</t>
        </is>
      </c>
      <c r="C1567" t="inlineStr">
        <is>
          <t>Skogsgödsling</t>
        </is>
      </c>
      <c r="D1567" s="1" t="n">
        <v>45319</v>
      </c>
      <c r="E1567" s="1" t="n">
        <v>46314</v>
      </c>
      <c r="F1567" t="inlineStr">
        <is>
          <t>DALARNAS LÄN</t>
        </is>
      </c>
      <c r="G1567" t="inlineStr">
        <is>
          <t>FALUN</t>
        </is>
      </c>
      <c r="H1567" t="inlineStr">
        <is>
          <t>Sveaskog</t>
        </is>
      </c>
      <c r="I1567" t="n">
        <v>56.9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s="2" t="inlineStr"/>
    </row>
    <row r="1568" ht="15" customHeight="1">
      <c r="A1568" t="inlineStr">
        <is>
          <t>S 3359-2024</t>
        </is>
      </c>
      <c r="B1568" t="inlineStr">
        <is>
          <t>samrådsanmälan</t>
        </is>
      </c>
      <c r="C1568" t="inlineStr">
        <is>
          <t>Askåterföring</t>
        </is>
      </c>
      <c r="D1568" s="1" t="n">
        <v>45532</v>
      </c>
      <c r="E1568" s="1" t="n">
        <v>46314</v>
      </c>
      <c r="F1568" t="inlineStr">
        <is>
          <t>DALARNAS LÄN</t>
        </is>
      </c>
      <c r="G1568" t="inlineStr">
        <is>
          <t>FALUN</t>
        </is>
      </c>
      <c r="I1568" t="n">
        <v>70.90000000000001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s="2" t="inlineStr"/>
    </row>
    <row r="1569" ht="15" customHeight="1">
      <c r="A1569" t="inlineStr">
        <is>
          <t>S 2712-2023</t>
        </is>
      </c>
      <c r="B1569" t="inlineStr">
        <is>
          <t>samrådsanmälan</t>
        </is>
      </c>
      <c r="C1569" t="inlineStr">
        <is>
          <t>Askåterföring</t>
        </is>
      </c>
      <c r="D1569" s="1" t="n">
        <v>45155</v>
      </c>
      <c r="E1569" s="1" t="n">
        <v>46314</v>
      </c>
      <c r="F1569" t="inlineStr">
        <is>
          <t>DALARNAS LÄN</t>
        </is>
      </c>
      <c r="G1569" t="inlineStr">
        <is>
          <t>FALUN</t>
        </is>
      </c>
      <c r="I1569" t="n">
        <v>3.5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s="2" t="inlineStr"/>
    </row>
    <row r="1570" ht="15" customHeight="1">
      <c r="A1570" t="inlineStr">
        <is>
          <t>S 4545-2024</t>
        </is>
      </c>
      <c r="B1570" t="inlineStr">
        <is>
          <t>samrådsanmälan</t>
        </is>
      </c>
      <c r="C1570" t="inlineStr">
        <is>
          <t>Annan skogsbruksåtgärd</t>
        </is>
      </c>
      <c r="D1570" s="1" t="n">
        <v>45597</v>
      </c>
      <c r="E1570" s="1" t="n">
        <v>46314</v>
      </c>
      <c r="F1570" t="inlineStr">
        <is>
          <t>DALARNAS LÄN</t>
        </is>
      </c>
      <c r="G1570" t="inlineStr">
        <is>
          <t>FALUN</t>
        </is>
      </c>
      <c r="H1570" t="inlineStr">
        <is>
          <t>Bergvik skog väst AB</t>
        </is>
      </c>
      <c r="I1570" t="n">
        <v>2.1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s="2" t="inlineStr"/>
    </row>
    <row r="1571" ht="15" customHeight="1">
      <c r="A1571" t="inlineStr">
        <is>
          <t>S 1184-2024</t>
        </is>
      </c>
      <c r="B1571" t="inlineStr">
        <is>
          <t>samrådsanmälan</t>
        </is>
      </c>
      <c r="C1571" t="inlineStr">
        <is>
          <t>Skogsgödsling</t>
        </is>
      </c>
      <c r="D1571" s="1" t="n">
        <v>45396</v>
      </c>
      <c r="E1571" s="1" t="n">
        <v>46314</v>
      </c>
      <c r="F1571" t="inlineStr">
        <is>
          <t>DALARNAS LÄN</t>
        </is>
      </c>
      <c r="G1571" t="inlineStr">
        <is>
          <t>FALUN</t>
        </is>
      </c>
      <c r="I1571" t="n">
        <v>15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s="2" t="inlineStr"/>
    </row>
    <row r="1572" ht="15" customHeight="1">
      <c r="A1572" t="inlineStr">
        <is>
          <t>S 2066-2022</t>
        </is>
      </c>
      <c r="B1572" t="inlineStr">
        <is>
          <t>samrådsanmälan</t>
        </is>
      </c>
      <c r="C1572" t="inlineStr">
        <is>
          <t>Askåterföring</t>
        </is>
      </c>
      <c r="D1572" s="1" t="n">
        <v>44672</v>
      </c>
      <c r="E1572" s="1" t="n">
        <v>46314</v>
      </c>
      <c r="F1572" t="inlineStr">
        <is>
          <t>DALARNAS LÄN</t>
        </is>
      </c>
      <c r="G1572" t="inlineStr">
        <is>
          <t>FALUN</t>
        </is>
      </c>
      <c r="I1572" t="n">
        <v>18.4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s="2" t="inlineStr"/>
    </row>
    <row r="1573" ht="15" customHeight="1">
      <c r="A1573" t="inlineStr">
        <is>
          <t>S 1347-2025</t>
        </is>
      </c>
      <c r="B1573" t="inlineStr">
        <is>
          <t>samrådsanmälan</t>
        </is>
      </c>
      <c r="C1573" t="inlineStr">
        <is>
          <t>Skogsgödsling</t>
        </is>
      </c>
      <c r="D1573" s="1" t="n">
        <v>45772</v>
      </c>
      <c r="E1573" s="1" t="n">
        <v>46314</v>
      </c>
      <c r="F1573" t="inlineStr">
        <is>
          <t>DALARNAS LÄN</t>
        </is>
      </c>
      <c r="G1573" t="inlineStr">
        <is>
          <t>FALUN</t>
        </is>
      </c>
      <c r="I1573" t="n">
        <v>24.4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s="2" t="inlineStr"/>
    </row>
    <row r="1574" ht="15" customHeight="1">
      <c r="A1574" t="inlineStr">
        <is>
          <t>S 1581-2025</t>
        </is>
      </c>
      <c r="B1574" t="inlineStr">
        <is>
          <t>samrådsanmälan</t>
        </is>
      </c>
      <c r="C1574" t="inlineStr">
        <is>
          <t>Skogsgödsling</t>
        </is>
      </c>
      <c r="D1574" s="1" t="n">
        <v>45796</v>
      </c>
      <c r="E1574" s="1" t="n">
        <v>46314</v>
      </c>
      <c r="F1574" t="inlineStr">
        <is>
          <t>DALARNAS LÄN</t>
        </is>
      </c>
      <c r="G1574" t="inlineStr">
        <is>
          <t>FALUN</t>
        </is>
      </c>
      <c r="I1574" t="n">
        <v>15.7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s="2" t="inlineStr"/>
    </row>
    <row r="1575" ht="15" customHeight="1">
      <c r="A1575" t="inlineStr">
        <is>
          <t>S 2125-2025</t>
        </is>
      </c>
      <c r="B1575" t="inlineStr">
        <is>
          <t>samrådsanmälan</t>
        </is>
      </c>
      <c r="C1575" t="inlineStr">
        <is>
          <t>Askåterföring</t>
        </is>
      </c>
      <c r="D1575" s="1" t="n">
        <v>45846</v>
      </c>
      <c r="E1575" s="1" t="n">
        <v>46314</v>
      </c>
      <c r="F1575" t="inlineStr">
        <is>
          <t>DALARNAS LÄN</t>
        </is>
      </c>
      <c r="G1575" t="inlineStr">
        <is>
          <t>FALUN</t>
        </is>
      </c>
      <c r="I1575" t="n">
        <v>4.2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s="2" t="inlineStr"/>
    </row>
    <row r="1576" ht="15" customHeight="1">
      <c r="A1576" t="inlineStr">
        <is>
          <t>S 2126-2025</t>
        </is>
      </c>
      <c r="B1576" t="inlineStr">
        <is>
          <t>samrådsanmälan</t>
        </is>
      </c>
      <c r="C1576" t="inlineStr">
        <is>
          <t>Askåterföring</t>
        </is>
      </c>
      <c r="D1576" s="1" t="n">
        <v>45846</v>
      </c>
      <c r="E1576" s="1" t="n">
        <v>46314</v>
      </c>
      <c r="F1576" t="inlineStr">
        <is>
          <t>DALARNAS LÄN</t>
        </is>
      </c>
      <c r="G1576" t="inlineStr">
        <is>
          <t>FALUN</t>
        </is>
      </c>
      <c r="I1576" t="n">
        <v>2.2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s="2" t="inlineStr"/>
    </row>
    <row r="1577" ht="15" customHeight="1">
      <c r="A1577" t="inlineStr">
        <is>
          <t>S 2124-2025</t>
        </is>
      </c>
      <c r="B1577" t="inlineStr">
        <is>
          <t>samrådsanmälan</t>
        </is>
      </c>
      <c r="C1577" t="inlineStr">
        <is>
          <t>Askåterföring</t>
        </is>
      </c>
      <c r="D1577" s="1" t="n">
        <v>45846</v>
      </c>
      <c r="E1577" s="1" t="n">
        <v>46314</v>
      </c>
      <c r="F1577" t="inlineStr">
        <is>
          <t>DALARNAS LÄN</t>
        </is>
      </c>
      <c r="G1577" t="inlineStr">
        <is>
          <t>FALUN</t>
        </is>
      </c>
      <c r="I1577" t="n">
        <v>10.8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s="2" t="inlineStr"/>
    </row>
    <row r="1578" ht="15" customHeight="1">
      <c r="A1578" t="inlineStr">
        <is>
          <t>S 2573-2025</t>
        </is>
      </c>
      <c r="B1578" t="inlineStr">
        <is>
          <t>samrådsanmälan</t>
        </is>
      </c>
      <c r="C1578" t="inlineStr">
        <is>
          <t>Annan skogsbruksåtgärd</t>
        </is>
      </c>
      <c r="D1578" s="1" t="n">
        <v>45912</v>
      </c>
      <c r="E1578" s="1" t="n">
        <v>46314</v>
      </c>
      <c r="F1578" t="inlineStr">
        <is>
          <t>DALARNAS LÄN</t>
        </is>
      </c>
      <c r="G1578" t="inlineStr">
        <is>
          <t>FALUN</t>
        </is>
      </c>
      <c r="I1578" t="n">
        <v>6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s="2" t="inlineStr"/>
    </row>
    <row r="1579" ht="15" customHeight="1">
      <c r="A1579" t="inlineStr">
        <is>
          <t>S 111-2026</t>
        </is>
      </c>
      <c r="B1579" t="inlineStr">
        <is>
          <t>samrådsanmälan</t>
        </is>
      </c>
      <c r="C1579" t="inlineStr">
        <is>
          <t>Annan skogsbruksåtgärd</t>
        </is>
      </c>
      <c r="D1579" s="1" t="n">
        <v>46038</v>
      </c>
      <c r="E1579" s="1" t="n">
        <v>46314</v>
      </c>
      <c r="F1579" t="inlineStr">
        <is>
          <t>DALARNAS LÄN</t>
        </is>
      </c>
      <c r="G1579" t="inlineStr">
        <is>
          <t>FALUN</t>
        </is>
      </c>
      <c r="I1579" t="n">
        <v>1.5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s="2" t="inlineStr"/>
    </row>
    <row r="1580" ht="15" customHeight="1">
      <c r="A1580" t="inlineStr">
        <is>
          <t>S 409-2026</t>
        </is>
      </c>
      <c r="B1580" t="inlineStr">
        <is>
          <t>samrådsanmälan</t>
        </is>
      </c>
      <c r="C1580" t="inlineStr">
        <is>
          <t>Skogsgödsling</t>
        </is>
      </c>
      <c r="D1580" s="1" t="n">
        <v>46070</v>
      </c>
      <c r="E1580" s="1" t="n">
        <v>46314</v>
      </c>
      <c r="F1580" t="inlineStr">
        <is>
          <t>DALARNAS LÄN</t>
        </is>
      </c>
      <c r="G1580" t="inlineStr">
        <is>
          <t>FALUN</t>
        </is>
      </c>
      <c r="H1580" t="inlineStr">
        <is>
          <t>Sveaskog</t>
        </is>
      </c>
      <c r="I1580" t="n">
        <v>17.1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s="2" t="inlineStr"/>
    </row>
    <row r="1581" ht="15" customHeight="1">
      <c r="A1581" t="inlineStr">
        <is>
          <t>S 1869-2026</t>
        </is>
      </c>
      <c r="B1581" t="inlineStr">
        <is>
          <t>samrådsanmälan</t>
        </is>
      </c>
      <c r="C1581" t="inlineStr">
        <is>
          <t>Askåterföring</t>
        </is>
      </c>
      <c r="D1581" s="1" t="n">
        <v>46199</v>
      </c>
      <c r="E1581" s="1" t="n">
        <v>46314</v>
      </c>
      <c r="F1581" t="inlineStr">
        <is>
          <t>DALARNAS LÄN</t>
        </is>
      </c>
      <c r="G1581" t="inlineStr">
        <is>
          <t>FALUN</t>
        </is>
      </c>
      <c r="I1581" t="n">
        <v>9.1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s="2" t="inlineStr"/>
    </row>
    <row r="1582">
      <c r="A1582" t="inlineStr">
        <is>
          <t>S 2175-2026</t>
        </is>
      </c>
      <c r="B1582" t="inlineStr">
        <is>
          <t>samrådsanmälan</t>
        </is>
      </c>
      <c r="C1582" t="inlineStr">
        <is>
          <t>Askåterföring</t>
        </is>
      </c>
      <c r="D1582" s="1" t="n">
        <v>46251</v>
      </c>
      <c r="E1582" s="1" t="n">
        <v>46314</v>
      </c>
      <c r="F1582" t="inlineStr">
        <is>
          <t>DALARNAS LÄN</t>
        </is>
      </c>
      <c r="G1582" t="inlineStr">
        <is>
          <t>FALUN</t>
        </is>
      </c>
      <c r="H1582" t="inlineStr">
        <is>
          <t>Bergvik skog väst AB</t>
        </is>
      </c>
      <c r="I1582" t="n">
        <v>74.7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2026-10-19T02:04:19Z</dcterms:created>
  <dcterms:modified xmlns:dcterms="http://purl.org/dc/terms/" xmlns:xsi="http://www.w3.org/2001/XMLSchema-instance" xsi:type="dcterms:W3CDTF">2026-10-19T02:04:21Z</dcterms:modified>
</cp:coreProperties>
</file>