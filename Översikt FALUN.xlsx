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45830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45830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45830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45830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45830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45830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45830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45830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45830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45830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45830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45830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45830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45830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45830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45830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45830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45830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45830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45830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45830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45830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45830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45830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45830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45830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45830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45830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45830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45830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45830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45830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45830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45830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45830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45830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45830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45830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45830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45830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45830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45830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45830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45830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45830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45830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45830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45830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45830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45830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45830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45830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45830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45830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45830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45830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45830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45830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45830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45830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45830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45830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45830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45830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45830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45830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45830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45830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45830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45830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45830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45830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45830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45830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45830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45830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45830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45830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45830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45830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45830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45830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45830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45830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45830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45830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45830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45830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45830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45830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45830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45830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45830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45830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45830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45830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26721-2025</t>
        </is>
      </c>
      <c r="B98" s="1" t="n">
        <v>45810</v>
      </c>
      <c r="C98" s="1" t="n">
        <v>45830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Doftskinn</t>
        </is>
      </c>
      <c r="S98">
        <f>HYPERLINK("https://klasma.github.io/Logging_202080/artfynd/A 26721-2025 artfynd.xlsx", "A 26721-2025")</f>
        <v/>
      </c>
      <c r="T98">
        <f>HYPERLINK("https://klasma.github.io/Logging_202080/kartor/A 26721-2025 karta.png", "A 26721-2025")</f>
        <v/>
      </c>
      <c r="V98">
        <f>HYPERLINK("https://klasma.github.io/Logging_202080/klagomål/A 26721-2025 FSC-klagomål.docx", "A 26721-2025")</f>
        <v/>
      </c>
      <c r="W98">
        <f>HYPERLINK("https://klasma.github.io/Logging_202080/klagomålsmail/A 26721-2025 FSC-klagomål mail.docx", "A 26721-2025")</f>
        <v/>
      </c>
      <c r="X98">
        <f>HYPERLINK("https://klasma.github.io/Logging_202080/tillsyn/A 26721-2025 tillsynsbegäran.docx", "A 26721-2025")</f>
        <v/>
      </c>
      <c r="Y98">
        <f>HYPERLINK("https://klasma.github.io/Logging_202080/tillsynsmail/A 26721-2025 tillsynsbegäran mail.docx", "A 26721-2025")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45830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45830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45830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45830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45830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45830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45830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45830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45830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45830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45830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45830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45830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45830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45830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45830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45830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45830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45830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45830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45830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45830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45830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45830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45830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45830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45830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45830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45830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45830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45830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45830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45830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45830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45830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45830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45830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45830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45830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45830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45830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45830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45830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45830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45830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45830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45830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45830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45830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45830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45830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45830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45830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45830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45830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45830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45830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45830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45830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45830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45830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45830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45830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45830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45830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45830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45830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45830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45830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45830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45830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45830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45830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45830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45830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45830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45830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45830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45830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45830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45830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45830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45830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45830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45830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45830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45830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45830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45830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45830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45830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45830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45830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45830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45830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45830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45830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45830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45830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45830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45830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45830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45830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45830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45830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45830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45830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45830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45830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45830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45830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45830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45830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45830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45830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45830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45830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45830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45830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45830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45830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45830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45830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45830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45830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45830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45830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45830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45830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45830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45830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45830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45830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45830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45830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45830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45830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45830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45830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45830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45830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45830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45830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45830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45830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45830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45830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45830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45830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45830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45830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45830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45830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45830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45830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45830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45830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45830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45830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45830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45830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45830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45830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45830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45830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45830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45830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45830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45830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45830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45830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45830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45830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45830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45830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45830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45830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45830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45830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45830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45830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45830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45830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45830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45830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45830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45830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45830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45830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45830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45830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45830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45830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45830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45830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45830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45830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45830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45830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45830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45830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45830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45830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45830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45830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45830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45830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45830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45830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45830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45830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45830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45830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45830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45830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45830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45830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45830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45830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45830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45830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45830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45830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45830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45830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45830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45830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45830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45830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45830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45830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45830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45830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45830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45830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45830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45830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45830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45830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45830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45830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45830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45830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45830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45830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45830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45830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45830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45830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45830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45830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45830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45830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45830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45830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45830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45830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45830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45830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45830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45830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45830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45830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45830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45830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45830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45830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45830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45830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45830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45830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45830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45830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45830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45830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45830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45830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45830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45830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45830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45830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45830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45830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45830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45830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45830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45830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45830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45830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45830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45830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45830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45830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45830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45830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45830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45830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45830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45830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45830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45830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45830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45830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45830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45830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45830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45830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45830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45830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45830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45830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45830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45830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45830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45830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45830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45830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45830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45830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45830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45830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45830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45830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45830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45830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45830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45830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45830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45830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45830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45830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45830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45830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45830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45830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45830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45830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45830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45830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45830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45830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45830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45830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45830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45830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45830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45830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45830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45830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45830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45830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45830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45830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45830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45830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45830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45830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45830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45830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45830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45830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45830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45830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45830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45830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45830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45830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45830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45830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45830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45830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45830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45830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45830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45830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45830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45830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45830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45830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45830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45830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45830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45830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45830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45830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45830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45830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45830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45830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45830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45830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45830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45830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45830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45830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45830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45830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45830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45830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45830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45830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45830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45830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45830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45830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45830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45830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45830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45830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45830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45830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45830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45830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45830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45830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45830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45830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45830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45830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45830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45830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45830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45830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45830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45830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45830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45830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45830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45830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45830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45830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45830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45830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45830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45830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45830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45830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45830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45830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45830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45830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45830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45830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45830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45830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45830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45830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45830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45830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45830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45830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45830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45830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45830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45830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45830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45830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45830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45830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45830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45830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45830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45830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45830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45830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45830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45830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45830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45830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45830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45830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45830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45830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45830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45830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45830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45830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45830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45830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45830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45830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45830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45830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45830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45830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45830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45830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45830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45830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45830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45830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45830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45830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45830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45830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45830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45830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45830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45830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45830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45830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45830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45830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45830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45830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45830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45830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45830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45830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45830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45830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45830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45830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45830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45830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45830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45830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45830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45830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45830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45830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45830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45830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45830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45830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45830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45830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45830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45830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45830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45830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45830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45830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45830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45830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45830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45830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45830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45830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45830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45830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45830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45830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45830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45830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45830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45830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45830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45830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45830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45830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45830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45830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45830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45830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45830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45830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45830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45830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45830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45830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45830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45830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45830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45830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45830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45830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45830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45830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45830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45830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45830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45830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45830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45830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45830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45830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45830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45830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45830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45830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45830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45830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45830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45830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45830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45830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45830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45830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45830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45830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45830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45830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45830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45830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45830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45830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45830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45830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45830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45830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45830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45830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45830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45830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45830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45830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45830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45830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45830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45830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45830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45830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45830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45830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45830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45830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45830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45830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45830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45830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45830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45830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45830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45830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45830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45830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45830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45830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45830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45830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45830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45830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45830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45830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45830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45830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45830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45830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45830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45830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45830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45830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45830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45830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45830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45830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45830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45830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45830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45830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45830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45830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45830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45830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45830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45830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45830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45830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45830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45830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45830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45830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45830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45830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45830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45830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45830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45830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45830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45830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45830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45830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45830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45830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45830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45830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45830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45830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45830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45830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45830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45830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45830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45830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45830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45830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45830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45830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45830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45830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45830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45830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45830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45830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45830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45830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45830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45830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45830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45830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45830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45830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45830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45830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45830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45830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45830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45830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45830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45830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45830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45830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45830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45830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45830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45830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45830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45830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45830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45830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45830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45830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45830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45830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45830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45830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45830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45830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45830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45830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45830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45830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45830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45830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45830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45830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45830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45830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45830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45830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45830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45830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45830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45830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45830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45830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45830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45830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45830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45830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45830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45830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45830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45830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45830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45830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45830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45830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45830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45830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45830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45830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45830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45830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45830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45830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45830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45830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45830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45830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45830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45830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45830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45830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45830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45830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45830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45830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45830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45830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45830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45830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45830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45830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45830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45830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45830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45830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45830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45830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45830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45830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45830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45830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45830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45830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45830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45830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45830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45830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45830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45830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45830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45830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45830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45830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45830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45830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45830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45830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45830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45830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45830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45830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45830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45830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45830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45830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45830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45830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45830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45830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45830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45830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45830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45830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45830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45830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45830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45830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45830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45830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45830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45830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45830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45830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45830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45830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45830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45830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45830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45830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45830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45830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45830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45830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45830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45830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45830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45830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45830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45830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45830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45830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45830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45830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45830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45830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45830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45830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45830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45830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45830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45830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45830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45830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45830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45830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45830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45830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45830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45830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45830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45830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45830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45830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45830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45830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45830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45830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45830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45830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45830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45830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45830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45830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45830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45830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45830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45830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45830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45830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45830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45830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45830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45830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45830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45830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45830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45830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45830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45830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45830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45830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45830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45830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45830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45830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45830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45830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45830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45830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45830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45830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45830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45830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45830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45830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45830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45830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45830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45830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45830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45830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45830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45830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45830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45830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45830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45830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45830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45830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45830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45830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45830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45830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45830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45830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45830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45830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45830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45830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45830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45830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45830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45830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45830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45830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45830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45830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45830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45830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45830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45830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45830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45830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45830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45830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45830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45830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45830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45830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45830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45830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45830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45830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45830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45830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45830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45830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45830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45830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45830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45830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45830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45830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45830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45830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45830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45830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45830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45830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45830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45830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45830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45830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45830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45830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45830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45830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45830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45830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45830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45830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45830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45830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45830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45830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45830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45830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45830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45830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45830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45830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45830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45830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45830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45830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45830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45830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45830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45830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45830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45830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45830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45830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45830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45830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45830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45830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45830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45830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45830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45830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45830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45830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45830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45830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45830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45830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45830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45830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45830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45830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45830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45830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45830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45830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45830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45830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45830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45830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45830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45830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45830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45830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45830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45830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45830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45830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45830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45830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45830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45830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45830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45830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45830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45830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45830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45830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45830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45830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45830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45830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45830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45830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45830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45830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45830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45830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45830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45830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45830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45830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45830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45830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45830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45830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45830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45830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45830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45830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45830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45830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45830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45830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45830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45830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45830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45830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45830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45830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45830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45830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45830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45830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45830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45830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45830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45830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45830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45830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45830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45830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45830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45830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45830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45830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45830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45830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45830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45830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45830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45830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45830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45830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45830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45830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45830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45830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45830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45830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45830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45830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45830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45830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45830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45830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45830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45830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45830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45830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45830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45830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45830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45830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45830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45830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45830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45830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45830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45830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45830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45830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45830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45830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45830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45830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45830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45830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45830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45830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45830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45830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45830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45830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45830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45830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45830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45830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45830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45830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45830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45830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45830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45830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45830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45830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45830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45830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45830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45830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45830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45830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45830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45830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45830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45830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45830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45830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45830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45830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45830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45830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45830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45830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45830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45830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45830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45830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45830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45830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45830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45830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45830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45830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45830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45830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45830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45830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45830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45830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45830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45830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45830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45830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45830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45830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45830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45830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45830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45830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45830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45830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45830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45830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45830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45830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45830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45830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45830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45830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45830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45830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45830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45830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45830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45830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45830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45830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45830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45830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45830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45830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45830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45830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45830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45830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45830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45830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45830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45830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45830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45830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45830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45830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45830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45830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45830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45830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45830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45830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45830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45830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45830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45830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45830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45830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45830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45830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45830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45830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45830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45830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45830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45830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45830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45830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45830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45830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45830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45830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45830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45830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45830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45830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45830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45830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45830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45830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45830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45830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45830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45830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45830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45830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45830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45830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45830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45830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45830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45830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45830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45830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45830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45830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45830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45830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45830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45830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45830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45830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45830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45830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45830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45830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45830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45830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45830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45830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45830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45830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45830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45830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45830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45830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45830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45830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45830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45830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45830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45830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45830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45830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45830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45830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45830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45830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45830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45830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45830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45830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45830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45830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45830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45830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45830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45830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45830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45830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45830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45830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45830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45830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45830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45830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45830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45830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45830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45830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45830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45830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45830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45830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45830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45830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45830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45830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45830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45830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45830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45830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45830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45830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45830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45830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45830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45830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45830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45830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45830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45830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45830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45830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45830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45830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45830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45830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45830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45830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45830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45830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45830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45830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45830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45830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45830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45830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45830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45830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45830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45830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45830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45830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45830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45830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45830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45830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45830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45830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45830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45830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45830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45830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45830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45830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45830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45830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45830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45830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45830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45830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45830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45830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45830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45830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45830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45830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45830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45830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45830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45830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45830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45830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45830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45830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45830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45830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45830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45830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45830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45830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45830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45830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45830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45830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45830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45830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45830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45830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45830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45830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45830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45830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45830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45830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45830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45830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45830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45830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45830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45830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45830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45830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45830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45830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45830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45830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45830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45830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45830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45830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45830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45830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45830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45830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45830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45830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45830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45830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45830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45830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45830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45830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45830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45830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45830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45830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45830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45830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45830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45830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45830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45830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45830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45830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45830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45830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45830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45830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45830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45830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45830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45830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45830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45830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45830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45830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45830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45830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45830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45830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45830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45830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45830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45830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45830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45830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45830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45830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45830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45830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45830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45830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45830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45830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45830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45830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45830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45830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45830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45830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45830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45830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45830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45830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45830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45830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45830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45830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45830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45830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45830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45830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45830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45830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45830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45830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45830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45830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45830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45830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45830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45830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45830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45830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45830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26525-2025</t>
        </is>
      </c>
      <c r="B1647" s="1" t="n">
        <v>45807</v>
      </c>
      <c r="C1647" s="1" t="n">
        <v>45830</v>
      </c>
      <c r="D1647" t="inlineStr">
        <is>
          <t>DALARNAS LÄN</t>
        </is>
      </c>
      <c r="E1647" t="inlineStr">
        <is>
          <t>FALUN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45830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45830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45830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26803-2025</t>
        </is>
      </c>
      <c r="B1651" s="1" t="n">
        <v>45810</v>
      </c>
      <c r="C1651" s="1" t="n">
        <v>45830</v>
      </c>
      <c r="D1651" t="inlineStr">
        <is>
          <t>DALARNAS LÄN</t>
        </is>
      </c>
      <c r="E1651" t="inlineStr">
        <is>
          <t>FALUN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45830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26927-2025</t>
        </is>
      </c>
      <c r="B1653" s="1" t="n">
        <v>45811</v>
      </c>
      <c r="C1653" s="1" t="n">
        <v>45830</v>
      </c>
      <c r="D1653" t="inlineStr">
        <is>
          <t>DALARNAS LÄN</t>
        </is>
      </c>
      <c r="E1653" t="inlineStr">
        <is>
          <t>FALUN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45830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45830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45830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27469-2025</t>
        </is>
      </c>
      <c r="B1657" s="1" t="n">
        <v>45813</v>
      </c>
      <c r="C1657" s="1" t="n">
        <v>45830</v>
      </c>
      <c r="D1657" t="inlineStr">
        <is>
          <t>DALARNAS LÄN</t>
        </is>
      </c>
      <c r="E1657" t="inlineStr">
        <is>
          <t>FALUN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45830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27468-2025</t>
        </is>
      </c>
      <c r="B1659" s="1" t="n">
        <v>45813</v>
      </c>
      <c r="C1659" s="1" t="n">
        <v>45830</v>
      </c>
      <c r="D1659" t="inlineStr">
        <is>
          <t>DALARNAS LÄN</t>
        </is>
      </c>
      <c r="E1659" t="inlineStr">
        <is>
          <t>FALUN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45830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45830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28721-2025</t>
        </is>
      </c>
      <c r="B1662" s="1" t="n">
        <v>45820</v>
      </c>
      <c r="C1662" s="1" t="n">
        <v>45830</v>
      </c>
      <c r="D1662" t="inlineStr">
        <is>
          <t>DALARNAS LÄN</t>
        </is>
      </c>
      <c r="E1662" t="inlineStr">
        <is>
          <t>FALUN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28730-2025</t>
        </is>
      </c>
      <c r="B1663" s="1" t="n">
        <v>45820</v>
      </c>
      <c r="C1663" s="1" t="n">
        <v>45830</v>
      </c>
      <c r="D1663" t="inlineStr">
        <is>
          <t>DALARNAS LÄN</t>
        </is>
      </c>
      <c r="E1663" t="inlineStr">
        <is>
          <t>FALUN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28735-2025</t>
        </is>
      </c>
      <c r="B1664" s="1" t="n">
        <v>45820</v>
      </c>
      <c r="C1664" s="1" t="n">
        <v>45830</v>
      </c>
      <c r="D1664" t="inlineStr">
        <is>
          <t>DALARNAS LÄN</t>
        </is>
      </c>
      <c r="E1664" t="inlineStr">
        <is>
          <t>FALUN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28724-2025</t>
        </is>
      </c>
      <c r="B1665" s="1" t="n">
        <v>45820</v>
      </c>
      <c r="C1665" s="1" t="n">
        <v>45830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28828-2025</t>
        </is>
      </c>
      <c r="B1666" s="1" t="n">
        <v>45820</v>
      </c>
      <c r="C1666" s="1" t="n">
        <v>45830</v>
      </c>
      <c r="D1666" t="inlineStr">
        <is>
          <t>DALARNAS LÄN</t>
        </is>
      </c>
      <c r="E1666" t="inlineStr">
        <is>
          <t>FALUN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29427-2025</t>
        </is>
      </c>
      <c r="B1667" s="1" t="n">
        <v>45824</v>
      </c>
      <c r="C1667" s="1" t="n">
        <v>45830</v>
      </c>
      <c r="D1667" t="inlineStr">
        <is>
          <t>DALARNAS LÄN</t>
        </is>
      </c>
      <c r="E1667" t="inlineStr">
        <is>
          <t>FALUN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29294-2025</t>
        </is>
      </c>
      <c r="B1668" s="1" t="n">
        <v>45824</v>
      </c>
      <c r="C1668" s="1" t="n">
        <v>45830</v>
      </c>
      <c r="D1668" t="inlineStr">
        <is>
          <t>DALARNAS LÄN</t>
        </is>
      </c>
      <c r="E1668" t="inlineStr">
        <is>
          <t>FALUN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29355-2025</t>
        </is>
      </c>
      <c r="B1669" s="1" t="n">
        <v>45824</v>
      </c>
      <c r="C1669" s="1" t="n">
        <v>45830</v>
      </c>
      <c r="D1669" t="inlineStr">
        <is>
          <t>DALARNAS LÄN</t>
        </is>
      </c>
      <c r="E1669" t="inlineStr">
        <is>
          <t>FALUN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29527-2025</t>
        </is>
      </c>
      <c r="B1670" s="1" t="n">
        <v>45825</v>
      </c>
      <c r="C1670" s="1" t="n">
        <v>45830</v>
      </c>
      <c r="D1670" t="inlineStr">
        <is>
          <t>DALARNAS LÄN</t>
        </is>
      </c>
      <c r="E1670" t="inlineStr">
        <is>
          <t>FALUN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29703-2025</t>
        </is>
      </c>
      <c r="B1671" s="1" t="n">
        <v>45825</v>
      </c>
      <c r="C1671" s="1" t="n">
        <v>45830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29791-2025</t>
        </is>
      </c>
      <c r="B1672" s="1" t="n">
        <v>45825</v>
      </c>
      <c r="C1672" s="1" t="n">
        <v>45830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6.7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  <c r="U1672">
        <f>HYPERLINK("https://klasma.github.io/Logging_202080/knärot/A 29791-2025 karta knärot.png", "A 29791-2025")</f>
        <v/>
      </c>
      <c r="V1672">
        <f>HYPERLINK("https://klasma.github.io/Logging_202080/klagomål/A 29791-2025 FSC-klagomål.docx", "A 29791-2025")</f>
        <v/>
      </c>
      <c r="W1672">
        <f>HYPERLINK("https://klasma.github.io/Logging_202080/klagomålsmail/A 29791-2025 FSC-klagomål mail.docx", "A 29791-2025")</f>
        <v/>
      </c>
      <c r="X1672">
        <f>HYPERLINK("https://klasma.github.io/Logging_202080/tillsyn/A 29791-2025 tillsynsbegäran.docx", "A 29791-2025")</f>
        <v/>
      </c>
      <c r="Y1672">
        <f>HYPERLINK("https://klasma.github.io/Logging_202080/tillsynsmail/A 29791-2025 tillsynsbegäran mail.docx", "A 29791-2025")</f>
        <v/>
      </c>
    </row>
    <row r="1673" ht="15" customHeight="1">
      <c r="A1673" t="inlineStr">
        <is>
          <t>A 29740-2025</t>
        </is>
      </c>
      <c r="B1673" s="1" t="n">
        <v>45825</v>
      </c>
      <c r="C1673" s="1" t="n">
        <v>45830</v>
      </c>
      <c r="D1673" t="inlineStr">
        <is>
          <t>DALARNAS LÄN</t>
        </is>
      </c>
      <c r="E1673" t="inlineStr">
        <is>
          <t>FALUN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>
      <c r="A1674" t="inlineStr">
        <is>
          <t>A 30146-2025</t>
        </is>
      </c>
      <c r="B1674" s="1" t="n">
        <v>45827</v>
      </c>
      <c r="C1674" s="1" t="n">
        <v>45830</v>
      </c>
      <c r="D1674" t="inlineStr">
        <is>
          <t>DALARNAS LÄN</t>
        </is>
      </c>
      <c r="E1674" t="inlineStr">
        <is>
          <t>FALUN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2025-06-22T18:51:21Z</dcterms:created>
  <dcterms:modified xmlns:dcterms="http://purl.org/dc/terms/" xmlns:xsi="http://www.w3.org/2001/XMLSchema-instance" xsi:type="dcterms:W3CDTF">2025-06-22T18:51:22Z</dcterms:modified>
</cp:coreProperties>
</file>