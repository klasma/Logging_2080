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45688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45688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45688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45688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45688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45688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45688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45688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45688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45688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45688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45688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45688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45688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45688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45688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45688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45688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45688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45688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45688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45688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45688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45688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45688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45688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45688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45688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45688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45688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45688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45688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45688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45688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25471-2024</t>
        </is>
      </c>
      <c r="B36" s="1" t="n">
        <v>45463</v>
      </c>
      <c r="C36" s="1" t="n">
        <v>45688</v>
      </c>
      <c r="D36" t="inlineStr">
        <is>
          <t>DALARNAS LÄN</t>
        </is>
      </c>
      <c r="E36" t="inlineStr">
        <is>
          <t>FALUN</t>
        </is>
      </c>
      <c r="F36" t="inlineStr">
        <is>
          <t>Sveaskog</t>
        </is>
      </c>
      <c r="G36" t="n">
        <v>15.5</v>
      </c>
      <c r="H36" t="n">
        <v>3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s="2" t="inlineStr">
        <is>
          <t>Plattlummer
Kopparödla
Vanlig groda</t>
        </is>
      </c>
      <c r="S36">
        <f>HYPERLINK("https://klasma.github.io/Logging_2080/artfynd/A 25471-2024 artfynd.xlsx", "A 25471-2024")</f>
        <v/>
      </c>
      <c r="T36">
        <f>HYPERLINK("https://klasma.github.io/Logging_2080/kartor/A 25471-2024 karta.png", "A 25471-2024")</f>
        <v/>
      </c>
      <c r="V36">
        <f>HYPERLINK("https://klasma.github.io/Logging_2080/klagomål/A 25471-2024 FSC-klagomål.docx", "A 25471-2024")</f>
        <v/>
      </c>
      <c r="W36">
        <f>HYPERLINK("https://klasma.github.io/Logging_2080/klagomålsmail/A 25471-2024 FSC-klagomål mail.docx", "A 25471-2024")</f>
        <v/>
      </c>
      <c r="X36">
        <f>HYPERLINK("https://klasma.github.io/Logging_2080/tillsyn/A 25471-2024 tillsynsbegäran.docx", "A 25471-2024")</f>
        <v/>
      </c>
      <c r="Y36">
        <f>HYPERLINK("https://klasma.github.io/Logging_2080/tillsynsmail/A 25471-2024 tillsynsbegäran mail.docx", "A 25471-2024")</f>
        <v/>
      </c>
    </row>
    <row r="37" ht="15" customHeight="1">
      <c r="A37" t="inlineStr">
        <is>
          <t>A 55132-2024</t>
        </is>
      </c>
      <c r="B37" s="1" t="n">
        <v>45621</v>
      </c>
      <c r="C37" s="1" t="n">
        <v>45688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16.9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Gultoppig fingersvamp
Papegojvaxskivling
Tibast</t>
        </is>
      </c>
      <c r="S37">
        <f>HYPERLINK("https://klasma.github.io/Logging_2080/artfynd/A 55132-2024 artfynd.xlsx", "A 55132-2024")</f>
        <v/>
      </c>
      <c r="T37">
        <f>HYPERLINK("https://klasma.github.io/Logging_2080/kartor/A 55132-2024 karta.png", "A 55132-2024")</f>
        <v/>
      </c>
      <c r="V37">
        <f>HYPERLINK("https://klasma.github.io/Logging_2080/klagomål/A 55132-2024 FSC-klagomål.docx", "A 55132-2024")</f>
        <v/>
      </c>
      <c r="W37">
        <f>HYPERLINK("https://klasma.github.io/Logging_2080/klagomålsmail/A 55132-2024 FSC-klagomål mail.docx", "A 55132-2024")</f>
        <v/>
      </c>
      <c r="X37">
        <f>HYPERLINK("https://klasma.github.io/Logging_2080/tillsyn/A 55132-2024 tillsynsbegäran.docx", "A 55132-2024")</f>
        <v/>
      </c>
      <c r="Y37">
        <f>HYPERLINK("https://klasma.github.io/Logging_2080/tillsynsmail/A 55132-2024 tillsynsbegäran mail.docx", "A 55132-2024")</f>
        <v/>
      </c>
    </row>
    <row r="38" ht="15" customHeight="1">
      <c r="A38" t="inlineStr">
        <is>
          <t>A 40160-2020</t>
        </is>
      </c>
      <c r="B38" s="1" t="n">
        <v>44068</v>
      </c>
      <c r="C38" s="1" t="n">
        <v>45688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2.5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Garnlav
Plattlummer</t>
        </is>
      </c>
      <c r="S38">
        <f>HYPERLINK("https://klasma.github.io/Logging_2080/artfynd/A 40160-2020 artfynd.xlsx", "A 40160-2020")</f>
        <v/>
      </c>
      <c r="T38">
        <f>HYPERLINK("https://klasma.github.io/Logging_2080/kartor/A 40160-2020 karta.png", "A 40160-2020")</f>
        <v/>
      </c>
      <c r="V38">
        <f>HYPERLINK("https://klasma.github.io/Logging_2080/klagomål/A 40160-2020 FSC-klagomål.docx", "A 40160-2020")</f>
        <v/>
      </c>
      <c r="W38">
        <f>HYPERLINK("https://klasma.github.io/Logging_2080/klagomålsmail/A 40160-2020 FSC-klagomål mail.docx", "A 40160-2020")</f>
        <v/>
      </c>
      <c r="X38">
        <f>HYPERLINK("https://klasma.github.io/Logging_2080/tillsyn/A 40160-2020 tillsynsbegäran.docx", "A 40160-2020")</f>
        <v/>
      </c>
      <c r="Y38">
        <f>HYPERLINK("https://klasma.github.io/Logging_2080/tillsynsmail/A 40160-2020 tillsynsbegäran mail.docx", "A 40160-2020")</f>
        <v/>
      </c>
    </row>
    <row r="39" ht="15" customHeight="1">
      <c r="A39" t="inlineStr">
        <is>
          <t>A 45940-2020</t>
        </is>
      </c>
      <c r="B39" s="1" t="n">
        <v>44091</v>
      </c>
      <c r="C39" s="1" t="n">
        <v>45688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3.7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Järpe</t>
        </is>
      </c>
      <c r="S39">
        <f>HYPERLINK("https://klasma.github.io/Logging_2080/artfynd/A 45940-2020 artfynd.xlsx", "A 45940-2020")</f>
        <v/>
      </c>
      <c r="T39">
        <f>HYPERLINK("https://klasma.github.io/Logging_2080/kartor/A 45940-2020 karta.png", "A 45940-2020")</f>
        <v/>
      </c>
      <c r="V39">
        <f>HYPERLINK("https://klasma.github.io/Logging_2080/klagomål/A 45940-2020 FSC-klagomål.docx", "A 45940-2020")</f>
        <v/>
      </c>
      <c r="W39">
        <f>HYPERLINK("https://klasma.github.io/Logging_2080/klagomålsmail/A 45940-2020 FSC-klagomål mail.docx", "A 45940-2020")</f>
        <v/>
      </c>
      <c r="X39">
        <f>HYPERLINK("https://klasma.github.io/Logging_2080/tillsyn/A 45940-2020 tillsynsbegäran.docx", "A 45940-2020")</f>
        <v/>
      </c>
      <c r="Y39">
        <f>HYPERLINK("https://klasma.github.io/Logging_2080/tillsynsmail/A 45940-2020 tillsynsbegäran mail.docx", "A 45940-2020")</f>
        <v/>
      </c>
      <c r="Z39">
        <f>HYPERLINK("https://klasma.github.io/Logging_2080/fåglar/A 45940-2020 prioriterade fågelarter.docx", "A 45940-2020")</f>
        <v/>
      </c>
    </row>
    <row r="40" ht="15" customHeight="1">
      <c r="A40" t="inlineStr">
        <is>
          <t>A 56050-2020</t>
        </is>
      </c>
      <c r="B40" s="1" t="n">
        <v>44133</v>
      </c>
      <c r="C40" s="1" t="n">
        <v>45688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Korallblylav</t>
        </is>
      </c>
      <c r="S40">
        <f>HYPERLINK("https://klasma.github.io/Logging_2080/artfynd/A 56050-2020 artfynd.xlsx", "A 56050-2020")</f>
        <v/>
      </c>
      <c r="T40">
        <f>HYPERLINK("https://klasma.github.io/Logging_2080/kartor/A 56050-2020 karta.png", "A 56050-2020")</f>
        <v/>
      </c>
      <c r="V40">
        <f>HYPERLINK("https://klasma.github.io/Logging_2080/klagomål/A 56050-2020 FSC-klagomål.docx", "A 56050-2020")</f>
        <v/>
      </c>
      <c r="W40">
        <f>HYPERLINK("https://klasma.github.io/Logging_2080/klagomålsmail/A 56050-2020 FSC-klagomål mail.docx", "A 56050-2020")</f>
        <v/>
      </c>
      <c r="X40">
        <f>HYPERLINK("https://klasma.github.io/Logging_2080/tillsyn/A 56050-2020 tillsynsbegäran.docx", "A 56050-2020")</f>
        <v/>
      </c>
      <c r="Y40">
        <f>HYPERLINK("https://klasma.github.io/Logging_2080/tillsynsmail/A 56050-2020 tillsynsbegäran mail.docx", "A 56050-2020")</f>
        <v/>
      </c>
    </row>
    <row r="41" ht="15" customHeight="1">
      <c r="A41" t="inlineStr">
        <is>
          <t>A 19267-2021</t>
        </is>
      </c>
      <c r="B41" s="1" t="n">
        <v>44309</v>
      </c>
      <c r="C41" s="1" t="n">
        <v>45688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10.1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Bronshjon</t>
        </is>
      </c>
      <c r="S41">
        <f>HYPERLINK("https://klasma.github.io/Logging_2080/artfynd/A 19267-2021 artfynd.xlsx", "A 19267-2021")</f>
        <v/>
      </c>
      <c r="T41">
        <f>HYPERLINK("https://klasma.github.io/Logging_2080/kartor/A 19267-2021 karta.png", "A 19267-2021")</f>
        <v/>
      </c>
      <c r="V41">
        <f>HYPERLINK("https://klasma.github.io/Logging_2080/klagomål/A 19267-2021 FSC-klagomål.docx", "A 19267-2021")</f>
        <v/>
      </c>
      <c r="W41">
        <f>HYPERLINK("https://klasma.github.io/Logging_2080/klagomålsmail/A 19267-2021 FSC-klagomål mail.docx", "A 19267-2021")</f>
        <v/>
      </c>
      <c r="X41">
        <f>HYPERLINK("https://klasma.github.io/Logging_2080/tillsyn/A 19267-2021 tillsynsbegäran.docx", "A 19267-2021")</f>
        <v/>
      </c>
      <c r="Y41">
        <f>HYPERLINK("https://klasma.github.io/Logging_2080/tillsynsmail/A 19267-2021 tillsynsbegäran mail.docx", "A 19267-2021")</f>
        <v/>
      </c>
    </row>
    <row r="42" ht="15" customHeight="1">
      <c r="A42" t="inlineStr">
        <is>
          <t>A 62396-2022</t>
        </is>
      </c>
      <c r="B42" s="1" t="n">
        <v>44923</v>
      </c>
      <c r="C42" s="1" t="n">
        <v>45688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2.8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Mindre märgborre</t>
        </is>
      </c>
      <c r="S42">
        <f>HYPERLINK("https://klasma.github.io/Logging_2080/artfynd/A 62396-2022 artfynd.xlsx", "A 62396-2022")</f>
        <v/>
      </c>
      <c r="T42">
        <f>HYPERLINK("https://klasma.github.io/Logging_2080/kartor/A 62396-2022 karta.png", "A 62396-2022")</f>
        <v/>
      </c>
      <c r="V42">
        <f>HYPERLINK("https://klasma.github.io/Logging_2080/klagomål/A 62396-2022 FSC-klagomål.docx", "A 62396-2022")</f>
        <v/>
      </c>
      <c r="W42">
        <f>HYPERLINK("https://klasma.github.io/Logging_2080/klagomålsmail/A 62396-2022 FSC-klagomål mail.docx", "A 62396-2022")</f>
        <v/>
      </c>
      <c r="X42">
        <f>HYPERLINK("https://klasma.github.io/Logging_2080/tillsyn/A 62396-2022 tillsynsbegäran.docx", "A 62396-2022")</f>
        <v/>
      </c>
      <c r="Y42">
        <f>HYPERLINK("https://klasma.github.io/Logging_2080/tillsynsmail/A 62396-2022 tillsynsbegäran mail.docx", "A 62396-2022")</f>
        <v/>
      </c>
      <c r="Z42">
        <f>HYPERLINK("https://klasma.github.io/Logging_2080/fåglar/A 62396-2022 prioriterade fågelarter.docx", "A 62396-2022")</f>
        <v/>
      </c>
    </row>
    <row r="43" ht="15" customHeight="1">
      <c r="A43" t="inlineStr">
        <is>
          <t>A 1462-2023</t>
        </is>
      </c>
      <c r="B43" s="1" t="n">
        <v>44937</v>
      </c>
      <c r="C43" s="1" t="n">
        <v>45688</v>
      </c>
      <c r="D43" t="inlineStr">
        <is>
          <t>DALARNAS LÄN</t>
        </is>
      </c>
      <c r="E43" t="inlineStr">
        <is>
          <t>FALUN</t>
        </is>
      </c>
      <c r="G43" t="n">
        <v>8.199999999999999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Tretåig hackspett</t>
        </is>
      </c>
      <c r="S43">
        <f>HYPERLINK("https://klasma.github.io/Logging_2080/artfynd/A 1462-2023 artfynd.xlsx", "A 1462-2023")</f>
        <v/>
      </c>
      <c r="T43">
        <f>HYPERLINK("https://klasma.github.io/Logging_2080/kartor/A 1462-2023 karta.png", "A 1462-2023")</f>
        <v/>
      </c>
      <c r="V43">
        <f>HYPERLINK("https://klasma.github.io/Logging_2080/klagomål/A 1462-2023 FSC-klagomål.docx", "A 1462-2023")</f>
        <v/>
      </c>
      <c r="W43">
        <f>HYPERLINK("https://klasma.github.io/Logging_2080/klagomålsmail/A 1462-2023 FSC-klagomål mail.docx", "A 1462-2023")</f>
        <v/>
      </c>
      <c r="X43">
        <f>HYPERLINK("https://klasma.github.io/Logging_2080/tillsyn/A 1462-2023 tillsynsbegäran.docx", "A 1462-2023")</f>
        <v/>
      </c>
      <c r="Y43">
        <f>HYPERLINK("https://klasma.github.io/Logging_2080/tillsynsmail/A 1462-2023 tillsynsbegäran mail.docx", "A 1462-2023")</f>
        <v/>
      </c>
      <c r="Z43">
        <f>HYPERLINK("https://klasma.github.io/Logging_2080/fåglar/A 1462-2023 prioriterade fågelarter.docx", "A 1462-2023")</f>
        <v/>
      </c>
    </row>
    <row r="44" ht="15" customHeight="1">
      <c r="A44" t="inlineStr">
        <is>
          <t>A 2556-2023</t>
        </is>
      </c>
      <c r="B44" s="1" t="n">
        <v>44943</v>
      </c>
      <c r="C44" s="1" t="n">
        <v>45688</v>
      </c>
      <c r="D44" t="inlineStr">
        <is>
          <t>DALARNAS LÄN</t>
        </is>
      </c>
      <c r="E44" t="inlineStr">
        <is>
          <t>FALUN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Trolldruvemätare
Svart trolldruva</t>
        </is>
      </c>
      <c r="S44">
        <f>HYPERLINK("https://klasma.github.io/Logging_2080/artfynd/A 2556-2023 artfynd.xlsx", "A 2556-2023")</f>
        <v/>
      </c>
      <c r="T44">
        <f>HYPERLINK("https://klasma.github.io/Logging_2080/kartor/A 2556-2023 karta.png", "A 2556-2023")</f>
        <v/>
      </c>
      <c r="V44">
        <f>HYPERLINK("https://klasma.github.io/Logging_2080/klagomål/A 2556-2023 FSC-klagomål.docx", "A 2556-2023")</f>
        <v/>
      </c>
      <c r="W44">
        <f>HYPERLINK("https://klasma.github.io/Logging_2080/klagomålsmail/A 2556-2023 FSC-klagomål mail.docx", "A 2556-2023")</f>
        <v/>
      </c>
      <c r="X44">
        <f>HYPERLINK("https://klasma.github.io/Logging_2080/tillsyn/A 2556-2023 tillsynsbegäran.docx", "A 2556-2023")</f>
        <v/>
      </c>
      <c r="Y44">
        <f>HYPERLINK("https://klasma.github.io/Logging_2080/tillsynsmail/A 2556-2023 tillsynsbegäran mail.docx", "A 2556-2023")</f>
        <v/>
      </c>
    </row>
    <row r="45" ht="15" customHeight="1">
      <c r="A45" t="inlineStr">
        <is>
          <t>A 17742-2023</t>
        </is>
      </c>
      <c r="B45" s="1" t="n">
        <v>45037</v>
      </c>
      <c r="C45" s="1" t="n">
        <v>45688</v>
      </c>
      <c r="D45" t="inlineStr">
        <is>
          <t>DALARNAS LÄN</t>
        </is>
      </c>
      <c r="E45" t="inlineStr">
        <is>
          <t>FALUN</t>
        </is>
      </c>
      <c r="G45" t="n">
        <v>2.4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Dropptaggsvamp
Nästlav</t>
        </is>
      </c>
      <c r="S45">
        <f>HYPERLINK("https://klasma.github.io/Logging_2080/artfynd/A 17742-2023 artfynd.xlsx", "A 17742-2023")</f>
        <v/>
      </c>
      <c r="T45">
        <f>HYPERLINK("https://klasma.github.io/Logging_2080/kartor/A 17742-2023 karta.png", "A 17742-2023")</f>
        <v/>
      </c>
      <c r="V45">
        <f>HYPERLINK("https://klasma.github.io/Logging_2080/klagomål/A 17742-2023 FSC-klagomål.docx", "A 17742-2023")</f>
        <v/>
      </c>
      <c r="W45">
        <f>HYPERLINK("https://klasma.github.io/Logging_2080/klagomålsmail/A 17742-2023 FSC-klagomål mail.docx", "A 17742-2023")</f>
        <v/>
      </c>
      <c r="X45">
        <f>HYPERLINK("https://klasma.github.io/Logging_2080/tillsyn/A 17742-2023 tillsynsbegäran.docx", "A 17742-2023")</f>
        <v/>
      </c>
      <c r="Y45">
        <f>HYPERLINK("https://klasma.github.io/Logging_2080/tillsynsmail/A 17742-2023 tillsynsbegäran mail.docx", "A 17742-2023")</f>
        <v/>
      </c>
    </row>
    <row r="46" ht="15" customHeight="1">
      <c r="A46" t="inlineStr">
        <is>
          <t>A 18714-2023</t>
        </is>
      </c>
      <c r="B46" s="1" t="n">
        <v>45043</v>
      </c>
      <c r="C46" s="1" t="n">
        <v>45688</v>
      </c>
      <c r="D46" t="inlineStr">
        <is>
          <t>DALARNAS LÄN</t>
        </is>
      </c>
      <c r="E46" t="inlineStr">
        <is>
          <t>FALUN</t>
        </is>
      </c>
      <c r="G46" t="n">
        <v>1.8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Gammelgransskål
Bronshjon</t>
        </is>
      </c>
      <c r="S46">
        <f>HYPERLINK("https://klasma.github.io/Logging_2080/artfynd/A 18714-2023 artfynd.xlsx", "A 18714-2023")</f>
        <v/>
      </c>
      <c r="T46">
        <f>HYPERLINK("https://klasma.github.io/Logging_2080/kartor/A 18714-2023 karta.png", "A 18714-2023")</f>
        <v/>
      </c>
      <c r="V46">
        <f>HYPERLINK("https://klasma.github.io/Logging_2080/klagomål/A 18714-2023 FSC-klagomål.docx", "A 18714-2023")</f>
        <v/>
      </c>
      <c r="W46">
        <f>HYPERLINK("https://klasma.github.io/Logging_2080/klagomålsmail/A 18714-2023 FSC-klagomål mail.docx", "A 18714-2023")</f>
        <v/>
      </c>
      <c r="X46">
        <f>HYPERLINK("https://klasma.github.io/Logging_2080/tillsyn/A 18714-2023 tillsynsbegäran.docx", "A 18714-2023")</f>
        <v/>
      </c>
      <c r="Y46">
        <f>HYPERLINK("https://klasma.github.io/Logging_2080/tillsynsmail/A 18714-2023 tillsynsbegäran mail.docx", "A 18714-2023")</f>
        <v/>
      </c>
    </row>
    <row r="47" ht="15" customHeight="1">
      <c r="A47" t="inlineStr">
        <is>
          <t>A 14878-2024</t>
        </is>
      </c>
      <c r="B47" s="1" t="n">
        <v>45398</v>
      </c>
      <c r="C47" s="1" t="n">
        <v>45688</v>
      </c>
      <c r="D47" t="inlineStr">
        <is>
          <t>DALARNAS LÄN</t>
        </is>
      </c>
      <c r="E47" t="inlineStr">
        <is>
          <t>FALUN</t>
        </is>
      </c>
      <c r="G47" t="n">
        <v>1.2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Garnlav</t>
        </is>
      </c>
      <c r="S47">
        <f>HYPERLINK("https://klasma.github.io/Logging_2080/artfynd/A 14878-2024 artfynd.xlsx", "A 14878-2024")</f>
        <v/>
      </c>
      <c r="T47">
        <f>HYPERLINK("https://klasma.github.io/Logging_2080/kartor/A 14878-2024 karta.png", "A 14878-2024")</f>
        <v/>
      </c>
      <c r="U47">
        <f>HYPERLINK("https://klasma.github.io/Logging_2080/knärot/A 14878-2024 karta knärot.png", "A 14878-2024")</f>
        <v/>
      </c>
      <c r="V47">
        <f>HYPERLINK("https://klasma.github.io/Logging_2080/klagomål/A 14878-2024 FSC-klagomål.docx", "A 14878-2024")</f>
        <v/>
      </c>
      <c r="W47">
        <f>HYPERLINK("https://klasma.github.io/Logging_2080/klagomålsmail/A 14878-2024 FSC-klagomål mail.docx", "A 14878-2024")</f>
        <v/>
      </c>
      <c r="X47">
        <f>HYPERLINK("https://klasma.github.io/Logging_2080/tillsyn/A 14878-2024 tillsynsbegäran.docx", "A 14878-2024")</f>
        <v/>
      </c>
      <c r="Y47">
        <f>HYPERLINK("https://klasma.github.io/Logging_2080/tillsynsmail/A 14878-2024 tillsynsbegäran mail.docx", "A 14878-2024")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45688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45688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45688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45688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45688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45688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45688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45688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45688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45688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45688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45688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45688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45688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45688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45688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45688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45688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45688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45688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45688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45688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45688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45688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45688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45688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45688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45688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45688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45688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45688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45688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45688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45688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45688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45688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45688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45688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45688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45688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45688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45688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45688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45688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45688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45688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45688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45688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45688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45688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45688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45688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45688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45688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45688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45688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45688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45688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45688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45688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45688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45688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45688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45688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45688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45688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45688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45688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45688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45688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45688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45688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45688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45688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45688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45688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45688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45688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45688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45688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45688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45688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45688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45688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45688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45688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45688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45688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45688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45688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45688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45688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45688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45688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45688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45688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45688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45688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45688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45688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45688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45688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45688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45688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45688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45688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45688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45688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45688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45688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45688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45688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45688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45688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45688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45688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45688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45688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45688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45688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45688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45688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45688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45688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45688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45688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45688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45688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45688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45688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45688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45688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45688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45688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45688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45688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45688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45688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45688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45688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45688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45688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45688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45688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45688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45688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45688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45688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45688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45688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45688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45688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45688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45688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45688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45688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45688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45688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45688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45688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45688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45688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45688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45688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45688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45688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45688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45688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45688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45688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45688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45688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45688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45688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45688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45688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45688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45688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45688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45688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45688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45688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45688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45688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45688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45688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45688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45688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45688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45688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45688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45688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45688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45688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45688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45688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45688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45688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45688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45688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45688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45688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45688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45688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45688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45688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45688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45688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45688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45688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45688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45688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45688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45688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45688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45688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45688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45688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45688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45688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45688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45688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45688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45688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45688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45688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45688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45688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45688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45688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45688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45688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45688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45688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45688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45688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45688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45688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45688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45688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45688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45688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45688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45688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45688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45688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45688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45688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45688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45688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45688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45688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45688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45688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45688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45688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45688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45688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45688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45688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45688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45688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45688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45688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45688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45688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45688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45688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45688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45688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45688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45688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45688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45688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45688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45688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45688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45688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45688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45688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45688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45688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45688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45688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45688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45688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45688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45688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45688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45688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45688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45688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45688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45688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45688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45688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45688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45688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45688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45688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45688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45688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45688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45688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45688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45688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45688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45688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45688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45688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45688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45688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45688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45688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45688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45688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45688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45688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45688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45688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45688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45688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45688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45688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45688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45688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45688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45688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45688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45688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45688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45688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45688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45688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45688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45688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45688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45688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45688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45688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45688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45688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45688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45688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45688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45688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45688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45688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45688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45688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45688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45688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45688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45688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45688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45688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45688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45688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45688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45688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45688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45688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45688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45688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45688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45688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45688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45688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45688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45688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45688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45688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45688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45688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45688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45688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45688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45688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45688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45688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45688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45688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45688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45688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45688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45688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45688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45688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45688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45688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45688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45688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45688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45688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45688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45688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45688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45688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45688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45688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45688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45688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45688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45688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45688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45688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45688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45688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45688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45688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45688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45688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45688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45688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45688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45688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45688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45688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45688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45688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45688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45688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45688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45688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45688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45688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45688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45688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45688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45688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45688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45688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45688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45688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45688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45688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45688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45688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45688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45688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45688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45688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45688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45688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45688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45688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45688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45688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45688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45688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45688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45688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45688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45688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45688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45688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45688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45688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45688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45688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45688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45688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45688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45688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45688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45688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45688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45688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45688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45688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45688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45688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45688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45688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45688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45688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45688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45688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45688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45688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45688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45688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45688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45688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45688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45688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45688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45688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45688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45688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45688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45688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45688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45688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45688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45688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45688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45688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45688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45688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45688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45688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45688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45688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45688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45688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45688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45688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45688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45688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45688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45688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45688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45688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45688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45688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45688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45688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45688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45688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45688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45688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45688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45688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45688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45688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45688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45688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45688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45688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45688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45688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45688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45688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45688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45688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45688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45688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45688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45688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45688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45688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45688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45688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45688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45688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45688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45688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45688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45688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45688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45688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45688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45688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45688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45688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45688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45688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45688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45688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45688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45688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45688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45688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45688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45688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45688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45688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45688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45688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45688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45688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45688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45688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45688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45688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45688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45688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45688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45688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45688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45688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45688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45688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45688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45688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45688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45688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45688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45688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45688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45688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45688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45688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45688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45688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45688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45688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45688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45688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45688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45688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45688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45688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45688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45688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45688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45688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45688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45688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45688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45688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45688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45688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45688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45688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45688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45688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45688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45688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45688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45688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45688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45688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45688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45688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45688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45688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45688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45688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45688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45688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45688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45688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45688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45688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45688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45688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45688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45688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45688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45688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45688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45688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45688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45688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45688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45688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45688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45688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45688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45688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45688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45688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45688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45688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45688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45688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45688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45688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45688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45688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45688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45688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45688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45688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45688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45688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45688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45688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45688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45688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45688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45688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45688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45688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45688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45688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45688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45688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45688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45688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45688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45688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45688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45688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45688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45688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45688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45688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45688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45688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45688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45688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45688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45688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45688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45688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45688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45688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45688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45688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45688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45688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45688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45688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45688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45688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45688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45688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45688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45688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45688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45688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45688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45688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45688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45688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45688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45688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45688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45688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45688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45688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45688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45688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45688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45688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45688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45688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45688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45688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45688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45688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45688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45688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45688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45688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45688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45688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45688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45688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45688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45688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45688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45688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45688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45688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45688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45688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45688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45688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45688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45688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45688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45688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45688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45688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45688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45688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45688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45688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45688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45688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45688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45688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45688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45688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45688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45688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45688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45688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45688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45688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45688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45688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45688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45688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45688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45688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45688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45688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45688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45688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45688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45688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45688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45688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45688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45688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45688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45688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45688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45688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45688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45688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45688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45688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45688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45688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45688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45688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45688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45688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45688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45688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45688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45688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45688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45688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45688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45688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45688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45688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45688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45688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45688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45688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45688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45688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45688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45688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45688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45688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45688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45688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45688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45688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45688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45688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45688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45688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45688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45688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45688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45688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45688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45688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45688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45688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45688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45688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45688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45688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45688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45688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45688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45688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45688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45688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45688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45688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45688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45688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45688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45688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45688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45688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45688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45688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45688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45688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45688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45688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45688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45688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45688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45688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45688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45688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45688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45688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45688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45688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45688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45688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45688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45688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45688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45688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45688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45688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45688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45688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45688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45688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45688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45688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45688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45688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45688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45688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45688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45688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45688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45688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45688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45688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45688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45688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45688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45688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45688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45688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45688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45688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45688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45688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45688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45688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45688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45688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45688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45688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45688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45688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45688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45688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45688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45688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45688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45688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45688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45688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45688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45688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45688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45688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45688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45688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45688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45688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45688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45688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45688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45688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45688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45688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45688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45688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45688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45688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45688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45688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45688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45688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45688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45688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45688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45688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45688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45688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45688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45688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45688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45688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45688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45688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45688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45688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45688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45688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45688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45688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45688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45688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45688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45688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45688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45688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45688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45688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45688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45688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45688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45688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45688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45688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45688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45688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45688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45688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45688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45688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45688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45688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45688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45688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45688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45688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45688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45688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45688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45688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45688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45688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45688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45688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45688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45688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45688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45688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45688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45688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45688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45688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45688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45688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45688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45688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45688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45688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45688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45688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45688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45688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45688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45688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45688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45688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45688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45688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45688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45688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45688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45688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45688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45688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45688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45688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45688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45688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45688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45688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45688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45688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45688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45688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45688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45688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45688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45688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45688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45688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45688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45688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45688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45688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45688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45688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45688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45688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45688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45688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45688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45688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45688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45688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45688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45688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45688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45688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45688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45688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45688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45688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45688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45688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45688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45688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45688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45688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45688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45688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45688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45688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45688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45688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45688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45688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45688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45688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45688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45688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45688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45688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45688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45688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45688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45688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45688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45688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45688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45688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45688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45688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45688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45688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45688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45688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45688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45688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45688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45688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45688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45688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45688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45688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45688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45688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45688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45688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45688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45688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45688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45688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45688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45688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45688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45688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45688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45688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45688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45688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45688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45688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45688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45688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45688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45688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45688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45688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45688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45688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45688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45688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45688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45688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45688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45688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45688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45688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45688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45688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45688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45688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45688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45688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45688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45688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45688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45688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45688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45688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45688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45688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45688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45688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45688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45688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45688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45688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45688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45688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45688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45688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45688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45688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45688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45688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45688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45688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45688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45688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45688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45688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45688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45688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45688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45688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45688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45688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45688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45688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45688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45688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45688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45688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45688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45688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45688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45688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45688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45688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45688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45688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45688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45688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45688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45688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45688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45688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45688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45688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45688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45688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45688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45688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45688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45688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45688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45688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45688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45688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45688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45688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45688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45688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45688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45688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45688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45688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45688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45688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45688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45688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45688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45688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45688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45688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45688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45688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45688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45688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45688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45688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45688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45688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45688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45688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45688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45688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45688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45688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45688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45688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45688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45688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45688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45688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45688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45688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45688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45688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45688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45688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45688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45688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45688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45688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45688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45688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45688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45688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45688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45688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45688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45688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45688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45688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45688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45688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45688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45688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45688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45688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45688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45688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45688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45688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45688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45688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45688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45688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45688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45688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45688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45688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45688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45688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45688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45688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45688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45688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45688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45688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45688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45688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45688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45688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45688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45688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45688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45688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45688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45688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45688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45688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45688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45688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45688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45688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45688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45688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45688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45688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45688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45688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45688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45688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45688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45688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45688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45688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45688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45688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45688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45688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45688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45688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45688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45688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45688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45688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45688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45688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45688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45688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45688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45688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45688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45688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45688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45688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45688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45688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45688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45688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45688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45688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45688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45688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45688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45688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45688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45688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45688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45688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45688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45688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45688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45688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45688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45688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45688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45688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45688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45688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45688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45688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45688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45688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45688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45688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45688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45688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45688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45688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45688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45688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45688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45688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45688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45688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45688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45688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45688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45688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45688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45688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45688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45688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45688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45688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45688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45688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45688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45688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45688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45688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45688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45688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45688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45688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45688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45688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45688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45688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45688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45688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45688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45688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45688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45688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45688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45688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45688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45688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45688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45688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45688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45688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45688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45688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45688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45688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45688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45688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45688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45688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45688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45688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45688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45688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45688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45688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45688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45688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45688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1035-2025</t>
        </is>
      </c>
      <c r="B1487" s="1" t="n">
        <v>45666</v>
      </c>
      <c r="C1487" s="1" t="n">
        <v>45688</v>
      </c>
      <c r="D1487" t="inlineStr">
        <is>
          <t>DALARNAS LÄN</t>
        </is>
      </c>
      <c r="E1487" t="inlineStr">
        <is>
          <t>FALUN</t>
        </is>
      </c>
      <c r="G1487" t="n">
        <v>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1085-2025</t>
        </is>
      </c>
      <c r="B1488" s="1" t="n">
        <v>45666</v>
      </c>
      <c r="C1488" s="1" t="n">
        <v>45688</v>
      </c>
      <c r="D1488" t="inlineStr">
        <is>
          <t>DALARNAS LÄN</t>
        </is>
      </c>
      <c r="E1488" t="inlineStr">
        <is>
          <t>FALUN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1307-2025</t>
        </is>
      </c>
      <c r="B1489" s="1" t="n">
        <v>45667</v>
      </c>
      <c r="C1489" s="1" t="n">
        <v>45688</v>
      </c>
      <c r="D1489" t="inlineStr">
        <is>
          <t>DALARNAS LÄN</t>
        </is>
      </c>
      <c r="E1489" t="inlineStr">
        <is>
          <t>FALUN</t>
        </is>
      </c>
      <c r="G1489" t="n">
        <v>2.5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1302-2025</t>
        </is>
      </c>
      <c r="B1490" s="1" t="n">
        <v>45667</v>
      </c>
      <c r="C1490" s="1" t="n">
        <v>45688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45688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1699-2025</t>
        </is>
      </c>
      <c r="B1492" s="1" t="n">
        <v>45670</v>
      </c>
      <c r="C1492" s="1" t="n">
        <v>45688</v>
      </c>
      <c r="D1492" t="inlineStr">
        <is>
          <t>DALARNAS LÄN</t>
        </is>
      </c>
      <c r="E1492" t="inlineStr">
        <is>
          <t>FALUN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1591-2025</t>
        </is>
      </c>
      <c r="B1493" s="1" t="n">
        <v>45670</v>
      </c>
      <c r="C1493" s="1" t="n">
        <v>45688</v>
      </c>
      <c r="D1493" t="inlineStr">
        <is>
          <t>DALARNAS LÄN</t>
        </is>
      </c>
      <c r="E1493" t="inlineStr">
        <is>
          <t>FALUN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45688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1839-2025</t>
        </is>
      </c>
      <c r="B1495" s="1" t="n">
        <v>45671</v>
      </c>
      <c r="C1495" s="1" t="n">
        <v>45688</v>
      </c>
      <c r="D1495" t="inlineStr">
        <is>
          <t>DALARNAS LÄN</t>
        </is>
      </c>
      <c r="E1495" t="inlineStr">
        <is>
          <t>FALUN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2055-2025</t>
        </is>
      </c>
      <c r="B1496" s="1" t="n">
        <v>45671</v>
      </c>
      <c r="C1496" s="1" t="n">
        <v>45688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2380-2025</t>
        </is>
      </c>
      <c r="B1497" s="1" t="n">
        <v>45674</v>
      </c>
      <c r="C1497" s="1" t="n">
        <v>45688</v>
      </c>
      <c r="D1497" t="inlineStr">
        <is>
          <t>DALARNAS LÄN</t>
        </is>
      </c>
      <c r="E1497" t="inlineStr">
        <is>
          <t>FALUN</t>
        </is>
      </c>
      <c r="G1497" t="n">
        <v>8.4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2344-2025</t>
        </is>
      </c>
      <c r="B1498" s="1" t="n">
        <v>45673</v>
      </c>
      <c r="C1498" s="1" t="n">
        <v>45688</v>
      </c>
      <c r="D1498" t="inlineStr">
        <is>
          <t>DALARNAS LÄN</t>
        </is>
      </c>
      <c r="E1498" t="inlineStr">
        <is>
          <t>FALUN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45688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2554-2025</t>
        </is>
      </c>
      <c r="B1500" s="1" t="n">
        <v>45674</v>
      </c>
      <c r="C1500" s="1" t="n">
        <v>45688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2572-2025</t>
        </is>
      </c>
      <c r="B1501" s="1" t="n">
        <v>45674</v>
      </c>
      <c r="C1501" s="1" t="n">
        <v>45688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45688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45688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2941-2025</t>
        </is>
      </c>
      <c r="B1504" s="1" t="n">
        <v>45678</v>
      </c>
      <c r="C1504" s="1" t="n">
        <v>45688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2991-2025</t>
        </is>
      </c>
      <c r="B1505" s="1" t="n">
        <v>45678</v>
      </c>
      <c r="C1505" s="1" t="n">
        <v>45688</v>
      </c>
      <c r="D1505" t="inlineStr">
        <is>
          <t>DALARNAS LÄN</t>
        </is>
      </c>
      <c r="E1505" t="inlineStr">
        <is>
          <t>FALUN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2943-2025</t>
        </is>
      </c>
      <c r="B1506" s="1" t="n">
        <v>45678</v>
      </c>
      <c r="C1506" s="1" t="n">
        <v>45688</v>
      </c>
      <c r="D1506" t="inlineStr">
        <is>
          <t>DALARNAS LÄN</t>
        </is>
      </c>
      <c r="E1506" t="inlineStr">
        <is>
          <t>FALUN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2993-2025</t>
        </is>
      </c>
      <c r="B1507" s="1" t="n">
        <v>45678</v>
      </c>
      <c r="C1507" s="1" t="n">
        <v>45688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4294-2025</t>
        </is>
      </c>
      <c r="B1508" s="1" t="n">
        <v>45685</v>
      </c>
      <c r="C1508" s="1" t="n">
        <v>45688</v>
      </c>
      <c r="D1508" t="inlineStr">
        <is>
          <t>DALARNAS LÄN</t>
        </is>
      </c>
      <c r="E1508" t="inlineStr">
        <is>
          <t>FALUN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>
      <c r="A1509" t="inlineStr">
        <is>
          <t>A 4533-2025</t>
        </is>
      </c>
      <c r="B1509" s="1" t="n">
        <v>45687</v>
      </c>
      <c r="C1509" s="1" t="n">
        <v>45688</v>
      </c>
      <c r="D1509" t="inlineStr">
        <is>
          <t>DALARNAS LÄN</t>
        </is>
      </c>
      <c r="E1509" t="inlineStr">
        <is>
          <t>FALUN</t>
        </is>
      </c>
      <c r="F1509" t="inlineStr">
        <is>
          <t>Bergvik skog väst AB</t>
        </is>
      </c>
      <c r="G1509" t="n">
        <v>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2025-01-31T21:57:21Z</dcterms:created>
  <dcterms:modified xmlns:dcterms="http://purl.org/dc/terms/" xmlns:xsi="http://www.w3.org/2001/XMLSchema-instance" xsi:type="dcterms:W3CDTF">2025-01-31T21:57:22Z</dcterms:modified>
</cp:coreProperties>
</file>