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46276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46276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46276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46276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46276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46276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46276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46276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46276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46276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46276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46276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180-2026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46025</v>
      </c>
      <c r="E19" s="1" t="n">
        <v>46276</v>
      </c>
      <c r="F19" t="inlineStr">
        <is>
          <t>DALARNAS LÄN</t>
        </is>
      </c>
      <c r="G19" t="inlineStr">
        <is>
          <t>FALUN</t>
        </is>
      </c>
      <c r="I19" t="n">
        <v>6.9</v>
      </c>
      <c r="J19" t="n">
        <v>3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7</v>
      </c>
      <c r="U19" t="n">
        <v>7</v>
      </c>
      <c r="V19" s="2" t="inlineStr">
        <is>
          <t>Garnlav
Dropptaggsvamp
Talltita
Mindre märgborre
Spillkråka
Tofsmes</t>
        </is>
      </c>
      <c r="W19">
        <f>HYPERLINK("https://klasma.github.io/Logging_2080/artfynd/A 180-2026 artfynd.xlsx", "A 180-2026")</f>
        <v/>
      </c>
      <c r="X19">
        <f>HYPERLINK("https://klasma.github.io/Logging_2080/kartor/A 180-2026 karta.png", "A 180-2026")</f>
        <v/>
      </c>
      <c r="Y19">
        <f>HYPERLINK("https://klasma.github.io/Logging_2080/kartor_geotiff/A 180-2026 georefererad karta.tif", "A 180-2026")</f>
        <v/>
      </c>
      <c r="AA19">
        <f>HYPERLINK("https://klasma.github.io/Logging_2080/klagomål/A 180-2026 FSC-klagomål.docx", "A 180-2026")</f>
        <v/>
      </c>
      <c r="AB19">
        <f>HYPERLINK("https://klasma.github.io/Logging_2080/klagomålsmail/A 180-2026 FSC-klagomål mail.docx", "A 180-2026")</f>
        <v/>
      </c>
      <c r="AC19">
        <f>HYPERLINK("https://klasma.github.io/Logging_2080/tillsyn/A 180-2026 tillsynsbegäran.docx", "A 180-2026")</f>
        <v/>
      </c>
      <c r="AD19">
        <f>HYPERLINK("https://klasma.github.io/Logging_2080/tillsynsmail/A 180-2026 tillsynsbegäran mail.docx", "A 180-2026")</f>
        <v/>
      </c>
      <c r="AE19">
        <f>HYPERLINK("https://klasma.github.io/Logging_2080/fåglar/A 180-2026 prioriterade fågelarter.docx", "A 180-2026")</f>
        <v/>
      </c>
    </row>
    <row r="20" ht="15" customHeight="1">
      <c r="A20" t="inlineStr">
        <is>
          <t>A 1364-2026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46276</v>
      </c>
      <c r="F20" t="inlineStr">
        <is>
          <t>DALARNAS LÄN</t>
        </is>
      </c>
      <c r="G20" t="inlineStr">
        <is>
          <t>FALUN</t>
        </is>
      </c>
      <c r="I20" t="n">
        <v>10.2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10</v>
      </c>
      <c r="U20" t="n">
        <v>10</v>
      </c>
      <c r="V20" s="2" t="inlineStr">
        <is>
          <t>Stjärntagging
Tretåig hackspett
Nästlav
Linnea
Spillkråka
Grönsiska</t>
        </is>
      </c>
      <c r="W20">
        <f>HYPERLINK("https://klasma.github.io/Logging_2080/artfynd/A 1364-2026 artfynd.xlsx", "A 1364-2026")</f>
        <v/>
      </c>
      <c r="X20">
        <f>HYPERLINK("https://klasma.github.io/Logging_2080/kartor/A 1364-2026 karta.png", "A 1364-2026")</f>
        <v/>
      </c>
      <c r="Y20">
        <f>HYPERLINK("https://klasma.github.io/Logging_2080/kartor_geotiff/A 1364-2026 georefererad karta.tif", "A 1364-2026")</f>
        <v/>
      </c>
      <c r="AA20">
        <f>HYPERLINK("https://klasma.github.io/Logging_2080/klagomål/A 1364-2026 FSC-klagomål.docx", "A 1364-2026")</f>
        <v/>
      </c>
      <c r="AB20">
        <f>HYPERLINK("https://klasma.github.io/Logging_2080/klagomålsmail/A 1364-2026 FSC-klagomål mail.docx", "A 1364-2026")</f>
        <v/>
      </c>
      <c r="AC20">
        <f>HYPERLINK("https://klasma.github.io/Logging_2080/tillsyn/A 1364-2026 tillsynsbegäran.docx", "A 1364-2026")</f>
        <v/>
      </c>
      <c r="AD20">
        <f>HYPERLINK("https://klasma.github.io/Logging_2080/tillsynsmail/A 1364-2026 tillsynsbegäran mail.docx", "A 1364-2026")</f>
        <v/>
      </c>
      <c r="AE20">
        <f>HYPERLINK("https://klasma.github.io/Logging_2080/fåglar/A 1364-2026 prioriterade fågelarter.docx", "A 1364-2026")</f>
        <v/>
      </c>
    </row>
    <row r="21" ht="15" customHeight="1">
      <c r="A21" t="inlineStr">
        <is>
          <t>A 3383-2026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46276</v>
      </c>
      <c r="F21" t="inlineStr">
        <is>
          <t>DALARNAS LÄN</t>
        </is>
      </c>
      <c r="G21" t="inlineStr">
        <is>
          <t>FALUN</t>
        </is>
      </c>
      <c r="I21" t="n">
        <v>15.7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8</v>
      </c>
      <c r="U21" t="n">
        <v>0</v>
      </c>
      <c r="V21" s="2" t="inlineStr">
        <is>
          <t>Dropptaggsvamp
Talltita
Bollvitmossa
Mindre märgborre
Spillkråka
Kungsfågel</t>
        </is>
      </c>
      <c r="W21">
        <f>HYPERLINK("https://klasma.github.io/Logging_2080/artfynd/A 3383-2026 artfynd.xlsx", "A 3383-2026")</f>
        <v/>
      </c>
      <c r="X21">
        <f>HYPERLINK("https://klasma.github.io/Logging_2080/kartor/A 3383-2026 karta.png", "A 3383-2026")</f>
        <v/>
      </c>
      <c r="Y21">
        <f>HYPERLINK("https://klasma.github.io/Logging_2080/kartor_geotiff/A 3383-2026 georefererad karta.tif", "A 3383-2026")</f>
        <v/>
      </c>
      <c r="AA21">
        <f>HYPERLINK("https://klasma.github.io/Logging_2080/klagomål/A 3383-2026 FSC-klagomål.docx", "A 3383-2026")</f>
        <v/>
      </c>
      <c r="AB21">
        <f>HYPERLINK("https://klasma.github.io/Logging_2080/klagomålsmail/A 3383-2026 FSC-klagomål mail.docx", "A 3383-2026")</f>
        <v/>
      </c>
      <c r="AC21">
        <f>HYPERLINK("https://klasma.github.io/Logging_2080/tillsyn/A 3383-2026 tillsynsbegäran.docx", "A 3383-2026")</f>
        <v/>
      </c>
      <c r="AD21">
        <f>HYPERLINK("https://klasma.github.io/Logging_2080/tillsynsmail/A 3383-2026 tillsynsbegäran mail.docx", "A 3383-2026")</f>
        <v/>
      </c>
      <c r="AE21">
        <f>HYPERLINK("https://klasma.github.io/Logging_2080/fåglar/A 3383-2026 prioriterade fågelarter.docx", "A 3383-2026")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46276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23023-2026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46161</v>
      </c>
      <c r="E23" s="1" t="n">
        <v>46276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13.6</v>
      </c>
      <c r="J23" t="n">
        <v>2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Motaggsvamp
Mörk kolflarnlav
Vedskivlav
Fläcknycklar
Revlummer</t>
        </is>
      </c>
      <c r="W23">
        <f>HYPERLINK("https://klasma.github.io/Logging_2080/artfynd/A 23023-2026 artfynd.xlsx", "A 23023-2026")</f>
        <v/>
      </c>
      <c r="X23">
        <f>HYPERLINK("https://klasma.github.io/Logging_2080/kartor/A 23023-2026 karta.png", "A 23023-2026")</f>
        <v/>
      </c>
      <c r="Y23">
        <f>HYPERLINK("https://klasma.github.io/Logging_2080/kartor_geotiff/A 23023-2026 georefererad karta.tif", "A 23023-2026")</f>
        <v/>
      </c>
      <c r="AA23">
        <f>HYPERLINK("https://klasma.github.io/Logging_2080/klagomål/A 23023-2026 FSC-klagomål.docx", "A 23023-2026")</f>
        <v/>
      </c>
      <c r="AB23">
        <f>HYPERLINK("https://klasma.github.io/Logging_2080/klagomålsmail/A 23023-2026 FSC-klagomål mail.docx", "A 23023-2026")</f>
        <v/>
      </c>
      <c r="AC23">
        <f>HYPERLINK("https://klasma.github.io/Logging_2080/tillsyn/A 23023-2026 tillsynsbegäran.docx", "A 23023-2026")</f>
        <v/>
      </c>
      <c r="AD23">
        <f>HYPERLINK("https://klasma.github.io/Logging_2080/tillsynsmail/A 23023-2026 tillsynsbegäran mail.docx", "A 23023-2026")</f>
        <v/>
      </c>
    </row>
    <row r="24" ht="15" customHeight="1">
      <c r="A24" t="inlineStr">
        <is>
          <t>A 61535-2022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46276</v>
      </c>
      <c r="F24" t="inlineStr">
        <is>
          <t>DALARNAS LÄN</t>
        </is>
      </c>
      <c r="G24" t="inlineStr">
        <is>
          <t>FALUN</t>
        </is>
      </c>
      <c r="I24" t="n">
        <v>13.1</v>
      </c>
      <c r="J24" t="n">
        <v>4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Knärot
Rosenticka
Sparvuggla
Talltita
Tibast
Spillkråka</t>
        </is>
      </c>
      <c r="W24">
        <f>HYPERLINK("https://klasma.github.io/Logging_2080/artfynd/A 61535-2022 artfynd.xlsx", "A 61535-2022")</f>
        <v/>
      </c>
      <c r="X24">
        <f>HYPERLINK("https://klasma.github.io/Logging_2080/kartor/A 61535-2022 karta.png", "A 61535-2022")</f>
        <v/>
      </c>
      <c r="Y24">
        <f>HYPERLINK("https://klasma.github.io/Logging_2080/kartor_geotiff/A 61535-2022 georefererad karta.tif", "A 61535-2022")</f>
        <v/>
      </c>
      <c r="Z24">
        <f>HYPERLINK("https://klasma.github.io/Logging_2080/knärot/A 61535-2022 karta knärot.png", "A 61535-2022")</f>
        <v/>
      </c>
      <c r="AA24">
        <f>HYPERLINK("https://klasma.github.io/Logging_2080/klagomål/A 61535-2022 FSC-klagomål.docx", "A 61535-2022")</f>
        <v/>
      </c>
      <c r="AB24">
        <f>HYPERLINK("https://klasma.github.io/Logging_2080/klagomålsmail/A 61535-2022 FSC-klagomål mail.docx", "A 61535-2022")</f>
        <v/>
      </c>
      <c r="AC24">
        <f>HYPERLINK("https://klasma.github.io/Logging_2080/tillsyn/A 61535-2022 tillsynsbegäran.docx", "A 61535-2022")</f>
        <v/>
      </c>
      <c r="AD24">
        <f>HYPERLINK("https://klasma.github.io/Logging_2080/tillsynsmail/A 61535-2022 tillsynsbegäran mail.docx", "A 61535-2022")</f>
        <v/>
      </c>
      <c r="AE24">
        <f>HYPERLINK("https://klasma.github.io/Logging_2080/fåglar/A 61535-2022 prioriterade fågelarter.docx", "A 61535-2022")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46276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46276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46276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46276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46276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46276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8756-2024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46276</v>
      </c>
      <c r="F31" t="inlineStr">
        <is>
          <t>DALARNAS LÄN</t>
        </is>
      </c>
      <c r="G31" t="inlineStr">
        <is>
          <t>FALUN</t>
        </is>
      </c>
      <c r="I31" t="n">
        <v>4.1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11</v>
      </c>
      <c r="U31" t="n">
        <v>11</v>
      </c>
      <c r="V31" s="2" t="inlineStr">
        <is>
          <t>Mindre märgborre
Blåbär
Linnea
Spillkråka
Kungsfågel</t>
        </is>
      </c>
      <c r="W31">
        <f>HYPERLINK("https://klasma.github.io/Logging_2080/artfynd/A 8756-2024 artfynd.xlsx", "A 8756-2024")</f>
        <v/>
      </c>
      <c r="X31">
        <f>HYPERLINK("https://klasma.github.io/Logging_2080/kartor/A 8756-2024 karta.png", "A 8756-2024")</f>
        <v/>
      </c>
      <c r="Y31">
        <f>HYPERLINK("https://klasma.github.io/Logging_2080/kartor_geotiff/A 8756-2024 georefererad karta.tif", "A 8756-2024")</f>
        <v/>
      </c>
      <c r="AA31">
        <f>HYPERLINK("https://klasma.github.io/Logging_2080/klagomål/A 8756-2024 FSC-klagomål.docx", "A 8756-2024")</f>
        <v/>
      </c>
      <c r="AB31">
        <f>HYPERLINK("https://klasma.github.io/Logging_2080/klagomålsmail/A 8756-2024 FSC-klagomål mail.docx", "A 8756-2024")</f>
        <v/>
      </c>
      <c r="AC31">
        <f>HYPERLINK("https://klasma.github.io/Logging_2080/tillsyn/A 8756-2024 tillsynsbegäran.docx", "A 8756-2024")</f>
        <v/>
      </c>
      <c r="AD31">
        <f>HYPERLINK("https://klasma.github.io/Logging_2080/tillsynsmail/A 8756-2024 tillsynsbegäran mail.docx", "A 8756-2024")</f>
        <v/>
      </c>
      <c r="AE31">
        <f>HYPERLINK("https://klasma.github.io/Logging_2080/fåglar/A 8756-2024 prioriterade fågelarter.docx", "A 8756-2024")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46276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14878-2024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45398</v>
      </c>
      <c r="E33" s="1" t="n">
        <v>46276</v>
      </c>
      <c r="F33" t="inlineStr">
        <is>
          <t>DALARNAS LÄN</t>
        </is>
      </c>
      <c r="G33" t="inlineStr">
        <is>
          <t>FALUN</t>
        </is>
      </c>
      <c r="I33" t="n">
        <v>1.2</v>
      </c>
      <c r="J33" t="n">
        <v>3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10</v>
      </c>
      <c r="U33" t="n">
        <v>10</v>
      </c>
      <c r="V33" s="2" t="inlineStr">
        <is>
          <t>Garnlav
Knärot
Dropptaggsvamp
Spillkråka
Tjäder</t>
        </is>
      </c>
      <c r="W33">
        <f>HYPERLINK("https://klasma.github.io/Logging_2080/artfynd/A 14878-2024 artfynd.xlsx", "A 14878-2024")</f>
        <v/>
      </c>
      <c r="X33">
        <f>HYPERLINK("https://klasma.github.io/Logging_2080/kartor/A 14878-2024 karta.png", "A 14878-2024")</f>
        <v/>
      </c>
      <c r="Y33">
        <f>HYPERLINK("https://klasma.github.io/Logging_2080/kartor_geotiff/A 14878-2024 georefererad karta.tif", "A 14878-2024")</f>
        <v/>
      </c>
      <c r="Z33">
        <f>HYPERLINK("https://klasma.github.io/Logging_2080/knärot/A 14878-2024 karta knärot.png", "A 14878-2024")</f>
        <v/>
      </c>
      <c r="AA33">
        <f>HYPERLINK("https://klasma.github.io/Logging_2080/klagomål/A 14878-2024 FSC-klagomål.docx", "A 14878-2024")</f>
        <v/>
      </c>
      <c r="AB33">
        <f>HYPERLINK("https://klasma.github.io/Logging_2080/klagomålsmail/A 14878-2024 FSC-klagomål mail.docx", "A 14878-2024")</f>
        <v/>
      </c>
      <c r="AC33">
        <f>HYPERLINK("https://klasma.github.io/Logging_2080/tillsyn/A 14878-2024 tillsynsbegäran.docx", "A 14878-2024")</f>
        <v/>
      </c>
      <c r="AD33">
        <f>HYPERLINK("https://klasma.github.io/Logging_2080/tillsynsmail/A 14878-2024 tillsynsbegäran mail.docx", "A 14878-2024")</f>
        <v/>
      </c>
      <c r="AE33">
        <f>HYPERLINK("https://klasma.github.io/Logging_2080/fåglar/A 14878-2024 prioriterade fågelarter.docx", "A 14878-2024")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46276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46276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34506-2024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46276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12.5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Knärot
Dropptaggsvamp
Tallticka
Tretåig hackspett</t>
        </is>
      </c>
      <c r="W38">
        <f>HYPERLINK("https://klasma.github.io/Logging_2080/artfynd/A 34506-2024 artfynd.xlsx", "A 34506-2024")</f>
        <v/>
      </c>
      <c r="X38">
        <f>HYPERLINK("https://klasma.github.io/Logging_2080/kartor/A 34506-2024 karta.png", "A 34506-2024")</f>
        <v/>
      </c>
      <c r="Y38">
        <f>HYPERLINK("https://klasma.github.io/Logging_2080/kartor_geotiff/A 34506-2024 georefererad karta.tif", "A 34506-2024")</f>
        <v/>
      </c>
      <c r="Z38">
        <f>HYPERLINK("https://klasma.github.io/Logging_2080/knärot/A 34506-2024 karta knärot.png", "A 34506-2024")</f>
        <v/>
      </c>
      <c r="AA38">
        <f>HYPERLINK("https://klasma.github.io/Logging_2080/klagomål/A 34506-2024 FSC-klagomål.docx", "A 34506-2024")</f>
        <v/>
      </c>
      <c r="AB38">
        <f>HYPERLINK("https://klasma.github.io/Logging_2080/klagomålsmail/A 34506-2024 FSC-klagomål mail.docx", "A 34506-2024")</f>
        <v/>
      </c>
      <c r="AC38">
        <f>HYPERLINK("https://klasma.github.io/Logging_2080/tillsyn/A 34506-2024 tillsynsbegäran.docx", "A 34506-2024")</f>
        <v/>
      </c>
      <c r="AD38">
        <f>HYPERLINK("https://klasma.github.io/Logging_2080/tillsynsmail/A 34506-2024 tillsynsbegäran mail.docx", "A 34506-2024")</f>
        <v/>
      </c>
      <c r="AE38">
        <f>HYPERLINK("https://klasma.github.io/Logging_2080/fåglar/A 34506-2024 prioriterade fågelarter.docx", "A 34506-2024")</f>
        <v/>
      </c>
    </row>
    <row r="39" ht="15" customHeight="1">
      <c r="A39" t="inlineStr">
        <is>
          <t>A 28119-2025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46276</v>
      </c>
      <c r="F39" t="inlineStr">
        <is>
          <t>DALARNAS LÄN</t>
        </is>
      </c>
      <c r="G39" t="inlineStr">
        <is>
          <t>FALUN</t>
        </is>
      </c>
      <c r="I39" t="n">
        <v>7.4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Tallticka
Bred kärrtrollslända
Pudrad kärrtrollslända
Vattenfladdermus</t>
        </is>
      </c>
      <c r="W39">
        <f>HYPERLINK("https://klasma.github.io/Logging_2080/artfynd/A 28119-2025 artfynd.xlsx", "A 28119-2025")</f>
        <v/>
      </c>
      <c r="X39">
        <f>HYPERLINK("https://klasma.github.io/Logging_2080/kartor/A 28119-2025 karta.png", "A 28119-2025")</f>
        <v/>
      </c>
      <c r="Y39">
        <f>HYPERLINK("https://klasma.github.io/Logging_2080/kartor_geotiff/A 28119-2025 georefererad karta.tif", "A 28119-2025")</f>
        <v/>
      </c>
      <c r="AA39">
        <f>HYPERLINK("https://klasma.github.io/Logging_2080/klagomål/A 28119-2025 FSC-klagomål.docx", "A 28119-2025")</f>
        <v/>
      </c>
      <c r="AB39">
        <f>HYPERLINK("https://klasma.github.io/Logging_2080/klagomålsmail/A 28119-2025 FSC-klagomål mail.docx", "A 28119-2025")</f>
        <v/>
      </c>
      <c r="AC39">
        <f>HYPERLINK("https://klasma.github.io/Logging_2080/tillsyn/A 28119-2025 tillsynsbegäran.docx", "A 28119-2025")</f>
        <v/>
      </c>
      <c r="AD39">
        <f>HYPERLINK("https://klasma.github.io/Logging_2080/tillsynsmail/A 28119-2025 tillsynsbegäran mail.docx", "A 28119-2025")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46276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643-2026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46029</v>
      </c>
      <c r="E41" s="1" t="n">
        <v>46276</v>
      </c>
      <c r="F41" t="inlineStr">
        <is>
          <t>DALARNAS LÄN</t>
        </is>
      </c>
      <c r="G41" t="inlineStr">
        <is>
          <t>FALUN</t>
        </is>
      </c>
      <c r="I41" t="n">
        <v>41.8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Dropptaggsvamp
Tjäder
Större vattensalamander
Skogsödla</t>
        </is>
      </c>
      <c r="W41">
        <f>HYPERLINK("https://klasma.github.io/Logging_2080/artfynd/A 643-2026 artfynd.xlsx", "A 643-2026")</f>
        <v/>
      </c>
      <c r="X41">
        <f>HYPERLINK("https://klasma.github.io/Logging_2080/kartor/A 643-2026 karta.png", "A 643-2026")</f>
        <v/>
      </c>
      <c r="Y41">
        <f>HYPERLINK("https://klasma.github.io/Logging_2080/kartor_geotiff/A 643-2026 georefererad karta.tif", "A 643-2026")</f>
        <v/>
      </c>
      <c r="AA41">
        <f>HYPERLINK("https://klasma.github.io/Logging_2080/klagomål/A 643-2026 FSC-klagomål.docx", "A 643-2026")</f>
        <v/>
      </c>
      <c r="AB41">
        <f>HYPERLINK("https://klasma.github.io/Logging_2080/klagomålsmail/A 643-2026 FSC-klagomål mail.docx", "A 643-2026")</f>
        <v/>
      </c>
      <c r="AC41">
        <f>HYPERLINK("https://klasma.github.io/Logging_2080/tillsyn/A 643-2026 tillsynsbegäran.docx", "A 643-2026")</f>
        <v/>
      </c>
      <c r="AD41">
        <f>HYPERLINK("https://klasma.github.io/Logging_2080/tillsynsmail/A 643-2026 tillsynsbegäran mail.docx", "A 643-2026")</f>
        <v/>
      </c>
      <c r="AE41">
        <f>HYPERLINK("https://klasma.github.io/Logging_2080/fåglar/A 643-2026 prioriterade fågelarter.docx", "A 643-2026")</f>
        <v/>
      </c>
    </row>
    <row r="42" ht="15" customHeight="1">
      <c r="A42" t="inlineStr">
        <is>
          <t>A 36197-2025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45867</v>
      </c>
      <c r="E42" s="1" t="n">
        <v>46276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27.9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19</v>
      </c>
      <c r="U42" t="n">
        <v>19</v>
      </c>
      <c r="V42" s="2" t="inlineStr">
        <is>
          <t>Knärot
Rynkskinn
Skarp dropptaggsvamp
Svavelriska</t>
        </is>
      </c>
      <c r="W42">
        <f>HYPERLINK("https://klasma.github.io/Logging_2080/artfynd/A 36197-2025 artfynd.xlsx", "A 36197-2025")</f>
        <v/>
      </c>
      <c r="X42">
        <f>HYPERLINK("https://klasma.github.io/Logging_2080/kartor/A 36197-2025 karta.png", "A 36197-2025")</f>
        <v/>
      </c>
      <c r="Y42">
        <f>HYPERLINK("https://klasma.github.io/Logging_2080/kartor_geotiff/A 36197-2025 georefererad karta.tif", "A 36197-2025")</f>
        <v/>
      </c>
      <c r="Z42">
        <f>HYPERLINK("https://klasma.github.io/Logging_2080/knärot/A 36197-2025 karta knärot.png", "A 36197-2025")</f>
        <v/>
      </c>
      <c r="AA42">
        <f>HYPERLINK("https://klasma.github.io/Logging_2080/klagomål/A 36197-2025 FSC-klagomål.docx", "A 36197-2025")</f>
        <v/>
      </c>
      <c r="AB42">
        <f>HYPERLINK("https://klasma.github.io/Logging_2080/klagomålsmail/A 36197-2025 FSC-klagomål mail.docx", "A 36197-2025")</f>
        <v/>
      </c>
      <c r="AC42">
        <f>HYPERLINK("https://klasma.github.io/Logging_2080/tillsyn/A 36197-2025 tillsynsbegäran.docx", "A 36197-2025")</f>
        <v/>
      </c>
      <c r="AD42">
        <f>HYPERLINK("https://klasma.github.io/Logging_2080/tillsynsmail/A 36197-2025 tillsynsbegäran mail.docx", "A 36197-2025")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46276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46276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46276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1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46276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1439-2023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46276</v>
      </c>
      <c r="F47" t="inlineStr">
        <is>
          <t>DALARNAS LÄN</t>
        </is>
      </c>
      <c r="G47" t="inlineStr">
        <is>
          <t>FALUN</t>
        </is>
      </c>
      <c r="I47" t="n">
        <v>8.1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Enkelbeckasin
Gråspett
Spillkråka
Törnskata</t>
        </is>
      </c>
      <c r="W47">
        <f>HYPERLINK("https://klasma.github.io/Logging_2080/artfynd/A 1439-2023 artfynd.xlsx", "A 1439-2023")</f>
        <v/>
      </c>
      <c r="X47">
        <f>HYPERLINK("https://klasma.github.io/Logging_2080/kartor/A 1439-2023 karta.png", "A 1439-2023")</f>
        <v/>
      </c>
      <c r="Y47">
        <f>HYPERLINK("https://klasma.github.io/Logging_2080/kartor_geotiff/A 1439-2023 georefererad karta.tif", "A 1439-2023")</f>
        <v/>
      </c>
      <c r="AA47">
        <f>HYPERLINK("https://klasma.github.io/Logging_2080/klagomål/A 1439-2023 FSC-klagomål.docx", "A 1439-2023")</f>
        <v/>
      </c>
      <c r="AB47">
        <f>HYPERLINK("https://klasma.github.io/Logging_2080/klagomålsmail/A 1439-2023 FSC-klagomål mail.docx", "A 1439-2023")</f>
        <v/>
      </c>
      <c r="AC47">
        <f>HYPERLINK("https://klasma.github.io/Logging_2080/tillsyn/A 1439-2023 tillsynsbegäran.docx", "A 1439-2023")</f>
        <v/>
      </c>
      <c r="AD47">
        <f>HYPERLINK("https://klasma.github.io/Logging_2080/tillsynsmail/A 1439-2023 tillsynsbegäran mail.docx", "A 1439-2023")</f>
        <v/>
      </c>
      <c r="AE47">
        <f>HYPERLINK("https://klasma.github.io/Logging_2080/fåglar/A 1439-2023 prioriterade fågelarter.docx", "A 1439-2023")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46276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46276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46276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46276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46276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3208-2026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46276</v>
      </c>
      <c r="F53" t="inlineStr">
        <is>
          <t>DALARNAS LÄN</t>
        </is>
      </c>
      <c r="G53" t="inlineStr">
        <is>
          <t>FALUN</t>
        </is>
      </c>
      <c r="I53" t="n">
        <v>5.3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Garnlav
Kolflarnlav
Mörk kolflarnlav</t>
        </is>
      </c>
      <c r="W53">
        <f>HYPERLINK("https://klasma.github.io/Logging_2080/artfynd/A 3208-2026 artfynd.xlsx", "A 3208-2026")</f>
        <v/>
      </c>
      <c r="X53">
        <f>HYPERLINK("https://klasma.github.io/Logging_2080/kartor/A 3208-2026 karta.png", "A 3208-2026")</f>
        <v/>
      </c>
      <c r="Y53">
        <f>HYPERLINK("https://klasma.github.io/Logging_2080/kartor_geotiff/A 3208-2026 georefererad karta.tif", "A 3208-2026")</f>
        <v/>
      </c>
      <c r="AA53">
        <f>HYPERLINK("https://klasma.github.io/Logging_2080/klagomål/A 3208-2026 FSC-klagomål.docx", "A 3208-2026")</f>
        <v/>
      </c>
      <c r="AB53">
        <f>HYPERLINK("https://klasma.github.io/Logging_2080/klagomålsmail/A 3208-2026 FSC-klagomål mail.docx", "A 3208-2026")</f>
        <v/>
      </c>
      <c r="AC53">
        <f>HYPERLINK("https://klasma.github.io/Logging_2080/tillsyn/A 3208-2026 tillsynsbegäran.docx", "A 3208-2026")</f>
        <v/>
      </c>
      <c r="AD53">
        <f>HYPERLINK("https://klasma.github.io/Logging_2080/tillsynsmail/A 3208-2026 tillsynsbegäran mail.docx", "A 3208-2026")</f>
        <v/>
      </c>
    </row>
    <row r="54" ht="15" customHeight="1">
      <c r="A54" t="inlineStr">
        <is>
          <t>A 50417-2025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45944</v>
      </c>
      <c r="E54" s="1" t="n">
        <v>46276</v>
      </c>
      <c r="F54" t="inlineStr">
        <is>
          <t>DALARNAS LÄN</t>
        </is>
      </c>
      <c r="G54" t="inlineStr">
        <is>
          <t>FALUN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Kattfotslav
Ullticka
Bollvitmossa</t>
        </is>
      </c>
      <c r="W54">
        <f>HYPERLINK("https://klasma.github.io/Logging_2080/artfynd/A 50417-2025 artfynd.xlsx", "A 50417-2025")</f>
        <v/>
      </c>
      <c r="X54">
        <f>HYPERLINK("https://klasma.github.io/Logging_2080/kartor/A 50417-2025 karta.png", "A 50417-2025")</f>
        <v/>
      </c>
      <c r="Y54">
        <f>HYPERLINK("https://klasma.github.io/Logging_2080/kartor_geotiff/A 50417-2025 georefererad karta.tif", "A 50417-2025")</f>
        <v/>
      </c>
      <c r="AA54">
        <f>HYPERLINK("https://klasma.github.io/Logging_2080/klagomål/A 50417-2025 FSC-klagomål.docx", "A 50417-2025")</f>
        <v/>
      </c>
      <c r="AB54">
        <f>HYPERLINK("https://klasma.github.io/Logging_2080/klagomålsmail/A 50417-2025 FSC-klagomål mail.docx", "A 50417-2025")</f>
        <v/>
      </c>
      <c r="AC54">
        <f>HYPERLINK("https://klasma.github.io/Logging_2080/tillsyn/A 50417-2025 tillsynsbegäran.docx", "A 50417-2025")</f>
        <v/>
      </c>
      <c r="AD54">
        <f>HYPERLINK("https://klasma.github.io/Logging_2080/tillsynsmail/A 50417-2025 tillsynsbegäran mail.docx", "A 50417-2025")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46276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t="n">
        <v>17</v>
      </c>
      <c r="V55" s="2" t="inlineStr">
        <is>
          <t>Knärot
Bronshjon
Revlummer</t>
        </is>
      </c>
      <c r="W55">
        <f>HYPERLINK("https://klasma.github.io/Logging_2080/artfynd/A 11777-2025 artfynd.xlsx", "A 11777-2025")</f>
        <v/>
      </c>
      <c r="X55">
        <f>HYPERLINK("https://klasma.github.io/Logging_2080/kartor/A 11777-2025 karta.png", "A 11777-2025")</f>
        <v/>
      </c>
      <c r="Y55">
        <f>HYPERLINK("https://klasma.github.io/Logging_2080/kartor_geotiff/A 11777-2025 georefererad karta.tif", "A 11777-2025")</f>
        <v/>
      </c>
      <c r="Z55">
        <f>HYPERLINK("https://klasma.github.io/Logging_2080/knärot/A 11777-2025 karta knärot.png", "A 11777-2025")</f>
        <v/>
      </c>
      <c r="AA55">
        <f>HYPERLINK("https://klasma.github.io/Logging_2080/klagomål/A 11777-2025 FSC-klagomål.docx", "A 11777-2025")</f>
        <v/>
      </c>
      <c r="AB55">
        <f>HYPERLINK("https://klasma.github.io/Logging_2080/klagomålsmail/A 11777-2025 FSC-klagomål mail.docx", "A 11777-2025")</f>
        <v/>
      </c>
      <c r="AC55">
        <f>HYPERLINK("https://klasma.github.io/Logging_2080/tillsyn/A 11777-2025 tillsynsbegäran.docx", "A 11777-2025")</f>
        <v/>
      </c>
      <c r="AD55">
        <f>HYPERLINK("https://klasma.github.io/Logging_2080/tillsynsmail/A 11777-2025 tillsynsbegäran mail.docx", "A 11777-2025")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46276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46276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46276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46276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46276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46276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6317-2023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44965</v>
      </c>
      <c r="E62" s="1" t="n">
        <v>46276</v>
      </c>
      <c r="F62" t="inlineStr">
        <is>
          <t>DALARNAS LÄN</t>
        </is>
      </c>
      <c r="G62" t="inlineStr">
        <is>
          <t>FALUN</t>
        </is>
      </c>
      <c r="I62" t="n">
        <v>1.4</v>
      </c>
      <c r="J62" t="n">
        <v>1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2</v>
      </c>
      <c r="V62" s="2" t="inlineStr">
        <is>
          <t>Gullpudra
Sparvuggla
Svavelriska</t>
        </is>
      </c>
      <c r="W62">
        <f>HYPERLINK("https://klasma.github.io/Logging_2080/artfynd/A 6317-2023 artfynd.xlsx", "A 6317-2023")</f>
        <v/>
      </c>
      <c r="X62">
        <f>HYPERLINK("https://klasma.github.io/Logging_2080/kartor/A 6317-2023 karta.png", "A 6317-2023")</f>
        <v/>
      </c>
      <c r="Y62">
        <f>HYPERLINK("https://klasma.github.io/Logging_2080/kartor_geotiff/A 6317-2023 georefererad karta.tif", "A 6317-2023")</f>
        <v/>
      </c>
      <c r="AA62">
        <f>HYPERLINK("https://klasma.github.io/Logging_2080/klagomål/A 6317-2023 FSC-klagomål.docx", "A 6317-2023")</f>
        <v/>
      </c>
      <c r="AB62">
        <f>HYPERLINK("https://klasma.github.io/Logging_2080/klagomålsmail/A 6317-2023 FSC-klagomål mail.docx", "A 6317-2023")</f>
        <v/>
      </c>
      <c r="AC62">
        <f>HYPERLINK("https://klasma.github.io/Logging_2080/tillsyn/A 6317-2023 tillsynsbegäran.docx", "A 6317-2023")</f>
        <v/>
      </c>
      <c r="AD62">
        <f>HYPERLINK("https://klasma.github.io/Logging_2080/tillsynsmail/A 6317-2023 tillsynsbegäran mail.docx", "A 6317-2023")</f>
        <v/>
      </c>
      <c r="AE62">
        <f>HYPERLINK("https://klasma.github.io/Logging_2080/fåglar/A 6317-2023 prioriterade fågelarter.docx", "A 6317-2023")</f>
        <v/>
      </c>
    </row>
    <row r="63" ht="15" customHeight="1">
      <c r="A63" t="inlineStr">
        <is>
          <t>A 27747-2026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46191</v>
      </c>
      <c r="E63" s="1" t="n">
        <v>46276</v>
      </c>
      <c r="F63" t="inlineStr">
        <is>
          <t>DALARNAS LÄN</t>
        </is>
      </c>
      <c r="G63" t="inlineStr">
        <is>
          <t>FALUN</t>
        </is>
      </c>
      <c r="I63" t="n">
        <v>2.5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Kolflarnlav
Kortskaftad ärgspik</t>
        </is>
      </c>
      <c r="W63">
        <f>HYPERLINK("https://klasma.github.io/Logging_2080/artfynd/A 27747-2026 artfynd.xlsx", "A 27747-2026")</f>
        <v/>
      </c>
      <c r="X63">
        <f>HYPERLINK("https://klasma.github.io/Logging_2080/kartor/A 27747-2026 karta.png", "A 27747-2026")</f>
        <v/>
      </c>
      <c r="Y63">
        <f>HYPERLINK("https://klasma.github.io/Logging_2080/kartor_geotiff/A 27747-2026 georefererad karta.tif", "A 27747-2026")</f>
        <v/>
      </c>
      <c r="AA63">
        <f>HYPERLINK("https://klasma.github.io/Logging_2080/klagomål/A 27747-2026 FSC-klagomål.docx", "A 27747-2026")</f>
        <v/>
      </c>
      <c r="AB63">
        <f>HYPERLINK("https://klasma.github.io/Logging_2080/klagomålsmail/A 27747-2026 FSC-klagomål mail.docx", "A 27747-2026")</f>
        <v/>
      </c>
      <c r="AC63">
        <f>HYPERLINK("https://klasma.github.io/Logging_2080/tillsyn/A 27747-2026 tillsynsbegäran.docx", "A 27747-2026")</f>
        <v/>
      </c>
      <c r="AD63">
        <f>HYPERLINK("https://klasma.github.io/Logging_2080/tillsynsmail/A 27747-2026 tillsynsbegäran mail.docx", "A 27747-2026")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46276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46276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46276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46276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46276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42302-2023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45175</v>
      </c>
      <c r="E69" s="1" t="n">
        <v>46276</v>
      </c>
      <c r="F69" t="inlineStr">
        <is>
          <t>DALARNAS LÄN</t>
        </is>
      </c>
      <c r="G69" t="inlineStr">
        <is>
          <t>FALUN</t>
        </is>
      </c>
      <c r="I69" t="n">
        <v>8.5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Silverblåvinge
Brunklöver</t>
        </is>
      </c>
      <c r="W69">
        <f>HYPERLINK("https://klasma.github.io/Logging_2080/artfynd/A 42302-2023 artfynd.xlsx", "A 42302-2023")</f>
        <v/>
      </c>
      <c r="X69">
        <f>HYPERLINK("https://klasma.github.io/Logging_2080/kartor/A 42302-2023 karta.png", "A 42302-2023")</f>
        <v/>
      </c>
      <c r="Y69">
        <f>HYPERLINK("https://klasma.github.io/Logging_2080/kartor_geotiff/A 42302-2023 georefererad karta.tif", "A 42302-2023")</f>
        <v/>
      </c>
      <c r="AA69">
        <f>HYPERLINK("https://klasma.github.io/Logging_2080/klagomål/A 42302-2023 FSC-klagomål.docx", "A 42302-2023")</f>
        <v/>
      </c>
      <c r="AB69">
        <f>HYPERLINK("https://klasma.github.io/Logging_2080/klagomålsmail/A 42302-2023 FSC-klagomål mail.docx", "A 42302-2023")</f>
        <v/>
      </c>
      <c r="AC69">
        <f>HYPERLINK("https://klasma.github.io/Logging_2080/tillsyn/A 42302-2023 tillsynsbegäran.docx", "A 42302-2023")</f>
        <v/>
      </c>
      <c r="AD69">
        <f>HYPERLINK("https://klasma.github.io/Logging_2080/tillsynsmail/A 42302-2023 tillsynsbegäran mail.docx", "A 42302-2023")</f>
        <v/>
      </c>
    </row>
    <row r="70" ht="15" customHeight="1">
      <c r="A70" t="inlineStr">
        <is>
          <t>A 41050-2025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46276</v>
      </c>
      <c r="F70" t="inlineStr">
        <is>
          <t>DALARNAS LÄN</t>
        </is>
      </c>
      <c r="G70" t="inlineStr">
        <is>
          <t>FALUN</t>
        </is>
      </c>
      <c r="I70" t="n">
        <v>4.7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Motaggsvamp</t>
        </is>
      </c>
      <c r="W70">
        <f>HYPERLINK("https://klasma.github.io/Logging_2080/artfynd/A 41050-2025 artfynd.xlsx", "A 41050-2025")</f>
        <v/>
      </c>
      <c r="X70">
        <f>HYPERLINK("https://klasma.github.io/Logging_2080/kartor/A 41050-2025 karta.png", "A 41050-2025")</f>
        <v/>
      </c>
      <c r="Y70">
        <f>HYPERLINK("https://klasma.github.io/Logging_2080/kartor_geotiff/A 41050-2025 georefererad karta.tif", "A 41050-2025")</f>
        <v/>
      </c>
      <c r="Z70">
        <f>HYPERLINK("https://klasma.github.io/Logging_2080/knärot/A 41050-2025 karta knärot.png", "A 41050-2025")</f>
        <v/>
      </c>
      <c r="AA70">
        <f>HYPERLINK("https://klasma.github.io/Logging_2080/klagomål/A 41050-2025 FSC-klagomål.docx", "A 41050-2025")</f>
        <v/>
      </c>
      <c r="AB70">
        <f>HYPERLINK("https://klasma.github.io/Logging_2080/klagomålsmail/A 41050-2025 FSC-klagomål mail.docx", "A 41050-2025")</f>
        <v/>
      </c>
      <c r="AC70">
        <f>HYPERLINK("https://klasma.github.io/Logging_2080/tillsyn/A 41050-2025 tillsynsbegäran.docx", "A 41050-2025")</f>
        <v/>
      </c>
      <c r="AD70">
        <f>HYPERLINK("https://klasma.github.io/Logging_2080/tillsynsmail/A 41050-2025 tillsynsbegäran mail.docx", "A 41050-2025")</f>
        <v/>
      </c>
    </row>
    <row r="71" ht="15" customHeight="1">
      <c r="A71" t="inlineStr">
        <is>
          <t>A 29791-2025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45825</v>
      </c>
      <c r="E71" s="1" t="n">
        <v>46276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6.7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3</v>
      </c>
      <c r="U71" t="n">
        <v>0</v>
      </c>
      <c r="V71" s="2" t="inlineStr">
        <is>
          <t>Knärot
Ullticka</t>
        </is>
      </c>
      <c r="W71">
        <f>HYPERLINK("https://klasma.github.io/Logging_2080/artfynd/A 29791-2025 artfynd.xlsx", "A 29791-2025")</f>
        <v/>
      </c>
      <c r="X71">
        <f>HYPERLINK("https://klasma.github.io/Logging_2080/kartor/A 29791-2025 karta.png", "A 29791-2025")</f>
        <v/>
      </c>
      <c r="Y71">
        <f>HYPERLINK("https://klasma.github.io/Logging_2080/kartor_geotiff/A 29791-2025 georefererad karta.tif", "A 29791-2025")</f>
        <v/>
      </c>
      <c r="Z71">
        <f>HYPERLINK("https://klasma.github.io/Logging_2080/knärot/A 29791-2025 karta knärot.png", "A 29791-2025")</f>
        <v/>
      </c>
      <c r="AA71">
        <f>HYPERLINK("https://klasma.github.io/Logging_2080/klagomål/A 29791-2025 FSC-klagomål.docx", "A 29791-2025")</f>
        <v/>
      </c>
      <c r="AB71">
        <f>HYPERLINK("https://klasma.github.io/Logging_2080/klagomålsmail/A 29791-2025 FSC-klagomål mail.docx", "A 29791-2025")</f>
        <v/>
      </c>
      <c r="AC71">
        <f>HYPERLINK("https://klasma.github.io/Logging_2080/tillsyn/A 29791-2025 tillsynsbegäran.docx", "A 29791-2025")</f>
        <v/>
      </c>
      <c r="AD71">
        <f>HYPERLINK("https://klasma.github.io/Logging_2080/tillsynsmail/A 29791-2025 tillsynsbegäran mail.docx", "A 29791-2025")</f>
        <v/>
      </c>
    </row>
    <row r="72" ht="15" customHeight="1">
      <c r="A72" t="inlineStr">
        <is>
          <t>A 3280-2026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46041</v>
      </c>
      <c r="E72" s="1" t="n">
        <v>46276</v>
      </c>
      <c r="F72" t="inlineStr">
        <is>
          <t>DALARNAS LÄN</t>
        </is>
      </c>
      <c r="G72" t="inlineStr">
        <is>
          <t>FALUN</t>
        </is>
      </c>
      <c r="I72" t="n">
        <v>30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Spillkråka
Gröngöling</t>
        </is>
      </c>
      <c r="W72">
        <f>HYPERLINK("https://klasma.github.io/Logging_2080/artfynd/A 3280-2026 artfynd.xlsx", "A 3280-2026")</f>
        <v/>
      </c>
      <c r="X72">
        <f>HYPERLINK("https://klasma.github.io/Logging_2080/kartor/A 3280-2026 karta.png", "A 3280-2026")</f>
        <v/>
      </c>
      <c r="Y72">
        <f>HYPERLINK("https://klasma.github.io/Logging_2080/kartor_geotiff/A 3280-2026 georefererad karta.tif", "A 3280-2026")</f>
        <v/>
      </c>
      <c r="AA72">
        <f>HYPERLINK("https://klasma.github.io/Logging_2080/klagomål/A 3280-2026 FSC-klagomål.docx", "A 3280-2026")</f>
        <v/>
      </c>
      <c r="AB72">
        <f>HYPERLINK("https://klasma.github.io/Logging_2080/klagomålsmail/A 3280-2026 FSC-klagomål mail.docx", "A 3280-2026")</f>
        <v/>
      </c>
      <c r="AC72">
        <f>HYPERLINK("https://klasma.github.io/Logging_2080/tillsyn/A 3280-2026 tillsynsbegäran.docx", "A 3280-2026")</f>
        <v/>
      </c>
      <c r="AD72">
        <f>HYPERLINK("https://klasma.github.io/Logging_2080/tillsynsmail/A 3280-2026 tillsynsbegäran mail.docx", "A 3280-2026")</f>
        <v/>
      </c>
      <c r="AE72">
        <f>HYPERLINK("https://klasma.github.io/Logging_2080/fåglar/A 3280-2026 prioriterade fågelarter.docx", "A 3280-2026")</f>
        <v/>
      </c>
    </row>
    <row r="73" ht="15" customHeight="1">
      <c r="A73" t="inlineStr">
        <is>
          <t>A 3586-2026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46276</v>
      </c>
      <c r="F73" t="inlineStr">
        <is>
          <t>DALARNAS LÄN</t>
        </is>
      </c>
      <c r="G73" t="inlineStr">
        <is>
          <t>FALUN</t>
        </is>
      </c>
      <c r="I73" t="n">
        <v>7.6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Bronshjon
Revlummer</t>
        </is>
      </c>
      <c r="W73">
        <f>HYPERLINK("https://klasma.github.io/Logging_2080/artfynd/A 3586-2026 artfynd.xlsx", "A 3586-2026")</f>
        <v/>
      </c>
      <c r="X73">
        <f>HYPERLINK("https://klasma.github.io/Logging_2080/kartor/A 3586-2026 karta.png", "A 3586-2026")</f>
        <v/>
      </c>
      <c r="Y73">
        <f>HYPERLINK("https://klasma.github.io/Logging_2080/kartor_geotiff/A 3586-2026 georefererad karta.tif", "A 3586-2026")</f>
        <v/>
      </c>
      <c r="AA73">
        <f>HYPERLINK("https://klasma.github.io/Logging_2080/klagomål/A 3586-2026 FSC-klagomål.docx", "A 3586-2026")</f>
        <v/>
      </c>
      <c r="AB73">
        <f>HYPERLINK("https://klasma.github.io/Logging_2080/klagomålsmail/A 3586-2026 FSC-klagomål mail.docx", "A 3586-2026")</f>
        <v/>
      </c>
      <c r="AC73">
        <f>HYPERLINK("https://klasma.github.io/Logging_2080/tillsyn/A 3586-2026 tillsynsbegäran.docx", "A 3586-2026")</f>
        <v/>
      </c>
      <c r="AD73">
        <f>HYPERLINK("https://klasma.github.io/Logging_2080/tillsynsmail/A 3586-2026 tillsynsbegäran mail.docx", "A 3586-2026")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46276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46276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18714-2023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46276</v>
      </c>
      <c r="F76" t="inlineStr">
        <is>
          <t>DALARNAS LÄN</t>
        </is>
      </c>
      <c r="G76" t="inlineStr">
        <is>
          <t>FALUN</t>
        </is>
      </c>
      <c r="I76" t="n">
        <v>1.8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Bronshjon</t>
        </is>
      </c>
      <c r="W76">
        <f>HYPERLINK("https://klasma.github.io/Logging_2080/artfynd/A 18714-2023 artfynd.xlsx", "A 18714-2023")</f>
        <v/>
      </c>
      <c r="X76">
        <f>HYPERLINK("https://klasma.github.io/Logging_2080/kartor/A 18714-2023 karta.png", "A 18714-2023")</f>
        <v/>
      </c>
      <c r="Y76">
        <f>HYPERLINK("https://klasma.github.io/Logging_2080/kartor_geotiff/A 18714-2023 georefererad karta.tif", "A 18714-2023")</f>
        <v/>
      </c>
      <c r="AA76">
        <f>HYPERLINK("https://klasma.github.io/Logging_2080/klagomål/A 18714-2023 FSC-klagomål.docx", "A 18714-2023")</f>
        <v/>
      </c>
      <c r="AB76">
        <f>HYPERLINK("https://klasma.github.io/Logging_2080/klagomålsmail/A 18714-2023 FSC-klagomål mail.docx", "A 18714-2023")</f>
        <v/>
      </c>
      <c r="AC76">
        <f>HYPERLINK("https://klasma.github.io/Logging_2080/tillsyn/A 18714-2023 tillsynsbegäran.docx", "A 18714-2023")</f>
        <v/>
      </c>
      <c r="AD76">
        <f>HYPERLINK("https://klasma.github.io/Logging_2080/tillsynsmail/A 18714-2023 tillsynsbegäran mail.docx", "A 18714-2023")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46276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HYPERLINK("https://klasma.github.io/Logging_2080/artfynd/A 6400-2026 artfynd.xlsx", "A 6400-2026")</f>
        <v/>
      </c>
      <c r="X77">
        <f>HYPERLINK("https://klasma.github.io/Logging_2080/kartor/A 6400-2026 karta.png", "A 6400-2026")</f>
        <v/>
      </c>
      <c r="Y77">
        <f>HYPERLINK("https://klasma.github.io/Logging_2080/kartor_geotiff/A 6400-2026 georefererad karta.tif", "A 6400-2026")</f>
        <v/>
      </c>
      <c r="AA77">
        <f>HYPERLINK("https://klasma.github.io/Logging_2080/klagomål/A 6400-2026 FSC-klagomål.docx", "A 6400-2026")</f>
        <v/>
      </c>
      <c r="AB77">
        <f>HYPERLINK("https://klasma.github.io/Logging_2080/klagomålsmail/A 6400-2026 FSC-klagomål mail.docx", "A 6400-2026")</f>
        <v/>
      </c>
      <c r="AC77">
        <f>HYPERLINK("https://klasma.github.io/Logging_2080/tillsyn/A 6400-2026 tillsynsbegäran.docx", "A 6400-2026")</f>
        <v/>
      </c>
      <c r="AD77">
        <f>HYPERLINK("https://klasma.github.io/Logging_2080/tillsynsmail/A 6400-2026 tillsynsbegäran mail.docx", "A 6400-2026")</f>
        <v/>
      </c>
      <c r="AE77">
        <f>HYPERLINK("https://klasma.github.io/Logging_2080/fåglar/A 6400-2026 prioriterade fågelarter.docx", "A 6400-2026")</f>
        <v/>
      </c>
    </row>
    <row r="78" ht="15" customHeight="1">
      <c r="A78" t="inlineStr">
        <is>
          <t>A 19015-2024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45427</v>
      </c>
      <c r="E78" s="1" t="n">
        <v>46276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13.8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Talltita
Kungsfågel</t>
        </is>
      </c>
      <c r="W78">
        <f>HYPERLINK("https://klasma.github.io/Logging_2080/artfynd/A 19015-2024 artfynd.xlsx", "A 19015-2024")</f>
        <v/>
      </c>
      <c r="X78">
        <f>HYPERLINK("https://klasma.github.io/Logging_2080/kartor/A 19015-2024 karta.png", "A 19015-2024")</f>
        <v/>
      </c>
      <c r="Y78">
        <f>HYPERLINK("https://klasma.github.io/Logging_2080/kartor_geotiff/A 19015-2024 georefererad karta.tif", "A 19015-2024")</f>
        <v/>
      </c>
      <c r="AA78">
        <f>HYPERLINK("https://klasma.github.io/Logging_2080/klagomål/A 19015-2024 FSC-klagomål.docx", "A 19015-2024")</f>
        <v/>
      </c>
      <c r="AB78">
        <f>HYPERLINK("https://klasma.github.io/Logging_2080/klagomålsmail/A 19015-2024 FSC-klagomål mail.docx", "A 19015-2024")</f>
        <v/>
      </c>
      <c r="AC78">
        <f>HYPERLINK("https://klasma.github.io/Logging_2080/tillsyn/A 19015-2024 tillsynsbegäran.docx", "A 19015-2024")</f>
        <v/>
      </c>
      <c r="AD78">
        <f>HYPERLINK("https://klasma.github.io/Logging_2080/tillsynsmail/A 19015-2024 tillsynsbegäran mail.docx", "A 19015-2024")</f>
        <v/>
      </c>
      <c r="AE78">
        <f>HYPERLINK("https://klasma.github.io/Logging_2080/fåglar/A 19015-2024 prioriterade fågelarter.docx", "A 19015-2024")</f>
        <v/>
      </c>
    </row>
    <row r="79" ht="15" customHeight="1">
      <c r="A79" t="inlineStr">
        <is>
          <t>A 11348-2026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46082</v>
      </c>
      <c r="E79" s="1" t="n">
        <v>46276</v>
      </c>
      <c r="F79" t="inlineStr">
        <is>
          <t>DALARNAS LÄN</t>
        </is>
      </c>
      <c r="G79" t="inlineStr">
        <is>
          <t>FALUN</t>
        </is>
      </c>
      <c r="I79" t="n">
        <v>36.7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Plattlummer
Spillkråka</t>
        </is>
      </c>
      <c r="W79">
        <f>HYPERLINK("https://klasma.github.io/Logging_2080/artfynd/A 11348-2026 artfynd.xlsx", "A 11348-2026")</f>
        <v/>
      </c>
      <c r="X79">
        <f>HYPERLINK("https://klasma.github.io/Logging_2080/kartor/A 11348-2026 karta.png", "A 11348-2026")</f>
        <v/>
      </c>
      <c r="Y79">
        <f>HYPERLINK("https://klasma.github.io/Logging_2080/kartor_geotiff/A 11348-2026 georefererad karta.tif", "A 11348-2026")</f>
        <v/>
      </c>
      <c r="Z79">
        <f>HYPERLINK("https://klasma.github.io/Logging_2080/knärot/A 11348-2026 karta knärot.png", "A 11348-2026")</f>
        <v/>
      </c>
      <c r="AA79">
        <f>HYPERLINK("https://klasma.github.io/Logging_2080/klagomål/A 11348-2026 FSC-klagomål.docx", "A 11348-2026")</f>
        <v/>
      </c>
      <c r="AB79">
        <f>HYPERLINK("https://klasma.github.io/Logging_2080/klagomålsmail/A 11348-2026 FSC-klagomål mail.docx", "A 11348-2026")</f>
        <v/>
      </c>
      <c r="AC79">
        <f>HYPERLINK("https://klasma.github.io/Logging_2080/tillsyn/A 11348-2026 tillsynsbegäran.docx", "A 11348-2026")</f>
        <v/>
      </c>
      <c r="AD79">
        <f>HYPERLINK("https://klasma.github.io/Logging_2080/tillsynsmail/A 11348-2026 tillsynsbegäran mail.docx", "A 11348-2026")</f>
        <v/>
      </c>
      <c r="AE79">
        <f>HYPERLINK("https://klasma.github.io/Logging_2080/fåglar/A 11348-2026 prioriterade fågelarter.docx", "A 11348-2026")</f>
        <v/>
      </c>
    </row>
    <row r="80" ht="15" customHeight="1">
      <c r="A80" t="inlineStr">
        <is>
          <t>A 12420-2026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46276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21.8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Tjäder
Kungsfågel</t>
        </is>
      </c>
      <c r="W80">
        <f>HYPERLINK("https://klasma.github.io/Logging_2080/artfynd/A 12420-2026 artfynd.xlsx", "A 12420-2026")</f>
        <v/>
      </c>
      <c r="X80">
        <f>HYPERLINK("https://klasma.github.io/Logging_2080/kartor/A 12420-2026 karta.png", "A 12420-2026")</f>
        <v/>
      </c>
      <c r="Y80">
        <f>HYPERLINK("https://klasma.github.io/Logging_2080/kartor_geotiff/A 12420-2026 georefererad karta.tif", "A 12420-2026")</f>
        <v/>
      </c>
      <c r="AA80">
        <f>HYPERLINK("https://klasma.github.io/Logging_2080/klagomål/A 12420-2026 FSC-klagomål.docx", "A 12420-2026")</f>
        <v/>
      </c>
      <c r="AB80">
        <f>HYPERLINK("https://klasma.github.io/Logging_2080/klagomålsmail/A 12420-2026 FSC-klagomål mail.docx", "A 12420-2026")</f>
        <v/>
      </c>
      <c r="AC80">
        <f>HYPERLINK("https://klasma.github.io/Logging_2080/tillsyn/A 12420-2026 tillsynsbegäran.docx", "A 12420-2026")</f>
        <v/>
      </c>
      <c r="AD80">
        <f>HYPERLINK("https://klasma.github.io/Logging_2080/tillsynsmail/A 12420-2026 tillsynsbegäran mail.docx", "A 12420-2026")</f>
        <v/>
      </c>
      <c r="AE80">
        <f>HYPERLINK("https://klasma.github.io/Logging_2080/fåglar/A 12420-2026 prioriterade fågelarter.docx", "A 12420-2026")</f>
        <v/>
      </c>
    </row>
    <row r="81" ht="15" customHeight="1">
      <c r="A81" t="inlineStr">
        <is>
          <t>A 12431-2026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46276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Kärrviol
Revlummer</t>
        </is>
      </c>
      <c r="W81">
        <f>HYPERLINK("https://klasma.github.io/Logging_2080/artfynd/A 12431-2026 artfynd.xlsx", "A 12431-2026")</f>
        <v/>
      </c>
      <c r="X81">
        <f>HYPERLINK("https://klasma.github.io/Logging_2080/kartor/A 12431-2026 karta.png", "A 12431-2026")</f>
        <v/>
      </c>
      <c r="Y81">
        <f>HYPERLINK("https://klasma.github.io/Logging_2080/kartor_geotiff/A 12431-2026 georefererad karta.tif", "A 12431-2026")</f>
        <v/>
      </c>
      <c r="AA81">
        <f>HYPERLINK("https://klasma.github.io/Logging_2080/klagomål/A 12431-2026 FSC-klagomål.docx", "A 12431-2026")</f>
        <v/>
      </c>
      <c r="AB81">
        <f>HYPERLINK("https://klasma.github.io/Logging_2080/klagomålsmail/A 12431-2026 FSC-klagomål mail.docx", "A 12431-2026")</f>
        <v/>
      </c>
      <c r="AC81">
        <f>HYPERLINK("https://klasma.github.io/Logging_2080/tillsyn/A 12431-2026 tillsynsbegäran.docx", "A 12431-2026")</f>
        <v/>
      </c>
      <c r="AD81">
        <f>HYPERLINK("https://klasma.github.io/Logging_2080/tillsynsmail/A 12431-2026 tillsynsbegäran mail.docx", "A 12431-2026")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46276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Månlåsbräken
Tjäder</t>
        </is>
      </c>
      <c r="W82">
        <f>HYPERLINK("https://klasma.github.io/Logging_2080/artfynd/A 12786-2026 artfynd.xlsx", "A 12786-2026")</f>
        <v/>
      </c>
      <c r="X82">
        <f>HYPERLINK("https://klasma.github.io/Logging_2080/kartor/A 12786-2026 karta.png", "A 12786-2026")</f>
        <v/>
      </c>
      <c r="Y82">
        <f>HYPERLINK("https://klasma.github.io/Logging_2080/kartor_geotiff/A 12786-2026 georefererad karta.tif", "A 12786-2026")</f>
        <v/>
      </c>
      <c r="AA82">
        <f>HYPERLINK("https://klasma.github.io/Logging_2080/klagomål/A 12786-2026 FSC-klagomål.docx", "A 12786-2026")</f>
        <v/>
      </c>
      <c r="AB82">
        <f>HYPERLINK("https://klasma.github.io/Logging_2080/klagomålsmail/A 12786-2026 FSC-klagomål mail.docx", "A 12786-2026")</f>
        <v/>
      </c>
      <c r="AC82">
        <f>HYPERLINK("https://klasma.github.io/Logging_2080/tillsyn/A 12786-2026 tillsynsbegäran.docx", "A 12786-2026")</f>
        <v/>
      </c>
      <c r="AD82">
        <f>HYPERLINK("https://klasma.github.io/Logging_2080/tillsynsmail/A 12786-2026 tillsynsbegäran mail.docx", "A 12786-2026")</f>
        <v/>
      </c>
      <c r="AE82">
        <f>HYPERLINK("https://klasma.github.io/Logging_2080/fåglar/A 12786-2026 prioriterade fågelarter.docx", "A 12786-2026")</f>
        <v/>
      </c>
    </row>
    <row r="83" ht="15" customHeight="1">
      <c r="A83" t="inlineStr">
        <is>
          <t>A 26586-2023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46276</v>
      </c>
      <c r="F83" t="inlineStr">
        <is>
          <t>DALARNAS LÄN</t>
        </is>
      </c>
      <c r="G83" t="inlineStr">
        <is>
          <t>FALUN</t>
        </is>
      </c>
      <c r="I83" t="n">
        <v>6.1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Spillkråka
Tjäder</t>
        </is>
      </c>
      <c r="W83">
        <f>HYPERLINK("https://klasma.github.io/Logging_2080/artfynd/A 26586-2023 artfynd.xlsx", "A 26586-2023")</f>
        <v/>
      </c>
      <c r="X83">
        <f>HYPERLINK("https://klasma.github.io/Logging_2080/kartor/A 26586-2023 karta.png", "A 26586-2023")</f>
        <v/>
      </c>
      <c r="Y83">
        <f>HYPERLINK("https://klasma.github.io/Logging_2080/kartor_geotiff/A 26586-2023 georefererad karta.tif", "A 26586-2023")</f>
        <v/>
      </c>
      <c r="AA83">
        <f>HYPERLINK("https://klasma.github.io/Logging_2080/klagomål/A 26586-2023 FSC-klagomål.docx", "A 26586-2023")</f>
        <v/>
      </c>
      <c r="AB83">
        <f>HYPERLINK("https://klasma.github.io/Logging_2080/klagomålsmail/A 26586-2023 FSC-klagomål mail.docx", "A 26586-2023")</f>
        <v/>
      </c>
      <c r="AC83">
        <f>HYPERLINK("https://klasma.github.io/Logging_2080/tillsyn/A 26586-2023 tillsynsbegäran.docx", "A 26586-2023")</f>
        <v/>
      </c>
      <c r="AD83">
        <f>HYPERLINK("https://klasma.github.io/Logging_2080/tillsynsmail/A 26586-2023 tillsynsbegäran mail.docx", "A 26586-2023")</f>
        <v/>
      </c>
      <c r="AE83">
        <f>HYPERLINK("https://klasma.github.io/Logging_2080/fåglar/A 26586-2023 prioriterade fågelarter.docx", "A 26586-2023")</f>
        <v/>
      </c>
    </row>
    <row r="84" ht="15" customHeight="1">
      <c r="A84" t="inlineStr">
        <is>
          <t>A 13946-2026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46276</v>
      </c>
      <c r="F84" t="inlineStr">
        <is>
          <t>DALARNAS LÄN</t>
        </is>
      </c>
      <c r="G84" t="inlineStr">
        <is>
          <t>FALUN</t>
        </is>
      </c>
      <c r="H84" t="inlineStr">
        <is>
          <t>Allmännings- och besparingsskogar</t>
        </is>
      </c>
      <c r="I84" t="n">
        <v>12.5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Dropptaggsvamp
Ullticka</t>
        </is>
      </c>
      <c r="W84">
        <f>HYPERLINK("https://klasma.github.io/Logging_2080/artfynd/A 13946-2026 artfynd.xlsx", "A 13946-2026")</f>
        <v/>
      </c>
      <c r="X84">
        <f>HYPERLINK("https://klasma.github.io/Logging_2080/kartor/A 13946-2026 karta.png", "A 13946-2026")</f>
        <v/>
      </c>
      <c r="Y84">
        <f>HYPERLINK("https://klasma.github.io/Logging_2080/kartor_geotiff/A 13946-2026 georefererad karta.tif", "A 13946-2026")</f>
        <v/>
      </c>
      <c r="AA84">
        <f>HYPERLINK("https://klasma.github.io/Logging_2080/klagomål/A 13946-2026 FSC-klagomål.docx", "A 13946-2026")</f>
        <v/>
      </c>
      <c r="AB84">
        <f>HYPERLINK("https://klasma.github.io/Logging_2080/klagomålsmail/A 13946-2026 FSC-klagomål mail.docx", "A 13946-2026")</f>
        <v/>
      </c>
      <c r="AC84">
        <f>HYPERLINK("https://klasma.github.io/Logging_2080/tillsyn/A 13946-2026 tillsynsbegäran.docx", "A 13946-2026")</f>
        <v/>
      </c>
      <c r="AD84">
        <f>HYPERLINK("https://klasma.github.io/Logging_2080/tillsynsmail/A 13946-2026 tillsynsbegäran mail.docx", "A 13946-2026")</f>
        <v/>
      </c>
    </row>
    <row r="85" ht="15" customHeight="1">
      <c r="A85" t="inlineStr">
        <is>
          <t>A 15875-2026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46276</v>
      </c>
      <c r="F85" t="inlineStr">
        <is>
          <t>DALARNAS LÄN</t>
        </is>
      </c>
      <c r="G85" t="inlineStr">
        <is>
          <t>FALUN</t>
        </is>
      </c>
      <c r="I85" t="n">
        <v>2.8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Fläcknycklar
Revlummer</t>
        </is>
      </c>
      <c r="W85">
        <f>HYPERLINK("https://klasma.github.io/Logging_2080/artfynd/A 15875-2026 artfynd.xlsx", "A 15875-2026")</f>
        <v/>
      </c>
      <c r="X85">
        <f>HYPERLINK("https://klasma.github.io/Logging_2080/kartor/A 15875-2026 karta.png", "A 15875-2026")</f>
        <v/>
      </c>
      <c r="Y85">
        <f>HYPERLINK("https://klasma.github.io/Logging_2080/kartor_geotiff/A 15875-2026 georefererad karta.tif", "A 15875-2026")</f>
        <v/>
      </c>
      <c r="AA85">
        <f>HYPERLINK("https://klasma.github.io/Logging_2080/klagomål/A 15875-2026 FSC-klagomål.docx", "A 15875-2026")</f>
        <v/>
      </c>
      <c r="AB85">
        <f>HYPERLINK("https://klasma.github.io/Logging_2080/klagomålsmail/A 15875-2026 FSC-klagomål mail.docx", "A 15875-2026")</f>
        <v/>
      </c>
      <c r="AC85">
        <f>HYPERLINK("https://klasma.github.io/Logging_2080/tillsyn/A 15875-2026 tillsynsbegäran.docx", "A 15875-2026")</f>
        <v/>
      </c>
      <c r="AD85">
        <f>HYPERLINK("https://klasma.github.io/Logging_2080/tillsynsmail/A 15875-2026 tillsynsbegäran mail.docx", "A 15875-2026")</f>
        <v/>
      </c>
    </row>
    <row r="86" ht="15" customHeight="1">
      <c r="A86" t="inlineStr">
        <is>
          <t>A 43266-2023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46276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0.7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Brun gräsfjäril
Törnskata</t>
        </is>
      </c>
      <c r="W86">
        <f>HYPERLINK("https://klasma.github.io/Logging_2080/artfynd/A 43266-2023 artfynd.xlsx", "A 43266-2023")</f>
        <v/>
      </c>
      <c r="X86">
        <f>HYPERLINK("https://klasma.github.io/Logging_2080/kartor/A 43266-2023 karta.png", "A 43266-2023")</f>
        <v/>
      </c>
      <c r="Y86">
        <f>HYPERLINK("https://klasma.github.io/Logging_2080/kartor_geotiff/A 43266-2023 georefererad karta.tif", "A 43266-2023")</f>
        <v/>
      </c>
      <c r="AA86">
        <f>HYPERLINK("https://klasma.github.io/Logging_2080/klagomål/A 43266-2023 FSC-klagomål.docx", "A 43266-2023")</f>
        <v/>
      </c>
      <c r="AB86">
        <f>HYPERLINK("https://klasma.github.io/Logging_2080/klagomålsmail/A 43266-2023 FSC-klagomål mail.docx", "A 43266-2023")</f>
        <v/>
      </c>
      <c r="AC86">
        <f>HYPERLINK("https://klasma.github.io/Logging_2080/tillsyn/A 43266-2023 tillsynsbegäran.docx", "A 43266-2023")</f>
        <v/>
      </c>
      <c r="AD86">
        <f>HYPERLINK("https://klasma.github.io/Logging_2080/tillsynsmail/A 43266-2023 tillsynsbegäran mail.docx", "A 43266-2023")</f>
        <v/>
      </c>
      <c r="AE86">
        <f>HYPERLINK("https://klasma.github.io/Logging_2080/fåglar/A 43266-2023 prioriterade fågelarter.docx", "A 43266-2023")</f>
        <v/>
      </c>
    </row>
    <row r="87" ht="15" customHeight="1">
      <c r="A87" t="inlineStr">
        <is>
          <t>A 18031-2026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46125</v>
      </c>
      <c r="E87" s="1" t="n">
        <v>46276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9.1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Slät tallkapuschongbagge
Mindre märgborre</t>
        </is>
      </c>
      <c r="W87">
        <f>HYPERLINK("https://klasma.github.io/Logging_2080/artfynd/A 18031-2026 artfynd.xlsx", "A 18031-2026")</f>
        <v/>
      </c>
      <c r="X87">
        <f>HYPERLINK("https://klasma.github.io/Logging_2080/kartor/A 18031-2026 karta.png", "A 18031-2026")</f>
        <v/>
      </c>
      <c r="Y87">
        <f>HYPERLINK("https://klasma.github.io/Logging_2080/kartor_geotiff/A 18031-2026 georefererad karta.tif", "A 18031-2026")</f>
        <v/>
      </c>
      <c r="AA87">
        <f>HYPERLINK("https://klasma.github.io/Logging_2080/klagomål/A 18031-2026 FSC-klagomål.docx", "A 18031-2026")</f>
        <v/>
      </c>
      <c r="AB87">
        <f>HYPERLINK("https://klasma.github.io/Logging_2080/klagomålsmail/A 18031-2026 FSC-klagomål mail.docx", "A 18031-2026")</f>
        <v/>
      </c>
      <c r="AC87">
        <f>HYPERLINK("https://klasma.github.io/Logging_2080/tillsyn/A 18031-2026 tillsynsbegäran.docx", "A 18031-2026")</f>
        <v/>
      </c>
      <c r="AD87">
        <f>HYPERLINK("https://klasma.github.io/Logging_2080/tillsynsmail/A 18031-2026 tillsynsbegäran mail.docx", "A 18031-2026")</f>
        <v/>
      </c>
    </row>
    <row r="88" ht="15" customHeight="1">
      <c r="A88" t="inlineStr">
        <is>
          <t>A 18460-2026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46127</v>
      </c>
      <c r="E88" s="1" t="n">
        <v>46276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10.5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Skuggblåslav</t>
        </is>
      </c>
      <c r="W88">
        <f>HYPERLINK("https://klasma.github.io/Logging_2080/artfynd/A 18460-2026 artfynd.xlsx", "A 18460-2026")</f>
        <v/>
      </c>
      <c r="X88">
        <f>HYPERLINK("https://klasma.github.io/Logging_2080/kartor/A 18460-2026 karta.png", "A 18460-2026")</f>
        <v/>
      </c>
      <c r="Y88">
        <f>HYPERLINK("https://klasma.github.io/Logging_2080/kartor_geotiff/A 18460-2026 georefererad karta.tif", "A 18460-2026")</f>
        <v/>
      </c>
      <c r="AA88">
        <f>HYPERLINK("https://klasma.github.io/Logging_2080/klagomål/A 18460-2026 FSC-klagomål.docx", "A 18460-2026")</f>
        <v/>
      </c>
      <c r="AB88">
        <f>HYPERLINK("https://klasma.github.io/Logging_2080/klagomålsmail/A 18460-2026 FSC-klagomål mail.docx", "A 18460-2026")</f>
        <v/>
      </c>
      <c r="AC88">
        <f>HYPERLINK("https://klasma.github.io/Logging_2080/tillsyn/A 18460-2026 tillsynsbegäran.docx", "A 18460-2026")</f>
        <v/>
      </c>
      <c r="AD88">
        <f>HYPERLINK("https://klasma.github.io/Logging_2080/tillsynsmail/A 18460-2026 tillsynsbegäran mail.docx", "A 18460-2026")</f>
        <v/>
      </c>
    </row>
    <row r="89" ht="15" customHeight="1">
      <c r="A89" t="inlineStr">
        <is>
          <t>A 19752-2026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46135</v>
      </c>
      <c r="E89" s="1" t="n">
        <v>46276</v>
      </c>
      <c r="F89" t="inlineStr">
        <is>
          <t>DALARNAS LÄN</t>
        </is>
      </c>
      <c r="G89" t="inlineStr">
        <is>
          <t>FALUN</t>
        </is>
      </c>
      <c r="I89" t="n">
        <v>2.9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Kungsfågel</t>
        </is>
      </c>
      <c r="W89">
        <f>HYPERLINK("https://klasma.github.io/Logging_2080/artfynd/A 19752-2026 artfynd.xlsx", "A 19752-2026")</f>
        <v/>
      </c>
      <c r="X89">
        <f>HYPERLINK("https://klasma.github.io/Logging_2080/kartor/A 19752-2026 karta.png", "A 19752-2026")</f>
        <v/>
      </c>
      <c r="Y89">
        <f>HYPERLINK("https://klasma.github.io/Logging_2080/kartor_geotiff/A 19752-2026 georefererad karta.tif", "A 19752-2026")</f>
        <v/>
      </c>
      <c r="AA89">
        <f>HYPERLINK("https://klasma.github.io/Logging_2080/klagomål/A 19752-2026 FSC-klagomål.docx", "A 19752-2026")</f>
        <v/>
      </c>
      <c r="AB89">
        <f>HYPERLINK("https://klasma.github.io/Logging_2080/klagomålsmail/A 19752-2026 FSC-klagomål mail.docx", "A 19752-2026")</f>
        <v/>
      </c>
      <c r="AC89">
        <f>HYPERLINK("https://klasma.github.io/Logging_2080/tillsyn/A 19752-2026 tillsynsbegäran.docx", "A 19752-2026")</f>
        <v/>
      </c>
      <c r="AD89">
        <f>HYPERLINK("https://klasma.github.io/Logging_2080/tillsynsmail/A 19752-2026 tillsynsbegäran mail.docx", "A 19752-2026")</f>
        <v/>
      </c>
      <c r="AE89">
        <f>HYPERLINK("https://klasma.github.io/Logging_2080/fåglar/A 19752-2026 prioriterade fågelarter.docx", "A 19752-2026")</f>
        <v/>
      </c>
    </row>
    <row r="90" ht="15" customHeight="1">
      <c r="A90" t="inlineStr">
        <is>
          <t>A 20658-2026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46276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2.2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Ullticka</t>
        </is>
      </c>
      <c r="W90">
        <f>HYPERLINK("https://klasma.github.io/Logging_2080/artfynd/A 20658-2026 artfynd.xlsx", "A 20658-2026")</f>
        <v/>
      </c>
      <c r="X90">
        <f>HYPERLINK("https://klasma.github.io/Logging_2080/kartor/A 20658-2026 karta.png", "A 20658-2026")</f>
        <v/>
      </c>
      <c r="Y90">
        <f>HYPERLINK("https://klasma.github.io/Logging_2080/kartor_geotiff/A 20658-2026 georefererad karta.tif", "A 20658-2026")</f>
        <v/>
      </c>
      <c r="AA90">
        <f>HYPERLINK("https://klasma.github.io/Logging_2080/klagomål/A 20658-2026 FSC-klagomål.docx", "A 20658-2026")</f>
        <v/>
      </c>
      <c r="AB90">
        <f>HYPERLINK("https://klasma.github.io/Logging_2080/klagomålsmail/A 20658-2026 FSC-klagomål mail.docx", "A 20658-2026")</f>
        <v/>
      </c>
      <c r="AC90">
        <f>HYPERLINK("https://klasma.github.io/Logging_2080/tillsyn/A 20658-2026 tillsynsbegäran.docx", "A 20658-2026")</f>
        <v/>
      </c>
      <c r="AD90">
        <f>HYPERLINK("https://klasma.github.io/Logging_2080/tillsynsmail/A 20658-2026 tillsynsbegäran mail.docx", "A 20658-2026")</f>
        <v/>
      </c>
      <c r="AE90">
        <f>HYPERLINK("https://klasma.github.io/Logging_2080/fåglar/A 20658-2026 prioriterade fågelarter.docx", "A 20658-2026")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46276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44727-2025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46276</v>
      </c>
      <c r="F92" t="inlineStr">
        <is>
          <t>DALARNAS LÄN</t>
        </is>
      </c>
      <c r="G92" t="inlineStr">
        <is>
          <t>FALUN</t>
        </is>
      </c>
      <c r="I92" t="n">
        <v>1.7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Dropptaggsvamp</t>
        </is>
      </c>
      <c r="W92">
        <f>HYPERLINK("https://klasma.github.io/Logging_2080/artfynd/A 44727-2025 artfynd.xlsx", "A 44727-2025")</f>
        <v/>
      </c>
      <c r="X92">
        <f>HYPERLINK("https://klasma.github.io/Logging_2080/kartor/A 44727-2025 karta.png", "A 44727-2025")</f>
        <v/>
      </c>
      <c r="Y92">
        <f>HYPERLINK("https://klasma.github.io/Logging_2080/kartor_geotiff/A 44727-2025 georefererad karta.tif", "A 44727-2025")</f>
        <v/>
      </c>
      <c r="Z92">
        <f>HYPERLINK("https://klasma.github.io/Logging_2080/knärot/A 44727-2025 karta knärot.png", "A 44727-2025")</f>
        <v/>
      </c>
      <c r="AA92">
        <f>HYPERLINK("https://klasma.github.io/Logging_2080/klagomål/A 44727-2025 FSC-klagomål.docx", "A 44727-2025")</f>
        <v/>
      </c>
      <c r="AB92">
        <f>HYPERLINK("https://klasma.github.io/Logging_2080/klagomålsmail/A 44727-2025 FSC-klagomål mail.docx", "A 44727-2025")</f>
        <v/>
      </c>
      <c r="AC92">
        <f>HYPERLINK("https://klasma.github.io/Logging_2080/tillsyn/A 44727-2025 tillsynsbegäran.docx", "A 44727-2025")</f>
        <v/>
      </c>
      <c r="AD92">
        <f>HYPERLINK("https://klasma.github.io/Logging_2080/tillsynsmail/A 44727-2025 tillsynsbegäran mail.docx", "A 44727-2025")</f>
        <v/>
      </c>
    </row>
    <row r="93" ht="15" customHeight="1">
      <c r="A93" t="inlineStr">
        <is>
          <t>A 8751-2024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46276</v>
      </c>
      <c r="F93" t="inlineStr">
        <is>
          <t>DALARNAS LÄN</t>
        </is>
      </c>
      <c r="G93" t="inlineStr">
        <is>
          <t>FALUN</t>
        </is>
      </c>
      <c r="I93" t="n">
        <v>6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Knärot
Vanlig groda</t>
        </is>
      </c>
      <c r="W93">
        <f>HYPERLINK("https://klasma.github.io/Logging_2080/artfynd/A 8751-2024 artfynd.xlsx", "A 8751-2024")</f>
        <v/>
      </c>
      <c r="X93">
        <f>HYPERLINK("https://klasma.github.io/Logging_2080/kartor/A 8751-2024 karta.png", "A 8751-2024")</f>
        <v/>
      </c>
      <c r="Y93">
        <f>HYPERLINK("https://klasma.github.io/Logging_2080/kartor_geotiff/A 8751-2024 georefererad karta.tif", "A 8751-2024")</f>
        <v/>
      </c>
      <c r="Z93">
        <f>HYPERLINK("https://klasma.github.io/Logging_2080/knärot/A 8751-2024 karta knärot.png", "A 8751-2024")</f>
        <v/>
      </c>
      <c r="AA93">
        <f>HYPERLINK("https://klasma.github.io/Logging_2080/klagomål/A 8751-2024 FSC-klagomål.docx", "A 8751-2024")</f>
        <v/>
      </c>
      <c r="AB93">
        <f>HYPERLINK("https://klasma.github.io/Logging_2080/klagomålsmail/A 8751-2024 FSC-klagomål mail.docx", "A 8751-2024")</f>
        <v/>
      </c>
      <c r="AC93">
        <f>HYPERLINK("https://klasma.github.io/Logging_2080/tillsyn/A 8751-2024 tillsynsbegäran.docx", "A 8751-2024")</f>
        <v/>
      </c>
      <c r="AD93">
        <f>HYPERLINK("https://klasma.github.io/Logging_2080/tillsynsmail/A 8751-2024 tillsynsbegäran mail.docx", "A 8751-2024")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46276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33811-2026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46251</v>
      </c>
      <c r="E95" s="1" t="n">
        <v>46276</v>
      </c>
      <c r="F95" t="inlineStr">
        <is>
          <t>DALARNAS LÄN</t>
        </is>
      </c>
      <c r="G95" t="inlineStr">
        <is>
          <t>FALUN</t>
        </is>
      </c>
      <c r="I95" t="n">
        <v>2.6</v>
      </c>
      <c r="J95" t="n">
        <v>1</v>
      </c>
      <c r="K95" t="n">
        <v>0</v>
      </c>
      <c r="L95" t="n">
        <v>0</v>
      </c>
      <c r="M95" t="n">
        <v>2</v>
      </c>
      <c r="N95" t="n">
        <v>0</v>
      </c>
      <c r="O95" t="n">
        <v>0</v>
      </c>
      <c r="P95" t="n">
        <v>0</v>
      </c>
      <c r="Q95" t="n">
        <v>2</v>
      </c>
      <c r="R95" t="n">
        <v>2</v>
      </c>
      <c r="S95" t="n">
        <v>2</v>
      </c>
      <c r="T95" t="n">
        <v>6</v>
      </c>
      <c r="U95" t="n">
        <v>6</v>
      </c>
      <c r="V95" s="2" t="inlineStr">
        <is>
          <t>Garnlav
Knärot</t>
        </is>
      </c>
      <c r="W95">
        <f>HYPERLINK("https://klasma.github.io/Logging_2080/artfynd/A 33811-2026 artfynd.xlsx", "A 33811-2026")</f>
        <v/>
      </c>
      <c r="X95">
        <f>HYPERLINK("https://klasma.github.io/Logging_2080/kartor/A 33811-2026 karta.png", "A 33811-2026")</f>
        <v/>
      </c>
      <c r="Y95">
        <f>HYPERLINK("https://klasma.github.io/Logging_2080/kartor_geotiff/A 33811-2026 georefererad karta.tif", "A 33811-2026")</f>
        <v/>
      </c>
      <c r="Z95">
        <f>HYPERLINK("https://klasma.github.io/Logging_2080/knärot/A 33811-2026 karta knärot.png", "A 33811-2026")</f>
        <v/>
      </c>
      <c r="AA95">
        <f>HYPERLINK("https://klasma.github.io/Logging_2080/klagomål/A 33811-2026 FSC-klagomål.docx", "A 33811-2026")</f>
        <v/>
      </c>
      <c r="AB95">
        <f>HYPERLINK("https://klasma.github.io/Logging_2080/klagomålsmail/A 33811-2026 FSC-klagomål mail.docx", "A 33811-2026")</f>
        <v/>
      </c>
      <c r="AC95">
        <f>HYPERLINK("https://klasma.github.io/Logging_2080/tillsyn/A 33811-2026 tillsynsbegäran.docx", "A 33811-2026")</f>
        <v/>
      </c>
      <c r="AD95">
        <f>HYPERLINK("https://klasma.github.io/Logging_2080/tillsynsmail/A 33811-2026 tillsynsbegäran mail.docx", "A 33811-2026")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46276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22969-2025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45790</v>
      </c>
      <c r="E97" s="1" t="n">
        <v>46276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9.1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Gul taggsvamp
Dofttaggsvamp</t>
        </is>
      </c>
      <c r="W97">
        <f>HYPERLINK("https://klasma.github.io/Logging_2080/artfynd/A 22969-2025 artfynd.xlsx", "A 22969-2025")</f>
        <v/>
      </c>
      <c r="X97">
        <f>HYPERLINK("https://klasma.github.io/Logging_2080/kartor/A 22969-2025 karta.png", "A 22969-2025")</f>
        <v/>
      </c>
      <c r="Y97">
        <f>HYPERLINK("https://klasma.github.io/Logging_2080/kartor_geotiff/A 22969-2025 georefererad karta.tif", "A 22969-2025")</f>
        <v/>
      </c>
      <c r="AA97">
        <f>HYPERLINK("https://klasma.github.io/Logging_2080/klagomål/A 22969-2025 FSC-klagomål.docx", "A 22969-2025")</f>
        <v/>
      </c>
      <c r="AB97">
        <f>HYPERLINK("https://klasma.github.io/Logging_2080/klagomålsmail/A 22969-2025 FSC-klagomål mail.docx", "A 22969-2025")</f>
        <v/>
      </c>
      <c r="AC97">
        <f>HYPERLINK("https://klasma.github.io/Logging_2080/tillsyn/A 22969-2025 tillsynsbegäran.docx", "A 22969-2025")</f>
        <v/>
      </c>
      <c r="AD97">
        <f>HYPERLINK("https://klasma.github.io/Logging_2080/tillsynsmail/A 22969-2025 tillsynsbegäran mail.docx", "A 22969-2025")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46276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46276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46276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46276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46276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46276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46963-2023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45201</v>
      </c>
      <c r="E104" s="1" t="n">
        <v>46276</v>
      </c>
      <c r="F104" t="inlineStr">
        <is>
          <t>DALARNAS LÄN</t>
        </is>
      </c>
      <c r="G104" t="inlineStr">
        <is>
          <t>FALUN</t>
        </is>
      </c>
      <c r="I104" t="n">
        <v>13.6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HYPERLINK("https://klasma.github.io/Logging_2080/artfynd/A 46963-2023 artfynd.xlsx", "A 46963-2023")</f>
        <v/>
      </c>
      <c r="X104">
        <f>HYPERLINK("https://klasma.github.io/Logging_2080/kartor/A 46963-2023 karta.png", "A 46963-2023")</f>
        <v/>
      </c>
      <c r="Y104">
        <f>HYPERLINK("https://klasma.github.io/Logging_2080/kartor_geotiff/A 46963-2023 georefererad karta.tif", "A 46963-2023")</f>
        <v/>
      </c>
      <c r="AA104">
        <f>HYPERLINK("https://klasma.github.io/Logging_2080/klagomål/A 46963-2023 FSC-klagomål.docx", "A 46963-2023")</f>
        <v/>
      </c>
      <c r="AB104">
        <f>HYPERLINK("https://klasma.github.io/Logging_2080/klagomålsmail/A 46963-2023 FSC-klagomål mail.docx", "A 46963-2023")</f>
        <v/>
      </c>
      <c r="AC104">
        <f>HYPERLINK("https://klasma.github.io/Logging_2080/tillsyn/A 46963-2023 tillsynsbegäran.docx", "A 46963-2023")</f>
        <v/>
      </c>
      <c r="AD104">
        <f>HYPERLINK("https://klasma.github.io/Logging_2080/tillsynsmail/A 46963-2023 tillsynsbegäran mail.docx", "A 46963-2023")</f>
        <v/>
      </c>
      <c r="AE104">
        <f>HYPERLINK("https://klasma.github.io/Logging_2080/fåglar/A 46963-2023 prioriterade fågelarter.docx", "A 46963-2023")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46276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26721-2025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46276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Doftskinn</t>
        </is>
      </c>
      <c r="W106">
        <f>HYPERLINK("https://klasma.github.io/Logging_2080/artfynd/A 26721-2025 artfynd.xlsx", "A 26721-2025")</f>
        <v/>
      </c>
      <c r="X106">
        <f>HYPERLINK("https://klasma.github.io/Logging_2080/kartor/A 26721-2025 karta.png", "A 26721-2025")</f>
        <v/>
      </c>
      <c r="Y106">
        <f>HYPERLINK("https://klasma.github.io/Logging_2080/kartor_geotiff/A 26721-2025 georefererad karta.tif", "A 26721-2025")</f>
        <v/>
      </c>
      <c r="AA106">
        <f>HYPERLINK("https://klasma.github.io/Logging_2080/klagomål/A 26721-2025 FSC-klagomål.docx", "A 26721-2025")</f>
        <v/>
      </c>
      <c r="AB106">
        <f>HYPERLINK("https://klasma.github.io/Logging_2080/klagomålsmail/A 26721-2025 FSC-klagomål mail.docx", "A 26721-2025")</f>
        <v/>
      </c>
      <c r="AC106">
        <f>HYPERLINK("https://klasma.github.io/Logging_2080/tillsyn/A 26721-2025 tillsynsbegäran.docx", "A 26721-2025")</f>
        <v/>
      </c>
      <c r="AD106">
        <f>HYPERLINK("https://klasma.github.io/Logging_2080/tillsynsmail/A 26721-2025 tillsynsbegäran mail.docx", "A 26721-2025")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46276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1342-2026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46276</v>
      </c>
      <c r="F108" t="inlineStr">
        <is>
          <t>DALARNAS LÄN</t>
        </is>
      </c>
      <c r="G108" t="inlineStr">
        <is>
          <t>FALUN</t>
        </is>
      </c>
      <c r="I108" t="n">
        <v>14.9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HYPERLINK("https://klasma.github.io/Logging_2080/artfynd/A 1342-2026 artfynd.xlsx", "A 1342-2026")</f>
        <v/>
      </c>
      <c r="X108">
        <f>HYPERLINK("https://klasma.github.io/Logging_2080/kartor/A 1342-2026 karta.png", "A 1342-2026")</f>
        <v/>
      </c>
      <c r="Y108">
        <f>HYPERLINK("https://klasma.github.io/Logging_2080/kartor_geotiff/A 1342-2026 georefererad karta.tif", "A 1342-2026")</f>
        <v/>
      </c>
      <c r="AA108">
        <f>HYPERLINK("https://klasma.github.io/Logging_2080/klagomål/A 1342-2026 FSC-klagomål.docx", "A 1342-2026")</f>
        <v/>
      </c>
      <c r="AB108">
        <f>HYPERLINK("https://klasma.github.io/Logging_2080/klagomålsmail/A 1342-2026 FSC-klagomål mail.docx", "A 1342-2026")</f>
        <v/>
      </c>
      <c r="AC108">
        <f>HYPERLINK("https://klasma.github.io/Logging_2080/tillsyn/A 1342-2026 tillsynsbegäran.docx", "A 1342-2026")</f>
        <v/>
      </c>
      <c r="AD108">
        <f>HYPERLINK("https://klasma.github.io/Logging_2080/tillsynsmail/A 1342-2026 tillsynsbegäran mail.docx", "A 1342-2026")</f>
        <v/>
      </c>
    </row>
    <row r="109" ht="15" customHeight="1">
      <c r="A109" t="inlineStr">
        <is>
          <t>A 26776-2025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46276</v>
      </c>
      <c r="F109" t="inlineStr">
        <is>
          <t>DALARNAS LÄN</t>
        </is>
      </c>
      <c r="G109" t="inlineStr">
        <is>
          <t>FALUN</t>
        </is>
      </c>
      <c r="H109" t="inlineStr">
        <is>
          <t>Bergvik skog väst AB</t>
        </is>
      </c>
      <c r="I109" t="n">
        <v>10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Skör kvastmossa</t>
        </is>
      </c>
      <c r="W109">
        <f>HYPERLINK("https://klasma.github.io/Logging_2080/artfynd/A 26776-2025 artfynd.xlsx", "A 26776-2025")</f>
        <v/>
      </c>
      <c r="X109">
        <f>HYPERLINK("https://klasma.github.io/Logging_2080/kartor/A 26776-2025 karta.png", "A 26776-2025")</f>
        <v/>
      </c>
      <c r="Y109">
        <f>HYPERLINK("https://klasma.github.io/Logging_2080/kartor_geotiff/A 26776-2025 georefererad karta.tif", "A 26776-2025")</f>
        <v/>
      </c>
      <c r="AA109">
        <f>HYPERLINK("https://klasma.github.io/Logging_2080/klagomål/A 26776-2025 FSC-klagomål.docx", "A 26776-2025")</f>
        <v/>
      </c>
      <c r="AB109">
        <f>HYPERLINK("https://klasma.github.io/Logging_2080/klagomålsmail/A 26776-2025 FSC-klagomål mail.docx", "A 26776-2025")</f>
        <v/>
      </c>
      <c r="AC109">
        <f>HYPERLINK("https://klasma.github.io/Logging_2080/tillsyn/A 26776-2025 tillsynsbegäran.docx", "A 26776-2025")</f>
        <v/>
      </c>
      <c r="AD109">
        <f>HYPERLINK("https://klasma.github.io/Logging_2080/tillsynsmail/A 26776-2025 tillsynsbegäran mail.docx", "A 26776-2025")</f>
        <v/>
      </c>
    </row>
    <row r="110" ht="15" customHeight="1">
      <c r="A110" t="inlineStr">
        <is>
          <t>A 28679-2025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45819</v>
      </c>
      <c r="E110" s="1" t="n">
        <v>46276</v>
      </c>
      <c r="F110" t="inlineStr">
        <is>
          <t>DALARNAS LÄN</t>
        </is>
      </c>
      <c r="G110" t="inlineStr">
        <is>
          <t>FALUN</t>
        </is>
      </c>
      <c r="H110" t="inlineStr">
        <is>
          <t>Allmännings- och besparingsskogar</t>
        </is>
      </c>
      <c r="I110" t="n">
        <v>11.3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HYPERLINK("https://klasma.github.io/Logging_2080/artfynd/A 28679-2025 artfynd.xlsx", "A 28679-2025")</f>
        <v/>
      </c>
      <c r="X110">
        <f>HYPERLINK("https://klasma.github.io/Logging_2080/kartor/A 28679-2025 karta.png", "A 28679-2025")</f>
        <v/>
      </c>
      <c r="Y110">
        <f>HYPERLINK("https://klasma.github.io/Logging_2080/kartor_geotiff/A 28679-2025 georefererad karta.tif", "A 28679-2025")</f>
        <v/>
      </c>
      <c r="AA110">
        <f>HYPERLINK("https://klasma.github.io/Logging_2080/klagomål/A 28679-2025 FSC-klagomål.docx", "A 28679-2025")</f>
        <v/>
      </c>
      <c r="AB110">
        <f>HYPERLINK("https://klasma.github.io/Logging_2080/klagomålsmail/A 28679-2025 FSC-klagomål mail.docx", "A 28679-2025")</f>
        <v/>
      </c>
      <c r="AC110">
        <f>HYPERLINK("https://klasma.github.io/Logging_2080/tillsyn/A 28679-2025 tillsynsbegäran.docx", "A 28679-2025")</f>
        <v/>
      </c>
      <c r="AD110">
        <f>HYPERLINK("https://klasma.github.io/Logging_2080/tillsynsmail/A 28679-2025 tillsynsbegäran mail.docx", "A 28679-2025")</f>
        <v/>
      </c>
    </row>
    <row r="111" ht="15" customHeight="1">
      <c r="A111" t="inlineStr">
        <is>
          <t>A 1317-2026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46276</v>
      </c>
      <c r="F111" t="inlineStr">
        <is>
          <t>DALARNAS LÄN</t>
        </is>
      </c>
      <c r="G111" t="inlineStr">
        <is>
          <t>FALUN</t>
        </is>
      </c>
      <c r="I111" t="n">
        <v>27.3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 groddlummer</t>
        </is>
      </c>
      <c r="W111">
        <f>HYPERLINK("https://klasma.github.io/Logging_2080/artfynd/A 1317-2026 artfynd.xlsx", "A 1317-2026")</f>
        <v/>
      </c>
      <c r="X111">
        <f>HYPERLINK("https://klasma.github.io/Logging_2080/kartor/A 1317-2026 karta.png", "A 1317-2026")</f>
        <v/>
      </c>
      <c r="Y111">
        <f>HYPERLINK("https://klasma.github.io/Logging_2080/kartor_geotiff/A 1317-2026 georefererad karta.tif", "A 1317-2026")</f>
        <v/>
      </c>
      <c r="AA111">
        <f>HYPERLINK("https://klasma.github.io/Logging_2080/klagomål/A 1317-2026 FSC-klagomål.docx", "A 1317-2026")</f>
        <v/>
      </c>
      <c r="AB111">
        <f>HYPERLINK("https://klasma.github.io/Logging_2080/klagomålsmail/A 1317-2026 FSC-klagomål mail.docx", "A 1317-2026")</f>
        <v/>
      </c>
      <c r="AC111">
        <f>HYPERLINK("https://klasma.github.io/Logging_2080/tillsyn/A 1317-2026 tillsynsbegäran.docx", "A 1317-2026")</f>
        <v/>
      </c>
      <c r="AD111">
        <f>HYPERLINK("https://klasma.github.io/Logging_2080/tillsynsmail/A 1317-2026 tillsynsbegäran mail.docx", "A 1317-2026")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46276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HYPERLINK("https://klasma.github.io/Logging_2080/artfynd/A 51870-2022 artfynd.xlsx", "A 51870-2022")</f>
        <v/>
      </c>
      <c r="X112">
        <f>HYPERLINK("https://klasma.github.io/Logging_2080/kartor/A 51870-2022 karta.png", "A 51870-2022")</f>
        <v/>
      </c>
      <c r="Y112">
        <f>HYPERLINK("https://klasma.github.io/Logging_2080/kartor_geotiff/A 51870-2022 georefererad karta.tif", "A 51870-2022")</f>
        <v/>
      </c>
      <c r="AA112">
        <f>HYPERLINK("https://klasma.github.io/Logging_2080/klagomål/A 51870-2022 FSC-klagomål.docx", "A 51870-2022")</f>
        <v/>
      </c>
      <c r="AB112">
        <f>HYPERLINK("https://klasma.github.io/Logging_2080/klagomålsmail/A 51870-2022 FSC-klagomål mail.docx", "A 51870-2022")</f>
        <v/>
      </c>
      <c r="AC112">
        <f>HYPERLINK("https://klasma.github.io/Logging_2080/tillsyn/A 51870-2022 tillsynsbegäran.docx", "A 51870-2022")</f>
        <v/>
      </c>
      <c r="AD112">
        <f>HYPERLINK("https://klasma.github.io/Logging_2080/tillsynsmail/A 51870-2022 tillsynsbegäran mail.docx", "A 51870-2022")</f>
        <v/>
      </c>
      <c r="AE112">
        <f>HYPERLINK("https://klasma.github.io/Logging_2080/fåglar/A 51870-2022 prioriterade fågelarter.docx", "A 51870-2022")</f>
        <v/>
      </c>
    </row>
    <row r="113" ht="15" customHeight="1">
      <c r="A113" t="inlineStr">
        <is>
          <t>A 4921-2026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46276</v>
      </c>
      <c r="F113" t="inlineStr">
        <is>
          <t>DALARNAS LÄN</t>
        </is>
      </c>
      <c r="G113" t="inlineStr">
        <is>
          <t>FALUN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HYPERLINK("https://klasma.github.io/Logging_2080/artfynd/A 4921-2026 artfynd.xlsx", "A 4921-2026")</f>
        <v/>
      </c>
      <c r="X113">
        <f>HYPERLINK("https://klasma.github.io/Logging_2080/kartor/A 4921-2026 karta.png", "A 4921-2026")</f>
        <v/>
      </c>
      <c r="Y113">
        <f>HYPERLINK("https://klasma.github.io/Logging_2080/kartor_geotiff/A 4921-2026 georefererad karta.tif", "A 4921-2026")</f>
        <v/>
      </c>
      <c r="AA113">
        <f>HYPERLINK("https://klasma.github.io/Logging_2080/klagomål/A 4921-2026 FSC-klagomål.docx", "A 4921-2026")</f>
        <v/>
      </c>
      <c r="AB113">
        <f>HYPERLINK("https://klasma.github.io/Logging_2080/klagomålsmail/A 4921-2026 FSC-klagomål mail.docx", "A 4921-2026")</f>
        <v/>
      </c>
      <c r="AC113">
        <f>HYPERLINK("https://klasma.github.io/Logging_2080/tillsyn/A 4921-2026 tillsynsbegäran.docx", "A 4921-2026")</f>
        <v/>
      </c>
      <c r="AD113">
        <f>HYPERLINK("https://klasma.github.io/Logging_2080/tillsynsmail/A 4921-2026 tillsynsbegäran mail.docx", "A 4921-2026")</f>
        <v/>
      </c>
    </row>
    <row r="114" ht="15" customHeight="1">
      <c r="A114" t="inlineStr">
        <is>
          <t>A 3552-2026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46276</v>
      </c>
      <c r="F114" t="inlineStr">
        <is>
          <t>DALARNAS LÄN</t>
        </is>
      </c>
      <c r="G114" t="inlineStr">
        <is>
          <t>FALUN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HYPERLINK("https://klasma.github.io/Logging_2080/artfynd/A 3552-2026 artfynd.xlsx", "A 3552-2026")</f>
        <v/>
      </c>
      <c r="X114">
        <f>HYPERLINK("https://klasma.github.io/Logging_2080/kartor/A 3552-2026 karta.png", "A 3552-2026")</f>
        <v/>
      </c>
      <c r="Y114">
        <f>HYPERLINK("https://klasma.github.io/Logging_2080/kartor_geotiff/A 3552-2026 georefererad karta.tif", "A 3552-2026")</f>
        <v/>
      </c>
      <c r="AA114">
        <f>HYPERLINK("https://klasma.github.io/Logging_2080/klagomål/A 3552-2026 FSC-klagomål.docx", "A 3552-2026")</f>
        <v/>
      </c>
      <c r="AB114">
        <f>HYPERLINK("https://klasma.github.io/Logging_2080/klagomålsmail/A 3552-2026 FSC-klagomål mail.docx", "A 3552-2026")</f>
        <v/>
      </c>
      <c r="AC114">
        <f>HYPERLINK("https://klasma.github.io/Logging_2080/tillsyn/A 3552-2026 tillsynsbegäran.docx", "A 3552-2026")</f>
        <v/>
      </c>
      <c r="AD114">
        <f>HYPERLINK("https://klasma.github.io/Logging_2080/tillsynsmail/A 3552-2026 tillsynsbegäran mail.docx", "A 3552-2026")</f>
        <v/>
      </c>
      <c r="AE114">
        <f>HYPERLINK("https://klasma.github.io/Logging_2080/fåglar/A 3552-2026 prioriterade fågelarter.docx", "A 3552-2026")</f>
        <v/>
      </c>
    </row>
    <row r="115" ht="15" customHeight="1">
      <c r="A115" t="inlineStr">
        <is>
          <t>A 21813-2023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45068</v>
      </c>
      <c r="E115" s="1" t="n">
        <v>46276</v>
      </c>
      <c r="F115" t="inlineStr">
        <is>
          <t>DALARNAS LÄN</t>
        </is>
      </c>
      <c r="G115" t="inlineStr">
        <is>
          <t>FALUN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Brun gräsfjäril</t>
        </is>
      </c>
      <c r="W115">
        <f>HYPERLINK("https://klasma.github.io/Logging_2080/artfynd/A 21813-2023 artfynd.xlsx", "A 21813-2023")</f>
        <v/>
      </c>
      <c r="X115">
        <f>HYPERLINK("https://klasma.github.io/Logging_2080/kartor/A 21813-2023 karta.png", "A 21813-2023")</f>
        <v/>
      </c>
      <c r="Y115">
        <f>HYPERLINK("https://klasma.github.io/Logging_2080/kartor_geotiff/A 21813-2023 georefererad karta.tif", "A 21813-2023")</f>
        <v/>
      </c>
      <c r="AA115">
        <f>HYPERLINK("https://klasma.github.io/Logging_2080/klagomål/A 21813-2023 FSC-klagomål.docx", "A 21813-2023")</f>
        <v/>
      </c>
      <c r="AB115">
        <f>HYPERLINK("https://klasma.github.io/Logging_2080/klagomålsmail/A 21813-2023 FSC-klagomål mail.docx", "A 21813-2023")</f>
        <v/>
      </c>
      <c r="AC115">
        <f>HYPERLINK("https://klasma.github.io/Logging_2080/tillsyn/A 21813-2023 tillsynsbegäran.docx", "A 21813-2023")</f>
        <v/>
      </c>
      <c r="AD115">
        <f>HYPERLINK("https://klasma.github.io/Logging_2080/tillsynsmail/A 21813-2023 tillsynsbegäran mail.docx", "A 21813-2023")</f>
        <v/>
      </c>
    </row>
    <row r="116" ht="15" customHeight="1">
      <c r="A116" t="inlineStr">
        <is>
          <t>A 4537-2026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46046</v>
      </c>
      <c r="E116" s="1" t="n">
        <v>46276</v>
      </c>
      <c r="F116" t="inlineStr">
        <is>
          <t>DALARNAS LÄN</t>
        </is>
      </c>
      <c r="G116" t="inlineStr">
        <is>
          <t>FALUN</t>
        </is>
      </c>
      <c r="I116" t="n">
        <v>4.8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Knärot</t>
        </is>
      </c>
      <c r="W116">
        <f>HYPERLINK("https://klasma.github.io/Logging_2080/artfynd/A 4537-2026 artfynd.xlsx", "A 4537-2026")</f>
        <v/>
      </c>
      <c r="X116">
        <f>HYPERLINK("https://klasma.github.io/Logging_2080/kartor/A 4537-2026 karta.png", "A 4537-2026")</f>
        <v/>
      </c>
      <c r="Y116">
        <f>HYPERLINK("https://klasma.github.io/Logging_2080/kartor_geotiff/A 4537-2026 georefererad karta.tif", "A 4537-2026")</f>
        <v/>
      </c>
      <c r="Z116">
        <f>HYPERLINK("https://klasma.github.io/Logging_2080/knärot/A 4537-2026 karta knärot.png", "A 4537-2026")</f>
        <v/>
      </c>
      <c r="AA116">
        <f>HYPERLINK("https://klasma.github.io/Logging_2080/klagomål/A 4537-2026 FSC-klagomål.docx", "A 4537-2026")</f>
        <v/>
      </c>
      <c r="AB116">
        <f>HYPERLINK("https://klasma.github.io/Logging_2080/klagomålsmail/A 4537-2026 FSC-klagomål mail.docx", "A 4537-2026")</f>
        <v/>
      </c>
      <c r="AC116">
        <f>HYPERLINK("https://klasma.github.io/Logging_2080/tillsyn/A 4537-2026 tillsynsbegäran.docx", "A 4537-2026")</f>
        <v/>
      </c>
      <c r="AD116">
        <f>HYPERLINK("https://klasma.github.io/Logging_2080/tillsynsmail/A 4537-2026 tillsynsbegäran mail.docx", "A 4537-2026")</f>
        <v/>
      </c>
    </row>
    <row r="117" ht="15" customHeight="1">
      <c r="A117" t="inlineStr">
        <is>
          <t>A 36199-2025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46276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Rynkskinn</t>
        </is>
      </c>
      <c r="W117">
        <f>HYPERLINK("https://klasma.github.io/Logging_2080/artfynd/A 36199-2025 artfynd.xlsx", "A 36199-2025")</f>
        <v/>
      </c>
      <c r="X117">
        <f>HYPERLINK("https://klasma.github.io/Logging_2080/kartor/A 36199-2025 karta.png", "A 36199-2025")</f>
        <v/>
      </c>
      <c r="Y117">
        <f>HYPERLINK("https://klasma.github.io/Logging_2080/kartor_geotiff/A 36199-2025 georefererad karta.tif", "A 36199-2025")</f>
        <v/>
      </c>
      <c r="AA117">
        <f>HYPERLINK("https://klasma.github.io/Logging_2080/klagomål/A 36199-2025 FSC-klagomål.docx", "A 36199-2025")</f>
        <v/>
      </c>
      <c r="AB117">
        <f>HYPERLINK("https://klasma.github.io/Logging_2080/klagomålsmail/A 36199-2025 FSC-klagomål mail.docx", "A 36199-2025")</f>
        <v/>
      </c>
      <c r="AC117">
        <f>HYPERLINK("https://klasma.github.io/Logging_2080/tillsyn/A 36199-2025 tillsynsbegäran.docx", "A 36199-2025")</f>
        <v/>
      </c>
      <c r="AD117">
        <f>HYPERLINK("https://klasma.github.io/Logging_2080/tillsynsmail/A 36199-2025 tillsynsbegäran mail.docx", "A 36199-2025")</f>
        <v/>
      </c>
    </row>
    <row r="118" ht="15" customHeight="1">
      <c r="A118" t="inlineStr">
        <is>
          <t>A 61661-2024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46276</v>
      </c>
      <c r="F118" t="inlineStr">
        <is>
          <t>DALARNAS LÄN</t>
        </is>
      </c>
      <c r="G118" t="inlineStr">
        <is>
          <t>FALUN</t>
        </is>
      </c>
      <c r="I118" t="n">
        <v>9.300000000000001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61661-2024 artfynd.xlsx", "A 61661-2024")</f>
        <v/>
      </c>
      <c r="X118">
        <f>HYPERLINK("https://klasma.github.io/Logging_2080/kartor/A 61661-2024 karta.png", "A 61661-2024")</f>
        <v/>
      </c>
      <c r="Y118">
        <f>HYPERLINK("https://klasma.github.io/Logging_2080/kartor_geotiff/A 61661-2024 georefererad karta.tif", "A 61661-2024")</f>
        <v/>
      </c>
      <c r="AA118">
        <f>HYPERLINK("https://klasma.github.io/Logging_2080/klagomål/A 61661-2024 FSC-klagomål.docx", "A 61661-2024")</f>
        <v/>
      </c>
      <c r="AB118">
        <f>HYPERLINK("https://klasma.github.io/Logging_2080/klagomålsmail/A 61661-2024 FSC-klagomål mail.docx", "A 61661-2024")</f>
        <v/>
      </c>
      <c r="AC118">
        <f>HYPERLINK("https://klasma.github.io/Logging_2080/tillsyn/A 61661-2024 tillsynsbegäran.docx", "A 61661-2024")</f>
        <v/>
      </c>
      <c r="AD118">
        <f>HYPERLINK("https://klasma.github.io/Logging_2080/tillsynsmail/A 61661-2024 tillsynsbegäran mail.docx", "A 61661-2024")</f>
        <v/>
      </c>
    </row>
    <row r="119" ht="15" customHeight="1">
      <c r="A119" t="inlineStr">
        <is>
          <t>A 19421-2024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46276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Lunglav</t>
        </is>
      </c>
      <c r="W119">
        <f>HYPERLINK("https://klasma.github.io/Logging_2080/artfynd/A 19421-2024 artfynd.xlsx", "A 19421-2024")</f>
        <v/>
      </c>
      <c r="X119">
        <f>HYPERLINK("https://klasma.github.io/Logging_2080/kartor/A 19421-2024 karta.png", "A 19421-2024")</f>
        <v/>
      </c>
      <c r="Y119">
        <f>HYPERLINK("https://klasma.github.io/Logging_2080/kartor_geotiff/A 19421-2024 georefererad karta.tif", "A 19421-2024")</f>
        <v/>
      </c>
      <c r="AA119">
        <f>HYPERLINK("https://klasma.github.io/Logging_2080/klagomål/A 19421-2024 FSC-klagomål.docx", "A 19421-2024")</f>
        <v/>
      </c>
      <c r="AB119">
        <f>HYPERLINK("https://klasma.github.io/Logging_2080/klagomålsmail/A 19421-2024 FSC-klagomål mail.docx", "A 19421-2024")</f>
        <v/>
      </c>
      <c r="AC119">
        <f>HYPERLINK("https://klasma.github.io/Logging_2080/tillsyn/A 19421-2024 tillsynsbegäran.docx", "A 19421-2024")</f>
        <v/>
      </c>
      <c r="AD119">
        <f>HYPERLINK("https://klasma.github.io/Logging_2080/tillsynsmail/A 19421-2024 tillsynsbegäran mail.docx", "A 19421-2024")</f>
        <v/>
      </c>
    </row>
    <row r="120" ht="15" customHeight="1">
      <c r="A120" t="inlineStr">
        <is>
          <t>A 6962-2026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46276</v>
      </c>
      <c r="F120" t="inlineStr">
        <is>
          <t>DALARNAS LÄN</t>
        </is>
      </c>
      <c r="G120" t="inlineStr">
        <is>
          <t>FALUN</t>
        </is>
      </c>
      <c r="H120" t="inlineStr">
        <is>
          <t>Allmännings- och besparingsskogar</t>
        </is>
      </c>
      <c r="I120" t="n">
        <v>20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6962-2026 artfynd.xlsx", "A 6962-2026")</f>
        <v/>
      </c>
      <c r="X120">
        <f>HYPERLINK("https://klasma.github.io/Logging_2080/kartor/A 6962-2026 karta.png", "A 6962-2026")</f>
        <v/>
      </c>
      <c r="Y120">
        <f>HYPERLINK("https://klasma.github.io/Logging_2080/kartor_geotiff/A 6962-2026 georefererad karta.tif", "A 6962-2026")</f>
        <v/>
      </c>
      <c r="AA120">
        <f>HYPERLINK("https://klasma.github.io/Logging_2080/klagomål/A 6962-2026 FSC-klagomål.docx", "A 6962-2026")</f>
        <v/>
      </c>
      <c r="AB120">
        <f>HYPERLINK("https://klasma.github.io/Logging_2080/klagomålsmail/A 6962-2026 FSC-klagomål mail.docx", "A 6962-2026")</f>
        <v/>
      </c>
      <c r="AC120">
        <f>HYPERLINK("https://klasma.github.io/Logging_2080/tillsyn/A 6962-2026 tillsynsbegäran.docx", "A 6962-2026")</f>
        <v/>
      </c>
      <c r="AD120">
        <f>HYPERLINK("https://klasma.github.io/Logging_2080/tillsynsmail/A 6962-2026 tillsynsbegäran mail.docx", "A 6962-2026")</f>
        <v/>
      </c>
    </row>
    <row r="121" ht="15" customHeight="1">
      <c r="A121" t="inlineStr">
        <is>
          <t>A 6951-2026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46057</v>
      </c>
      <c r="E121" s="1" t="n">
        <v>46276</v>
      </c>
      <c r="F121" t="inlineStr">
        <is>
          <t>DALARNAS LÄN</t>
        </is>
      </c>
      <c r="G121" t="inlineStr">
        <is>
          <t>FALUN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6951-2026 artfynd.xlsx", "A 6951-2026")</f>
        <v/>
      </c>
      <c r="X121">
        <f>HYPERLINK("https://klasma.github.io/Logging_2080/kartor/A 6951-2026 karta.png", "A 6951-2026")</f>
        <v/>
      </c>
      <c r="Y121">
        <f>HYPERLINK("https://klasma.github.io/Logging_2080/kartor_geotiff/A 6951-2026 georefererad karta.tif", "A 6951-2026")</f>
        <v/>
      </c>
      <c r="AA121">
        <f>HYPERLINK("https://klasma.github.io/Logging_2080/klagomål/A 6951-2026 FSC-klagomål.docx", "A 6951-2026")</f>
        <v/>
      </c>
      <c r="AB121">
        <f>HYPERLINK("https://klasma.github.io/Logging_2080/klagomålsmail/A 6951-2026 FSC-klagomål mail.docx", "A 6951-2026")</f>
        <v/>
      </c>
      <c r="AC121">
        <f>HYPERLINK("https://klasma.github.io/Logging_2080/tillsyn/A 6951-2026 tillsynsbegäran.docx", "A 6951-2026")</f>
        <v/>
      </c>
      <c r="AD121">
        <f>HYPERLINK("https://klasma.github.io/Logging_2080/tillsynsmail/A 6951-2026 tillsynsbegäran mail.docx", "A 6951-2026")</f>
        <v/>
      </c>
    </row>
    <row r="122" ht="15" customHeight="1">
      <c r="A122" t="inlineStr">
        <is>
          <t>A 6968-2026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46276</v>
      </c>
      <c r="F122" t="inlineStr">
        <is>
          <t>DALARNAS LÄN</t>
        </is>
      </c>
      <c r="G122" t="inlineStr">
        <is>
          <t>FALUN</t>
        </is>
      </c>
      <c r="H122" t="inlineStr">
        <is>
          <t>Allmännings- och besparingsskogar</t>
        </is>
      </c>
      <c r="I122" t="n">
        <v>14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6968-2026 artfynd.xlsx", "A 6968-2026")</f>
        <v/>
      </c>
      <c r="X122">
        <f>HYPERLINK("https://klasma.github.io/Logging_2080/kartor/A 6968-2026 karta.png", "A 6968-2026")</f>
        <v/>
      </c>
      <c r="Y122">
        <f>HYPERLINK("https://klasma.github.io/Logging_2080/kartor_geotiff/A 6968-2026 georefererad karta.tif", "A 6968-2026")</f>
        <v/>
      </c>
      <c r="AA122">
        <f>HYPERLINK("https://klasma.github.io/Logging_2080/klagomål/A 6968-2026 FSC-klagomål.docx", "A 6968-2026")</f>
        <v/>
      </c>
      <c r="AB122">
        <f>HYPERLINK("https://klasma.github.io/Logging_2080/klagomålsmail/A 6968-2026 FSC-klagomål mail.docx", "A 6968-2026")</f>
        <v/>
      </c>
      <c r="AC122">
        <f>HYPERLINK("https://klasma.github.io/Logging_2080/tillsyn/A 6968-2026 tillsynsbegäran.docx", "A 6968-2026")</f>
        <v/>
      </c>
      <c r="AD122">
        <f>HYPERLINK("https://klasma.github.io/Logging_2080/tillsynsmail/A 6968-2026 tillsynsbegäran mail.docx", "A 6968-2026")</f>
        <v/>
      </c>
    </row>
    <row r="123" ht="15" customHeight="1">
      <c r="A123" t="inlineStr">
        <is>
          <t>A 49374-2025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46276</v>
      </c>
      <c r="F123" t="inlineStr">
        <is>
          <t>DALARNAS LÄN</t>
        </is>
      </c>
      <c r="G123" t="inlineStr">
        <is>
          <t>FALUN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12</v>
      </c>
      <c r="U123" t="n">
        <v>0</v>
      </c>
      <c r="V123" s="2" t="inlineStr">
        <is>
          <t>Brun gräsfjäril</t>
        </is>
      </c>
      <c r="W123">
        <f>HYPERLINK("https://klasma.github.io/Logging_2080/artfynd/A 49374-2025 artfynd.xlsx", "A 49374-2025")</f>
        <v/>
      </c>
      <c r="X123">
        <f>HYPERLINK("https://klasma.github.io/Logging_2080/kartor/A 49374-2025 karta.png", "A 49374-2025")</f>
        <v/>
      </c>
      <c r="Y123">
        <f>HYPERLINK("https://klasma.github.io/Logging_2080/kartor_geotiff/A 49374-2025 georefererad karta.tif", "A 49374-2025")</f>
        <v/>
      </c>
      <c r="AA123">
        <f>HYPERLINK("https://klasma.github.io/Logging_2080/klagomål/A 49374-2025 FSC-klagomål.docx", "A 49374-2025")</f>
        <v/>
      </c>
      <c r="AB123">
        <f>HYPERLINK("https://klasma.github.io/Logging_2080/klagomålsmail/A 49374-2025 FSC-klagomål mail.docx", "A 49374-2025")</f>
        <v/>
      </c>
      <c r="AC123">
        <f>HYPERLINK("https://klasma.github.io/Logging_2080/tillsyn/A 49374-2025 tillsynsbegäran.docx", "A 49374-2025")</f>
        <v/>
      </c>
      <c r="AD123">
        <f>HYPERLINK("https://klasma.github.io/Logging_2080/tillsynsmail/A 49374-2025 tillsynsbegäran mail.docx", "A 49374-2025")</f>
        <v/>
      </c>
    </row>
    <row r="124" ht="15" customHeight="1">
      <c r="A124" t="inlineStr">
        <is>
          <t>A 11038-2026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46079</v>
      </c>
      <c r="E124" s="1" t="n">
        <v>46276</v>
      </c>
      <c r="F124" t="inlineStr">
        <is>
          <t>DALARNAS LÄN</t>
        </is>
      </c>
      <c r="G124" t="inlineStr">
        <is>
          <t>FALUN</t>
        </is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HYPERLINK("https://klasma.github.io/Logging_2080/artfynd/A 11038-2026 artfynd.xlsx", "A 11038-2026")</f>
        <v/>
      </c>
      <c r="X124">
        <f>HYPERLINK("https://klasma.github.io/Logging_2080/kartor/A 11038-2026 karta.png", "A 11038-2026")</f>
        <v/>
      </c>
      <c r="Y124">
        <f>HYPERLINK("https://klasma.github.io/Logging_2080/kartor_geotiff/A 11038-2026 georefererad karta.tif", "A 11038-2026")</f>
        <v/>
      </c>
      <c r="AA124">
        <f>HYPERLINK("https://klasma.github.io/Logging_2080/klagomål/A 11038-2026 FSC-klagomål.docx", "A 11038-2026")</f>
        <v/>
      </c>
      <c r="AB124">
        <f>HYPERLINK("https://klasma.github.io/Logging_2080/klagomålsmail/A 11038-2026 FSC-klagomål mail.docx", "A 11038-2026")</f>
        <v/>
      </c>
      <c r="AC124">
        <f>HYPERLINK("https://klasma.github.io/Logging_2080/tillsyn/A 11038-2026 tillsynsbegäran.docx", "A 11038-2026")</f>
        <v/>
      </c>
      <c r="AD124">
        <f>HYPERLINK("https://klasma.github.io/Logging_2080/tillsynsmail/A 11038-2026 tillsynsbegäran mail.docx", "A 11038-2026")</f>
        <v/>
      </c>
    </row>
    <row r="125" ht="15" customHeight="1">
      <c r="A125" t="inlineStr">
        <is>
          <t>A 53454-2025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46276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HYPERLINK("https://klasma.github.io/Logging_2080/artfynd/A 53454-2025 artfynd.xlsx", "A 53454-2025")</f>
        <v/>
      </c>
      <c r="X125">
        <f>HYPERLINK("https://klasma.github.io/Logging_2080/kartor/A 53454-2025 karta.png", "A 53454-2025")</f>
        <v/>
      </c>
      <c r="Y125">
        <f>HYPERLINK("https://klasma.github.io/Logging_2080/kartor_geotiff/A 53454-2025 georefererad karta.tif", "A 53454-2025")</f>
        <v/>
      </c>
      <c r="AA125">
        <f>HYPERLINK("https://klasma.github.io/Logging_2080/klagomål/A 53454-2025 FSC-klagomål.docx", "A 53454-2025")</f>
        <v/>
      </c>
      <c r="AB125">
        <f>HYPERLINK("https://klasma.github.io/Logging_2080/klagomålsmail/A 53454-2025 FSC-klagomål mail.docx", "A 53454-2025")</f>
        <v/>
      </c>
      <c r="AC125">
        <f>HYPERLINK("https://klasma.github.io/Logging_2080/tillsyn/A 53454-2025 tillsynsbegäran.docx", "A 53454-2025")</f>
        <v/>
      </c>
      <c r="AD125">
        <f>HYPERLINK("https://klasma.github.io/Logging_2080/tillsynsmail/A 53454-2025 tillsynsbegäran mail.docx", "A 53454-2025")</f>
        <v/>
      </c>
    </row>
    <row r="126" ht="15" customHeight="1">
      <c r="A126" t="inlineStr">
        <is>
          <t>A 12257-2026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46087</v>
      </c>
      <c r="E126" s="1" t="n">
        <v>46276</v>
      </c>
      <c r="F126" t="inlineStr">
        <is>
          <t>DALARNAS LÄN</t>
        </is>
      </c>
      <c r="G126" t="inlineStr">
        <is>
          <t>FALUN</t>
        </is>
      </c>
      <c r="I126" t="n">
        <v>1.6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Sparvuggla</t>
        </is>
      </c>
      <c r="W126">
        <f>HYPERLINK("https://klasma.github.io/Logging_2080/artfynd/A 12257-2026 artfynd.xlsx", "A 12257-2026")</f>
        <v/>
      </c>
      <c r="X126">
        <f>HYPERLINK("https://klasma.github.io/Logging_2080/kartor/A 12257-2026 karta.png", "A 12257-2026")</f>
        <v/>
      </c>
      <c r="Y126">
        <f>HYPERLINK("https://klasma.github.io/Logging_2080/kartor_geotiff/A 12257-2026 georefererad karta.tif", "A 12257-2026")</f>
        <v/>
      </c>
      <c r="AA126">
        <f>HYPERLINK("https://klasma.github.io/Logging_2080/klagomål/A 12257-2026 FSC-klagomål.docx", "A 12257-2026")</f>
        <v/>
      </c>
      <c r="AB126">
        <f>HYPERLINK("https://klasma.github.io/Logging_2080/klagomålsmail/A 12257-2026 FSC-klagomål mail.docx", "A 12257-2026")</f>
        <v/>
      </c>
      <c r="AC126">
        <f>HYPERLINK("https://klasma.github.io/Logging_2080/tillsyn/A 12257-2026 tillsynsbegäran.docx", "A 12257-2026")</f>
        <v/>
      </c>
      <c r="AD126">
        <f>HYPERLINK("https://klasma.github.io/Logging_2080/tillsynsmail/A 12257-2026 tillsynsbegäran mail.docx", "A 12257-2026")</f>
        <v/>
      </c>
      <c r="AE126">
        <f>HYPERLINK("https://klasma.github.io/Logging_2080/fåglar/A 12257-2026 prioriterade fågelarter.docx", "A 12257-2026")</f>
        <v/>
      </c>
    </row>
    <row r="127" ht="15" customHeight="1">
      <c r="A127" t="inlineStr">
        <is>
          <t>A 13205-2026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46276</v>
      </c>
      <c r="F127" t="inlineStr">
        <is>
          <t>DALARNAS LÄN</t>
        </is>
      </c>
      <c r="G127" t="inlineStr">
        <is>
          <t>FALUN</t>
        </is>
      </c>
      <c r="I127" t="n">
        <v>4.6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Sotriska</t>
        </is>
      </c>
      <c r="W127">
        <f>HYPERLINK("https://klasma.github.io/Logging_2080/artfynd/A 13205-2026 artfynd.xlsx", "A 13205-2026")</f>
        <v/>
      </c>
      <c r="X127">
        <f>HYPERLINK("https://klasma.github.io/Logging_2080/kartor/A 13205-2026 karta.png", "A 13205-2026")</f>
        <v/>
      </c>
      <c r="Y127">
        <f>HYPERLINK("https://klasma.github.io/Logging_2080/kartor_geotiff/A 13205-2026 georefererad karta.tif", "A 13205-2026")</f>
        <v/>
      </c>
      <c r="AA127">
        <f>HYPERLINK("https://klasma.github.io/Logging_2080/klagomål/A 13205-2026 FSC-klagomål.docx", "A 13205-2026")</f>
        <v/>
      </c>
      <c r="AB127">
        <f>HYPERLINK("https://klasma.github.io/Logging_2080/klagomålsmail/A 13205-2026 FSC-klagomål mail.docx", "A 13205-2026")</f>
        <v/>
      </c>
      <c r="AC127">
        <f>HYPERLINK("https://klasma.github.io/Logging_2080/tillsyn/A 13205-2026 tillsynsbegäran.docx", "A 13205-2026")</f>
        <v/>
      </c>
      <c r="AD127">
        <f>HYPERLINK("https://klasma.github.io/Logging_2080/tillsynsmail/A 13205-2026 tillsynsbegäran mail.docx", "A 13205-2026")</f>
        <v/>
      </c>
    </row>
    <row r="128" ht="15" customHeight="1">
      <c r="A128" t="inlineStr">
        <is>
          <t>A 55724-2025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45972</v>
      </c>
      <c r="E128" s="1" t="n">
        <v>46276</v>
      </c>
      <c r="F128" t="inlineStr">
        <is>
          <t>DALARNAS LÄN</t>
        </is>
      </c>
      <c r="G128" t="inlineStr">
        <is>
          <t>FALUN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Blåsippa</t>
        </is>
      </c>
      <c r="W128">
        <f>HYPERLINK("https://klasma.github.io/Logging_2080/artfynd/A 55724-2025 artfynd.xlsx", "A 55724-2025")</f>
        <v/>
      </c>
      <c r="X128">
        <f>HYPERLINK("https://klasma.github.io/Logging_2080/kartor/A 55724-2025 karta.png", "A 55724-2025")</f>
        <v/>
      </c>
      <c r="Y128">
        <f>HYPERLINK("https://klasma.github.io/Logging_2080/kartor_geotiff/A 55724-2025 georefererad karta.tif", "A 55724-2025")</f>
        <v/>
      </c>
      <c r="AA128">
        <f>HYPERLINK("https://klasma.github.io/Logging_2080/klagomål/A 55724-2025 FSC-klagomål.docx", "A 55724-2025")</f>
        <v/>
      </c>
      <c r="AB128">
        <f>HYPERLINK("https://klasma.github.io/Logging_2080/klagomålsmail/A 55724-2025 FSC-klagomål mail.docx", "A 55724-2025")</f>
        <v/>
      </c>
      <c r="AC128">
        <f>HYPERLINK("https://klasma.github.io/Logging_2080/tillsyn/A 55724-2025 tillsynsbegäran.docx", "A 55724-2025")</f>
        <v/>
      </c>
      <c r="AD128">
        <f>HYPERLINK("https://klasma.github.io/Logging_2080/tillsynsmail/A 55724-2025 tillsynsbegäran mail.docx", "A 55724-2025")</f>
        <v/>
      </c>
    </row>
    <row r="129" ht="15" customHeight="1">
      <c r="A129" t="inlineStr">
        <is>
          <t>A 20186-2024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45434</v>
      </c>
      <c r="E129" s="1" t="n">
        <v>46276</v>
      </c>
      <c r="F129" t="inlineStr">
        <is>
          <t>DALARNAS LÄN</t>
        </is>
      </c>
      <c r="G129" t="inlineStr">
        <is>
          <t>FALUN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HYPERLINK("https://klasma.github.io/Logging_2080/artfynd/A 20186-2024 artfynd.xlsx", "A 20186-2024")</f>
        <v/>
      </c>
      <c r="X129">
        <f>HYPERLINK("https://klasma.github.io/Logging_2080/kartor/A 20186-2024 karta.png", "A 20186-2024")</f>
        <v/>
      </c>
      <c r="Y129">
        <f>HYPERLINK("https://klasma.github.io/Logging_2080/kartor_geotiff/A 20186-2024 georefererad karta.tif", "A 20186-2024")</f>
        <v/>
      </c>
      <c r="Z129">
        <f>HYPERLINK("https://klasma.github.io/Logging_2080/knärot/A 20186-2024 karta knärot.png", "A 20186-2024")</f>
        <v/>
      </c>
      <c r="AA129">
        <f>HYPERLINK("https://klasma.github.io/Logging_2080/klagomål/A 20186-2024 FSC-klagomål.docx", "A 20186-2024")</f>
        <v/>
      </c>
      <c r="AB129">
        <f>HYPERLINK("https://klasma.github.io/Logging_2080/klagomålsmail/A 20186-2024 FSC-klagomål mail.docx", "A 20186-2024")</f>
        <v/>
      </c>
      <c r="AC129">
        <f>HYPERLINK("https://klasma.github.io/Logging_2080/tillsyn/A 20186-2024 tillsynsbegäran.docx", "A 20186-2024")</f>
        <v/>
      </c>
      <c r="AD129">
        <f>HYPERLINK("https://klasma.github.io/Logging_2080/tillsynsmail/A 20186-2024 tillsynsbegäran mail.docx", "A 20186-2024")</f>
        <v/>
      </c>
    </row>
    <row r="130" ht="15" customHeight="1">
      <c r="A130" t="inlineStr">
        <is>
          <t>A 15178-2026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46276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Stjärntagging</t>
        </is>
      </c>
      <c r="W130">
        <f>HYPERLINK("https://klasma.github.io/Logging_2080/artfynd/A 15178-2026 artfynd.xlsx", "A 15178-2026")</f>
        <v/>
      </c>
      <c r="X130">
        <f>HYPERLINK("https://klasma.github.io/Logging_2080/kartor/A 15178-2026 karta.png", "A 15178-2026")</f>
        <v/>
      </c>
      <c r="Y130">
        <f>HYPERLINK("https://klasma.github.io/Logging_2080/kartor_geotiff/A 15178-2026 georefererad karta.tif", "A 15178-2026")</f>
        <v/>
      </c>
      <c r="AA130">
        <f>HYPERLINK("https://klasma.github.io/Logging_2080/klagomål/A 15178-2026 FSC-klagomål.docx", "A 15178-2026")</f>
        <v/>
      </c>
      <c r="AB130">
        <f>HYPERLINK("https://klasma.github.io/Logging_2080/klagomålsmail/A 15178-2026 FSC-klagomål mail.docx", "A 15178-2026")</f>
        <v/>
      </c>
      <c r="AC130">
        <f>HYPERLINK("https://klasma.github.io/Logging_2080/tillsyn/A 15178-2026 tillsynsbegäran.docx", "A 15178-2026")</f>
        <v/>
      </c>
      <c r="AD130">
        <f>HYPERLINK("https://klasma.github.io/Logging_2080/tillsynsmail/A 15178-2026 tillsynsbegäran mail.docx", "A 15178-2026")</f>
        <v/>
      </c>
    </row>
    <row r="131" ht="15" customHeight="1">
      <c r="A131" t="inlineStr">
        <is>
          <t>A 17252-2026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46276</v>
      </c>
      <c r="F131" t="inlineStr">
        <is>
          <t>DALARNAS LÄN</t>
        </is>
      </c>
      <c r="G131" t="inlineStr">
        <is>
          <t>FALUN</t>
        </is>
      </c>
      <c r="I131" t="n">
        <v>88.90000000000001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HYPERLINK("https://klasma.github.io/Logging_2080/artfynd/A 17252-2026 artfynd.xlsx", "A 17252-2026")</f>
        <v/>
      </c>
      <c r="X131">
        <f>HYPERLINK("https://klasma.github.io/Logging_2080/kartor/A 17252-2026 karta.png", "A 17252-2026")</f>
        <v/>
      </c>
      <c r="Y131">
        <f>HYPERLINK("https://klasma.github.io/Logging_2080/kartor_geotiff/A 17252-2026 georefererad karta.tif", "A 17252-2026")</f>
        <v/>
      </c>
      <c r="AA131">
        <f>HYPERLINK("https://klasma.github.io/Logging_2080/klagomål/A 17252-2026 FSC-klagomål.docx", "A 17252-2026")</f>
        <v/>
      </c>
      <c r="AB131">
        <f>HYPERLINK("https://klasma.github.io/Logging_2080/klagomålsmail/A 17252-2026 FSC-klagomål mail.docx", "A 17252-2026")</f>
        <v/>
      </c>
      <c r="AC131">
        <f>HYPERLINK("https://klasma.github.io/Logging_2080/tillsyn/A 17252-2026 tillsynsbegäran.docx", "A 17252-2026")</f>
        <v/>
      </c>
      <c r="AD131">
        <f>HYPERLINK("https://klasma.github.io/Logging_2080/tillsynsmail/A 17252-2026 tillsynsbegäran mail.docx", "A 17252-2026")</f>
        <v/>
      </c>
    </row>
    <row r="132" ht="15" customHeight="1">
      <c r="A132" t="inlineStr">
        <is>
          <t>A 22784-2024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45448</v>
      </c>
      <c r="E132" s="1" t="n">
        <v>46276</v>
      </c>
      <c r="F132" t="inlineStr">
        <is>
          <t>DALARNAS LÄN</t>
        </is>
      </c>
      <c r="G132" t="inlineStr">
        <is>
          <t>FALUN</t>
        </is>
      </c>
      <c r="I132" t="n">
        <v>1.8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22784-2024 artfynd.xlsx", "A 22784-2024")</f>
        <v/>
      </c>
      <c r="X132">
        <f>HYPERLINK("https://klasma.github.io/Logging_2080/kartor/A 22784-2024 karta.png", "A 22784-2024")</f>
        <v/>
      </c>
      <c r="Y132">
        <f>HYPERLINK("https://klasma.github.io/Logging_2080/kartor_geotiff/A 22784-2024 georefererad karta.tif", "A 22784-2024")</f>
        <v/>
      </c>
      <c r="AA132">
        <f>HYPERLINK("https://klasma.github.io/Logging_2080/klagomål/A 22784-2024 FSC-klagomål.docx", "A 22784-2024")</f>
        <v/>
      </c>
      <c r="AB132">
        <f>HYPERLINK("https://klasma.github.io/Logging_2080/klagomålsmail/A 22784-2024 FSC-klagomål mail.docx", "A 22784-2024")</f>
        <v/>
      </c>
      <c r="AC132">
        <f>HYPERLINK("https://klasma.github.io/Logging_2080/tillsyn/A 22784-2024 tillsynsbegäran.docx", "A 22784-2024")</f>
        <v/>
      </c>
      <c r="AD132">
        <f>HYPERLINK("https://klasma.github.io/Logging_2080/tillsynsmail/A 22784-2024 tillsynsbegäran mail.docx", "A 22784-2024")</f>
        <v/>
      </c>
      <c r="AE132">
        <f>HYPERLINK("https://klasma.github.io/Logging_2080/fåglar/A 22784-2024 prioriterade fågelarter.docx", "A 22784-2024")</f>
        <v/>
      </c>
    </row>
    <row r="133" ht="15" customHeight="1">
      <c r="A133" t="inlineStr">
        <is>
          <t>A 18707-2026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46128</v>
      </c>
      <c r="E133" s="1" t="n">
        <v>46276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13.1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Blanksvart spiklav</t>
        </is>
      </c>
      <c r="W133">
        <f>HYPERLINK("https://klasma.github.io/Logging_2080/artfynd/A 18707-2026 artfynd.xlsx", "A 18707-2026")</f>
        <v/>
      </c>
      <c r="X133">
        <f>HYPERLINK("https://klasma.github.io/Logging_2080/kartor/A 18707-2026 karta.png", "A 18707-2026")</f>
        <v/>
      </c>
      <c r="Y133">
        <f>HYPERLINK("https://klasma.github.io/Logging_2080/kartor_geotiff/A 18707-2026 georefererad karta.tif", "A 18707-2026")</f>
        <v/>
      </c>
      <c r="AA133">
        <f>HYPERLINK("https://klasma.github.io/Logging_2080/klagomål/A 18707-2026 FSC-klagomål.docx", "A 18707-2026")</f>
        <v/>
      </c>
      <c r="AB133">
        <f>HYPERLINK("https://klasma.github.io/Logging_2080/klagomålsmail/A 18707-2026 FSC-klagomål mail.docx", "A 18707-2026")</f>
        <v/>
      </c>
      <c r="AC133">
        <f>HYPERLINK("https://klasma.github.io/Logging_2080/tillsyn/A 18707-2026 tillsynsbegäran.docx", "A 18707-2026")</f>
        <v/>
      </c>
      <c r="AD133">
        <f>HYPERLINK("https://klasma.github.io/Logging_2080/tillsynsmail/A 18707-2026 tillsynsbegäran mail.docx", "A 18707-2026")</f>
        <v/>
      </c>
    </row>
    <row r="134" ht="15" customHeight="1">
      <c r="A134" t="inlineStr">
        <is>
          <t>A 35379-2022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44798</v>
      </c>
      <c r="E134" s="1" t="n">
        <v>46276</v>
      </c>
      <c r="F134" t="inlineStr">
        <is>
          <t>DALARNAS LÄN</t>
        </is>
      </c>
      <c r="G134" t="inlineStr">
        <is>
          <t>FALUN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Garnlav</t>
        </is>
      </c>
      <c r="W134">
        <f>HYPERLINK("https://klasma.github.io/Logging_2080/artfynd/A 35379-2022 artfynd.xlsx", "A 35379-2022")</f>
        <v/>
      </c>
      <c r="X134">
        <f>HYPERLINK("https://klasma.github.io/Logging_2080/kartor/A 35379-2022 karta.png", "A 35379-2022")</f>
        <v/>
      </c>
      <c r="Y134">
        <f>HYPERLINK("https://klasma.github.io/Logging_2080/kartor_geotiff/A 35379-2022 georefererad karta.tif", "A 35379-2022")</f>
        <v/>
      </c>
      <c r="AA134">
        <f>HYPERLINK("https://klasma.github.io/Logging_2080/klagomål/A 35379-2022 FSC-klagomål.docx", "A 35379-2022")</f>
        <v/>
      </c>
      <c r="AB134">
        <f>HYPERLINK("https://klasma.github.io/Logging_2080/klagomålsmail/A 35379-2022 FSC-klagomål mail.docx", "A 35379-2022")</f>
        <v/>
      </c>
      <c r="AC134">
        <f>HYPERLINK("https://klasma.github.io/Logging_2080/tillsyn/A 35379-2022 tillsynsbegäran.docx", "A 35379-2022")</f>
        <v/>
      </c>
      <c r="AD134">
        <f>HYPERLINK("https://klasma.github.io/Logging_2080/tillsynsmail/A 35379-2022 tillsynsbegäran mail.docx", "A 35379-2022")</f>
        <v/>
      </c>
    </row>
    <row r="135" ht="15" customHeight="1">
      <c r="A135" t="inlineStr">
        <is>
          <t>A 54134-2024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45616</v>
      </c>
      <c r="E135" s="1" t="n">
        <v>46276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HYPERLINK("https://klasma.github.io/Logging_2080/artfynd/A 54134-2024 artfynd.xlsx", "A 54134-2024")</f>
        <v/>
      </c>
      <c r="X135">
        <f>HYPERLINK("https://klasma.github.io/Logging_2080/kartor/A 54134-2024 karta.png", "A 54134-2024")</f>
        <v/>
      </c>
      <c r="Y135">
        <f>HYPERLINK("https://klasma.github.io/Logging_2080/kartor_geotiff/A 54134-2024 georefererad karta.tif", "A 54134-2024")</f>
        <v/>
      </c>
      <c r="AA135">
        <f>HYPERLINK("https://klasma.github.io/Logging_2080/klagomål/A 54134-2024 FSC-klagomål.docx", "A 54134-2024")</f>
        <v/>
      </c>
      <c r="AB135">
        <f>HYPERLINK("https://klasma.github.io/Logging_2080/klagomålsmail/A 54134-2024 FSC-klagomål mail.docx", "A 54134-2024")</f>
        <v/>
      </c>
      <c r="AC135">
        <f>HYPERLINK("https://klasma.github.io/Logging_2080/tillsyn/A 54134-2024 tillsynsbegäran.docx", "A 54134-2024")</f>
        <v/>
      </c>
      <c r="AD135">
        <f>HYPERLINK("https://klasma.github.io/Logging_2080/tillsynsmail/A 54134-2024 tillsynsbegäran mail.docx", "A 54134-2024")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46276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46276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46276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46276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56138-2024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46276</v>
      </c>
      <c r="F140" t="inlineStr">
        <is>
          <t>DALARNAS LÄN</t>
        </is>
      </c>
      <c r="G140" t="inlineStr">
        <is>
          <t>FALUN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2</v>
      </c>
      <c r="U140" t="n">
        <v>0</v>
      </c>
      <c r="V140" s="2" t="inlineStr">
        <is>
          <t>Citronporing</t>
        </is>
      </c>
      <c r="W140">
        <f>HYPERLINK("https://klasma.github.io/Logging_2080/artfynd/A 56138-2024 artfynd.xlsx", "A 56138-2024")</f>
        <v/>
      </c>
      <c r="X140">
        <f>HYPERLINK("https://klasma.github.io/Logging_2080/kartor/A 56138-2024 karta.png", "A 56138-2024")</f>
        <v/>
      </c>
      <c r="Y140">
        <f>HYPERLINK("https://klasma.github.io/Logging_2080/kartor_geotiff/A 56138-2024 georefererad karta.tif", "A 56138-2024")</f>
        <v/>
      </c>
      <c r="AA140">
        <f>HYPERLINK("https://klasma.github.io/Logging_2080/klagomål/A 56138-2024 FSC-klagomål.docx", "A 56138-2024")</f>
        <v/>
      </c>
      <c r="AB140">
        <f>HYPERLINK("https://klasma.github.io/Logging_2080/klagomålsmail/A 56138-2024 FSC-klagomål mail.docx", "A 56138-2024")</f>
        <v/>
      </c>
      <c r="AC140">
        <f>HYPERLINK("https://klasma.github.io/Logging_2080/tillsyn/A 56138-2024 tillsynsbegäran.docx", "A 56138-2024")</f>
        <v/>
      </c>
      <c r="AD140">
        <f>HYPERLINK("https://klasma.github.io/Logging_2080/tillsynsmail/A 56138-2024 tillsynsbegäran mail.docx", "A 56138-2024")</f>
        <v/>
      </c>
    </row>
    <row r="141" ht="15" customHeight="1">
      <c r="A141" t="inlineStr">
        <is>
          <t>A 40853-2022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46276</v>
      </c>
      <c r="F141" t="inlineStr">
        <is>
          <t>DALARNAS LÄN</t>
        </is>
      </c>
      <c r="G141" t="inlineStr">
        <is>
          <t>FALUN</t>
        </is>
      </c>
      <c r="I141" t="n">
        <v>7.2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Sparvuggla</t>
        </is>
      </c>
      <c r="W141">
        <f>HYPERLINK("https://klasma.github.io/Logging_2080/artfynd/A 40853-2022 artfynd.xlsx", "A 40853-2022")</f>
        <v/>
      </c>
      <c r="X141">
        <f>HYPERLINK("https://klasma.github.io/Logging_2080/kartor/A 40853-2022 karta.png", "A 40853-2022")</f>
        <v/>
      </c>
      <c r="Y141">
        <f>HYPERLINK("https://klasma.github.io/Logging_2080/kartor_geotiff/A 40853-2022 georefererad karta.tif", "A 40853-2022")</f>
        <v/>
      </c>
      <c r="AA141">
        <f>HYPERLINK("https://klasma.github.io/Logging_2080/klagomål/A 40853-2022 FSC-klagomål.docx", "A 40853-2022")</f>
        <v/>
      </c>
      <c r="AB141">
        <f>HYPERLINK("https://klasma.github.io/Logging_2080/klagomålsmail/A 40853-2022 FSC-klagomål mail.docx", "A 40853-2022")</f>
        <v/>
      </c>
      <c r="AC141">
        <f>HYPERLINK("https://klasma.github.io/Logging_2080/tillsyn/A 40853-2022 tillsynsbegäran.docx", "A 40853-2022")</f>
        <v/>
      </c>
      <c r="AD141">
        <f>HYPERLINK("https://klasma.github.io/Logging_2080/tillsynsmail/A 40853-2022 tillsynsbegäran mail.docx", "A 40853-2022")</f>
        <v/>
      </c>
      <c r="AE141">
        <f>HYPERLINK("https://klasma.github.io/Logging_2080/fåglar/A 40853-2022 prioriterade fågelarter.docx", "A 40853-2022")</f>
        <v/>
      </c>
    </row>
    <row r="142" ht="15" customHeight="1">
      <c r="A142" t="inlineStr">
        <is>
          <t>A 22069-2023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45069</v>
      </c>
      <c r="E142" s="1" t="n">
        <v>46276</v>
      </c>
      <c r="F142" t="inlineStr">
        <is>
          <t>DALARNAS LÄN</t>
        </is>
      </c>
      <c r="G142" t="inlineStr">
        <is>
          <t>FALUN</t>
        </is>
      </c>
      <c r="I142" t="n">
        <v>3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3</v>
      </c>
      <c r="U142" t="n">
        <v>0</v>
      </c>
      <c r="V142" s="2" t="inlineStr">
        <is>
          <t>Brun gräsfjäril</t>
        </is>
      </c>
      <c r="W142">
        <f>HYPERLINK("https://klasma.github.io/Logging_2080/artfynd/A 22069-2023 artfynd.xlsx", "A 22069-2023")</f>
        <v/>
      </c>
      <c r="X142">
        <f>HYPERLINK("https://klasma.github.io/Logging_2080/kartor/A 22069-2023 karta.png", "A 22069-2023")</f>
        <v/>
      </c>
      <c r="Y142">
        <f>HYPERLINK("https://klasma.github.io/Logging_2080/kartor_geotiff/A 22069-2023 georefererad karta.tif", "A 22069-2023")</f>
        <v/>
      </c>
      <c r="AA142">
        <f>HYPERLINK("https://klasma.github.io/Logging_2080/klagomål/A 22069-2023 FSC-klagomål.docx", "A 22069-2023")</f>
        <v/>
      </c>
      <c r="AB142">
        <f>HYPERLINK("https://klasma.github.io/Logging_2080/klagomålsmail/A 22069-2023 FSC-klagomål mail.docx", "A 22069-2023")</f>
        <v/>
      </c>
      <c r="AC142">
        <f>HYPERLINK("https://klasma.github.io/Logging_2080/tillsyn/A 22069-2023 tillsynsbegäran.docx", "A 22069-2023")</f>
        <v/>
      </c>
      <c r="AD142">
        <f>HYPERLINK("https://klasma.github.io/Logging_2080/tillsynsmail/A 22069-2023 tillsynsbegäran mail.docx", "A 22069-2023")</f>
        <v/>
      </c>
    </row>
    <row r="143" ht="15" customHeight="1">
      <c r="A143" t="inlineStr">
        <is>
          <t>A 13830-2026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46276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40.2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Talltita</t>
        </is>
      </c>
      <c r="W143">
        <f>HYPERLINK("https://klasma.github.io/Logging_2080/artfynd/A 13830-2026 artfynd.xlsx", "A 13830-2026")</f>
        <v/>
      </c>
      <c r="X143">
        <f>HYPERLINK("https://klasma.github.io/Logging_2080/kartor/A 13830-2026 karta.png", "A 13830-2026")</f>
        <v/>
      </c>
      <c r="Y143">
        <f>HYPERLINK("https://klasma.github.io/Logging_2080/kartor_geotiff/A 13830-2026 georefererad karta.tif", "A 13830-2026")</f>
        <v/>
      </c>
      <c r="AA143">
        <f>HYPERLINK("https://klasma.github.io/Logging_2080/klagomål/A 13830-2026 FSC-klagomål.docx", "A 13830-2026")</f>
        <v/>
      </c>
      <c r="AB143">
        <f>HYPERLINK("https://klasma.github.io/Logging_2080/klagomålsmail/A 13830-2026 FSC-klagomål mail.docx", "A 13830-2026")</f>
        <v/>
      </c>
      <c r="AC143">
        <f>HYPERLINK("https://klasma.github.io/Logging_2080/tillsyn/A 13830-2026 tillsynsbegäran.docx", "A 13830-2026")</f>
        <v/>
      </c>
      <c r="AD143">
        <f>HYPERLINK("https://klasma.github.io/Logging_2080/tillsynsmail/A 13830-2026 tillsynsbegäran mail.docx", "A 13830-2026")</f>
        <v/>
      </c>
      <c r="AE143">
        <f>HYPERLINK("https://klasma.github.io/Logging_2080/fåglar/A 13830-2026 prioriterade fågelarter.docx", "A 13830-2026")</f>
        <v/>
      </c>
    </row>
    <row r="144" ht="15" customHeight="1">
      <c r="A144" t="inlineStr">
        <is>
          <t>A 4393-2026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46276</v>
      </c>
      <c r="F144" t="inlineStr">
        <is>
          <t>DALARNAS LÄN</t>
        </is>
      </c>
      <c r="G144" t="inlineStr">
        <is>
          <t>FALUN</t>
        </is>
      </c>
      <c r="I144" t="n">
        <v>10.2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Järpe</t>
        </is>
      </c>
      <c r="W144">
        <f>HYPERLINK("https://klasma.github.io/Logging_2080/artfynd/A 4393-2026 artfynd.xlsx", "A 4393-2026")</f>
        <v/>
      </c>
      <c r="X144">
        <f>HYPERLINK("https://klasma.github.io/Logging_2080/kartor/A 4393-2026 karta.png", "A 4393-2026")</f>
        <v/>
      </c>
      <c r="Y144">
        <f>HYPERLINK("https://klasma.github.io/Logging_2080/kartor_geotiff/A 4393-2026 georefererad karta.tif", "A 4393-2026")</f>
        <v/>
      </c>
      <c r="AA144">
        <f>HYPERLINK("https://klasma.github.io/Logging_2080/klagomål/A 4393-2026 FSC-klagomål.docx", "A 4393-2026")</f>
        <v/>
      </c>
      <c r="AB144">
        <f>HYPERLINK("https://klasma.github.io/Logging_2080/klagomålsmail/A 4393-2026 FSC-klagomål mail.docx", "A 4393-2026")</f>
        <v/>
      </c>
      <c r="AC144">
        <f>HYPERLINK("https://klasma.github.io/Logging_2080/tillsyn/A 4393-2026 tillsynsbegäran.docx", "A 4393-2026")</f>
        <v/>
      </c>
      <c r="AD144">
        <f>HYPERLINK("https://klasma.github.io/Logging_2080/tillsynsmail/A 4393-2026 tillsynsbegäran mail.docx", "A 4393-2026")</f>
        <v/>
      </c>
      <c r="AE144">
        <f>HYPERLINK("https://klasma.github.io/Logging_2080/fåglar/A 4393-2026 prioriterade fågelarter.docx", "A 4393-2026")</f>
        <v/>
      </c>
    </row>
    <row r="145" ht="15" customHeight="1">
      <c r="A145" t="inlineStr">
        <is>
          <t>A 18067-2023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46276</v>
      </c>
      <c r="F145" t="inlineStr">
        <is>
          <t>DALARNAS LÄN</t>
        </is>
      </c>
      <c r="G145" t="inlineStr">
        <is>
          <t>FALUN</t>
        </is>
      </c>
      <c r="I145" t="n">
        <v>7.7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Ögonpyrola</t>
        </is>
      </c>
      <c r="W145">
        <f>HYPERLINK("https://klasma.github.io/Logging_2080/artfynd/A 18067-2023 artfynd.xlsx", "A 18067-2023")</f>
        <v/>
      </c>
      <c r="X145">
        <f>HYPERLINK("https://klasma.github.io/Logging_2080/kartor/A 18067-2023 karta.png", "A 18067-2023")</f>
        <v/>
      </c>
      <c r="Y145">
        <f>HYPERLINK("https://klasma.github.io/Logging_2080/kartor_geotiff/A 18067-2023 georefererad karta.tif", "A 18067-2023")</f>
        <v/>
      </c>
      <c r="AA145">
        <f>HYPERLINK("https://klasma.github.io/Logging_2080/klagomål/A 18067-2023 FSC-klagomål.docx", "A 18067-2023")</f>
        <v/>
      </c>
      <c r="AB145">
        <f>HYPERLINK("https://klasma.github.io/Logging_2080/klagomålsmail/A 18067-2023 FSC-klagomål mail.docx", "A 18067-2023")</f>
        <v/>
      </c>
      <c r="AC145">
        <f>HYPERLINK("https://klasma.github.io/Logging_2080/tillsyn/A 18067-2023 tillsynsbegäran.docx", "A 18067-2023")</f>
        <v/>
      </c>
      <c r="AD145">
        <f>HYPERLINK("https://klasma.github.io/Logging_2080/tillsynsmail/A 18067-2023 tillsynsbegäran mail.docx", "A 18067-2023")</f>
        <v/>
      </c>
    </row>
    <row r="146" ht="15" customHeight="1">
      <c r="A146" t="inlineStr">
        <is>
          <t>A 25540-2026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46276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2.6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25540-2026 artfynd.xlsx", "A 25540-2026")</f>
        <v/>
      </c>
      <c r="X146">
        <f>HYPERLINK("https://klasma.github.io/Logging_2080/kartor/A 25540-2026 karta.png", "A 25540-2026")</f>
        <v/>
      </c>
      <c r="Y146">
        <f>HYPERLINK("https://klasma.github.io/Logging_2080/kartor_geotiff/A 25540-2026 georefererad karta.tif", "A 25540-2026")</f>
        <v/>
      </c>
      <c r="AA146">
        <f>HYPERLINK("https://klasma.github.io/Logging_2080/klagomål/A 25540-2026 FSC-klagomål.docx", "A 25540-2026")</f>
        <v/>
      </c>
      <c r="AB146">
        <f>HYPERLINK("https://klasma.github.io/Logging_2080/klagomålsmail/A 25540-2026 FSC-klagomål mail.docx", "A 25540-2026")</f>
        <v/>
      </c>
      <c r="AC146">
        <f>HYPERLINK("https://klasma.github.io/Logging_2080/tillsyn/A 25540-2026 tillsynsbegäran.docx", "A 25540-2026")</f>
        <v/>
      </c>
      <c r="AD146">
        <f>HYPERLINK("https://klasma.github.io/Logging_2080/tillsynsmail/A 25540-2026 tillsynsbegäran mail.docx", "A 25540-2026")</f>
        <v/>
      </c>
    </row>
    <row r="147" ht="15" customHeight="1">
      <c r="A147" t="inlineStr">
        <is>
          <t>A 26096-2026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46181</v>
      </c>
      <c r="E147" s="1" t="n">
        <v>46276</v>
      </c>
      <c r="F147" t="inlineStr">
        <is>
          <t>DALARNAS LÄN</t>
        </is>
      </c>
      <c r="G147" t="inlineStr">
        <is>
          <t>FALUN</t>
        </is>
      </c>
      <c r="I147" t="n">
        <v>0.7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Mattlummer</t>
        </is>
      </c>
      <c r="W147">
        <f>HYPERLINK("https://klasma.github.io/Logging_2080/artfynd/A 26096-2026 artfynd.xlsx", "A 26096-2026")</f>
        <v/>
      </c>
      <c r="X147">
        <f>HYPERLINK("https://klasma.github.io/Logging_2080/kartor/A 26096-2026 karta.png", "A 26096-2026")</f>
        <v/>
      </c>
      <c r="Y147">
        <f>HYPERLINK("https://klasma.github.io/Logging_2080/kartor_geotiff/A 26096-2026 georefererad karta.tif", "A 26096-2026")</f>
        <v/>
      </c>
      <c r="AA147">
        <f>HYPERLINK("https://klasma.github.io/Logging_2080/klagomål/A 26096-2026 FSC-klagomål.docx", "A 26096-2026")</f>
        <v/>
      </c>
      <c r="AB147">
        <f>HYPERLINK("https://klasma.github.io/Logging_2080/klagomålsmail/A 26096-2026 FSC-klagomål mail.docx", "A 26096-2026")</f>
        <v/>
      </c>
      <c r="AC147">
        <f>HYPERLINK("https://klasma.github.io/Logging_2080/tillsyn/A 26096-2026 tillsynsbegäran.docx", "A 26096-2026")</f>
        <v/>
      </c>
      <c r="AD147">
        <f>HYPERLINK("https://klasma.github.io/Logging_2080/tillsynsmail/A 26096-2026 tillsynsbegäran mail.docx", "A 26096-2026")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46276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46276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46276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46276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46276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46276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46276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46276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29133-2026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46202</v>
      </c>
      <c r="E156" s="1" t="n">
        <v>46276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Revlummer</t>
        </is>
      </c>
      <c r="W156">
        <f>HYPERLINK("https://klasma.github.io/Logging_2080/artfynd/A 29133-2026 artfynd.xlsx", "A 29133-2026")</f>
        <v/>
      </c>
      <c r="X156">
        <f>HYPERLINK("https://klasma.github.io/Logging_2080/kartor/A 29133-2026 karta.png", "A 29133-2026")</f>
        <v/>
      </c>
      <c r="Y156">
        <f>HYPERLINK("https://klasma.github.io/Logging_2080/kartor_geotiff/A 29133-2026 georefererad karta.tif", "A 29133-2026")</f>
        <v/>
      </c>
      <c r="AA156">
        <f>HYPERLINK("https://klasma.github.io/Logging_2080/klagomål/A 29133-2026 FSC-klagomål.docx", "A 29133-2026")</f>
        <v/>
      </c>
      <c r="AB156">
        <f>HYPERLINK("https://klasma.github.io/Logging_2080/klagomålsmail/A 29133-2026 FSC-klagomål mail.docx", "A 29133-2026")</f>
        <v/>
      </c>
      <c r="AC156">
        <f>HYPERLINK("https://klasma.github.io/Logging_2080/tillsyn/A 29133-2026 tillsynsbegäran.docx", "A 29133-2026")</f>
        <v/>
      </c>
      <c r="AD156">
        <f>HYPERLINK("https://klasma.github.io/Logging_2080/tillsynsmail/A 29133-2026 tillsynsbegäran mail.docx", "A 29133-2026")</f>
        <v/>
      </c>
    </row>
    <row r="157" ht="15" customHeight="1">
      <c r="A157" t="inlineStr">
        <is>
          <t>A 48693-2023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46276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4.1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Revlummer</t>
        </is>
      </c>
      <c r="W157">
        <f>HYPERLINK("https://klasma.github.io/Logging_2080/artfynd/A 48693-2023 artfynd.xlsx", "A 48693-2023")</f>
        <v/>
      </c>
      <c r="X157">
        <f>HYPERLINK("https://klasma.github.io/Logging_2080/kartor/A 48693-2023 karta.png", "A 48693-2023")</f>
        <v/>
      </c>
      <c r="Y157">
        <f>HYPERLINK("https://klasma.github.io/Logging_2080/kartor_geotiff/A 48693-2023 georefererad karta.tif", "A 48693-2023")</f>
        <v/>
      </c>
      <c r="AA157">
        <f>HYPERLINK("https://klasma.github.io/Logging_2080/klagomål/A 48693-2023 FSC-klagomål.docx", "A 48693-2023")</f>
        <v/>
      </c>
      <c r="AB157">
        <f>HYPERLINK("https://klasma.github.io/Logging_2080/klagomålsmail/A 48693-2023 FSC-klagomål mail.docx", "A 48693-2023")</f>
        <v/>
      </c>
      <c r="AC157">
        <f>HYPERLINK("https://klasma.github.io/Logging_2080/tillsyn/A 48693-2023 tillsynsbegäran.docx", "A 48693-2023")</f>
        <v/>
      </c>
      <c r="AD157">
        <f>HYPERLINK("https://klasma.github.io/Logging_2080/tillsynsmail/A 48693-2023 tillsynsbegäran mail.docx", "A 48693-2023")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46276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35000-2026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46259</v>
      </c>
      <c r="E159" s="1" t="n">
        <v>46276</v>
      </c>
      <c r="F159" t="inlineStr">
        <is>
          <t>DALARNAS LÄN</t>
        </is>
      </c>
      <c r="G159" t="inlineStr">
        <is>
          <t>FALUN</t>
        </is>
      </c>
      <c r="H159" t="inlineStr">
        <is>
          <t>Sveaskog</t>
        </is>
      </c>
      <c r="I159" t="n">
        <v>18.4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HYPERLINK("https://klasma.github.io/Logging_2080/artfynd/A 35000-2026 artfynd.xlsx", "A 35000-2026")</f>
        <v/>
      </c>
      <c r="X159">
        <f>HYPERLINK("https://klasma.github.io/Logging_2080/kartor/A 35000-2026 karta.png", "A 35000-2026")</f>
        <v/>
      </c>
      <c r="Y159">
        <f>HYPERLINK("https://klasma.github.io/Logging_2080/kartor_geotiff/A 35000-2026 georefererad karta.tif", "A 35000-2026")</f>
        <v/>
      </c>
      <c r="AA159">
        <f>HYPERLINK("https://klasma.github.io/Logging_2080/klagomål/A 35000-2026 FSC-klagomål.docx", "A 35000-2026")</f>
        <v/>
      </c>
      <c r="AB159">
        <f>HYPERLINK("https://klasma.github.io/Logging_2080/klagomålsmail/A 35000-2026 FSC-klagomål mail.docx", "A 35000-2026")</f>
        <v/>
      </c>
      <c r="AC159">
        <f>HYPERLINK("https://klasma.github.io/Logging_2080/tillsyn/A 35000-2026 tillsynsbegäran.docx", "A 35000-2026")</f>
        <v/>
      </c>
      <c r="AD159">
        <f>HYPERLINK("https://klasma.github.io/Logging_2080/tillsynsmail/A 35000-2026 tillsynsbegäran mail.docx", "A 35000-2026")</f>
        <v/>
      </c>
    </row>
    <row r="160" ht="15" customHeight="1">
      <c r="A160" t="inlineStr">
        <is>
          <t>A 16084-2026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46107</v>
      </c>
      <c r="E160" s="1" t="n">
        <v>46276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Älg</t>
        </is>
      </c>
      <c r="W160">
        <f>HYPERLINK("https://klasma.github.io/Logging_2080/artfynd/A 16084-2026 artfynd.xlsx", "A 16084-2026")</f>
        <v/>
      </c>
      <c r="X160">
        <f>HYPERLINK("https://klasma.github.io/Logging_2080/kartor/A 16084-2026 karta.png", "A 16084-2026")</f>
        <v/>
      </c>
      <c r="Y160">
        <f>HYPERLINK("https://klasma.github.io/Logging_2080/kartor_geotiff/A 16084-2026 georefererad karta.tif", "A 16084-2026")</f>
        <v/>
      </c>
      <c r="AA160">
        <f>HYPERLINK("https://klasma.github.io/Logging_2080/klagomål/A 16084-2026 FSC-klagomål.docx", "A 16084-2026")</f>
        <v/>
      </c>
      <c r="AB160">
        <f>HYPERLINK("https://klasma.github.io/Logging_2080/klagomålsmail/A 16084-2026 FSC-klagomål mail.docx", "A 16084-2026")</f>
        <v/>
      </c>
      <c r="AC160">
        <f>HYPERLINK("https://klasma.github.io/Logging_2080/tillsyn/A 16084-2026 tillsynsbegäran.docx", "A 16084-2026")</f>
        <v/>
      </c>
      <c r="AD160">
        <f>HYPERLINK("https://klasma.github.io/Logging_2080/tillsynsmail/A 16084-2026 tillsynsbegäran mail.docx", "A 16084-2026")</f>
        <v/>
      </c>
    </row>
    <row r="161" ht="15" customHeight="1">
      <c r="A161" t="inlineStr">
        <is>
          <t>A 35218-2026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46260</v>
      </c>
      <c r="E161" s="1" t="n">
        <v>46276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4.5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HYPERLINK("https://klasma.github.io/Logging_2080/artfynd/A 35218-2026 artfynd.xlsx", "A 35218-2026")</f>
        <v/>
      </c>
      <c r="X161">
        <f>HYPERLINK("https://klasma.github.io/Logging_2080/kartor/A 35218-2026 karta.png", "A 35218-2026")</f>
        <v/>
      </c>
      <c r="Y161">
        <f>HYPERLINK("https://klasma.github.io/Logging_2080/kartor_geotiff/A 35218-2026 georefererad karta.tif", "A 35218-2026")</f>
        <v/>
      </c>
      <c r="AA161">
        <f>HYPERLINK("https://klasma.github.io/Logging_2080/klagomål/A 35218-2026 FSC-klagomål.docx", "A 35218-2026")</f>
        <v/>
      </c>
      <c r="AB161">
        <f>HYPERLINK("https://klasma.github.io/Logging_2080/klagomålsmail/A 35218-2026 FSC-klagomål mail.docx", "A 35218-2026")</f>
        <v/>
      </c>
      <c r="AC161">
        <f>HYPERLINK("https://klasma.github.io/Logging_2080/tillsyn/A 35218-2026 tillsynsbegäran.docx", "A 35218-2026")</f>
        <v/>
      </c>
      <c r="AD161">
        <f>HYPERLINK("https://klasma.github.io/Logging_2080/tillsynsmail/A 35218-2026 tillsynsbegäran mail.docx", "A 35218-2026")</f>
        <v/>
      </c>
    </row>
    <row r="162" ht="15" customHeight="1">
      <c r="A162" t="inlineStr">
        <is>
          <t>A 1010-2023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46276</v>
      </c>
      <c r="F162" t="inlineStr">
        <is>
          <t>DALARNAS LÄN</t>
        </is>
      </c>
      <c r="G162" t="inlineStr">
        <is>
          <t>FALUN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HYPERLINK("https://klasma.github.io/Logging_2080/artfynd/A 1010-2023 artfynd.xlsx", "A 1010-2023")</f>
        <v/>
      </c>
      <c r="X162">
        <f>HYPERLINK("https://klasma.github.io/Logging_2080/kartor/A 1010-2023 karta.png", "A 1010-2023")</f>
        <v/>
      </c>
      <c r="Y162">
        <f>HYPERLINK("https://klasma.github.io/Logging_2080/kartor_geotiff/A 1010-2023 georefererad karta.tif", "A 1010-2023")</f>
        <v/>
      </c>
      <c r="AA162">
        <f>HYPERLINK("https://klasma.github.io/Logging_2080/klagomål/A 1010-2023 FSC-klagomål.docx", "A 1010-2023")</f>
        <v/>
      </c>
      <c r="AB162">
        <f>HYPERLINK("https://klasma.github.io/Logging_2080/klagomålsmail/A 1010-2023 FSC-klagomål mail.docx", "A 1010-2023")</f>
        <v/>
      </c>
      <c r="AC162">
        <f>HYPERLINK("https://klasma.github.io/Logging_2080/tillsyn/A 1010-2023 tillsynsbegäran.docx", "A 1010-2023")</f>
        <v/>
      </c>
      <c r="AD162">
        <f>HYPERLINK("https://klasma.github.io/Logging_2080/tillsynsmail/A 1010-2023 tillsynsbegäran mail.docx", "A 1010-2023")</f>
        <v/>
      </c>
    </row>
    <row r="163" ht="15" customHeight="1">
      <c r="A163" t="inlineStr">
        <is>
          <t>A 6936-2024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45343</v>
      </c>
      <c r="E163" s="1" t="n">
        <v>46276</v>
      </c>
      <c r="F163" t="inlineStr">
        <is>
          <t>DALARNAS LÄN</t>
        </is>
      </c>
      <c r="G163" t="inlineStr">
        <is>
          <t>FALUN</t>
        </is>
      </c>
      <c r="I163" t="n">
        <v>2.1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Talltita</t>
        </is>
      </c>
      <c r="W163">
        <f>HYPERLINK("https://klasma.github.io/Logging_2080/artfynd/A 6936-2024 artfynd.xlsx", "A 6936-2024")</f>
        <v/>
      </c>
      <c r="X163">
        <f>HYPERLINK("https://klasma.github.io/Logging_2080/kartor/A 6936-2024 karta.png", "A 6936-2024")</f>
        <v/>
      </c>
      <c r="Y163">
        <f>HYPERLINK("https://klasma.github.io/Logging_2080/kartor_geotiff/A 6936-2024 georefererad karta.tif", "A 6936-2024")</f>
        <v/>
      </c>
      <c r="AA163">
        <f>HYPERLINK("https://klasma.github.io/Logging_2080/klagomål/A 6936-2024 FSC-klagomål.docx", "A 6936-2024")</f>
        <v/>
      </c>
      <c r="AB163">
        <f>HYPERLINK("https://klasma.github.io/Logging_2080/klagomålsmail/A 6936-2024 FSC-klagomål mail.docx", "A 6936-2024")</f>
        <v/>
      </c>
      <c r="AC163">
        <f>HYPERLINK("https://klasma.github.io/Logging_2080/tillsyn/A 6936-2024 tillsynsbegäran.docx", "A 6936-2024")</f>
        <v/>
      </c>
      <c r="AD163">
        <f>HYPERLINK("https://klasma.github.io/Logging_2080/tillsynsmail/A 6936-2024 tillsynsbegäran mail.docx", "A 6936-2024")</f>
        <v/>
      </c>
      <c r="AE163">
        <f>HYPERLINK("https://klasma.github.io/Logging_2080/fåglar/A 6936-2024 prioriterade fågelarter.docx", "A 6936-2024")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46276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46276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46276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46276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46276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46276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46276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46276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46276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46276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53982-2021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44470</v>
      </c>
      <c r="E174" s="1" t="n">
        <v>46276</v>
      </c>
      <c r="F174" t="inlineStr">
        <is>
          <t>DALARNAS LÄN</t>
        </is>
      </c>
      <c r="G174" t="inlineStr">
        <is>
          <t>FALUN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46276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46276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46276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46276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46276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46276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46276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46276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46276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46276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46276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46276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46276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46276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46276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46276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46276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46276</v>
      </c>
      <c r="F192" t="inlineStr">
        <is>
          <t>DALARNAS LÄN</t>
        </is>
      </c>
      <c r="G192" t="inlineStr">
        <is>
          <t>FALUN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46276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46276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46276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52619-2021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46276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46276</v>
      </c>
      <c r="F197" t="inlineStr">
        <is>
          <t>DALARNAS LÄN</t>
        </is>
      </c>
      <c r="G197" t="inlineStr">
        <is>
          <t>FALUN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46276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46276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46276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46276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46276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44529</v>
      </c>
      <c r="E203" s="1" t="n">
        <v>46276</v>
      </c>
      <c r="F203" t="inlineStr">
        <is>
          <t>DALARNAS LÄN</t>
        </is>
      </c>
      <c r="G203" t="inlineStr">
        <is>
          <t>FALUN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2686-2022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44580</v>
      </c>
      <c r="E204" s="1" t="n">
        <v>46276</v>
      </c>
      <c r="F204" t="inlineStr">
        <is>
          <t>DALARNAS LÄN</t>
        </is>
      </c>
      <c r="G204" t="inlineStr">
        <is>
          <t>FALUN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46276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46276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46276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44792</v>
      </c>
      <c r="E208" s="1" t="n">
        <v>46276</v>
      </c>
      <c r="F208" t="inlineStr">
        <is>
          <t>DALARNAS LÄN</t>
        </is>
      </c>
      <c r="G208" t="inlineStr">
        <is>
          <t>FALUN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44704</v>
      </c>
      <c r="E209" s="1" t="n">
        <v>46276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69013-2021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46276</v>
      </c>
      <c r="F210" t="inlineStr">
        <is>
          <t>DALARNAS LÄN</t>
        </is>
      </c>
      <c r="G210" t="inlineStr">
        <is>
          <t>FALUN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69780-2021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44532</v>
      </c>
      <c r="E211" s="1" t="n">
        <v>46276</v>
      </c>
      <c r="F211" t="inlineStr">
        <is>
          <t>DALARNAS LÄN</t>
        </is>
      </c>
      <c r="G211" t="inlineStr">
        <is>
          <t>FALUN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46276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15929-2022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44664</v>
      </c>
      <c r="E213" s="1" t="n">
        <v>46276</v>
      </c>
      <c r="F213" t="inlineStr">
        <is>
          <t>DALARNAS LÄN</t>
        </is>
      </c>
      <c r="G213" t="inlineStr">
        <is>
          <t>FALUN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46276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46276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46276</v>
      </c>
      <c r="F216" t="inlineStr">
        <is>
          <t>DALARNAS LÄN</t>
        </is>
      </c>
      <c r="G216" t="inlineStr">
        <is>
          <t>FALUN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46276</v>
      </c>
      <c r="F217" t="inlineStr">
        <is>
          <t>DALARNAS LÄN</t>
        </is>
      </c>
      <c r="G217" t="inlineStr">
        <is>
          <t>FALUN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46276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46276</v>
      </c>
      <c r="F219" t="inlineStr">
        <is>
          <t>DALARNAS LÄN</t>
        </is>
      </c>
      <c r="G219" t="inlineStr">
        <is>
          <t>FALUN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45634</v>
      </c>
      <c r="E220" s="1" t="n">
        <v>46276</v>
      </c>
      <c r="F220" t="inlineStr">
        <is>
          <t>DALARNAS LÄN</t>
        </is>
      </c>
      <c r="G220" t="inlineStr">
        <is>
          <t>FALUN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46276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45348</v>
      </c>
      <c r="E222" s="1" t="n">
        <v>46276</v>
      </c>
      <c r="F222" t="inlineStr">
        <is>
          <t>DALARNAS LÄN</t>
        </is>
      </c>
      <c r="G222" t="inlineStr">
        <is>
          <t>FALUN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46276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46276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44910</v>
      </c>
      <c r="E225" s="1" t="n">
        <v>46276</v>
      </c>
      <c r="F225" t="inlineStr">
        <is>
          <t>DALARNAS LÄN</t>
        </is>
      </c>
      <c r="G225" t="inlineStr">
        <is>
          <t>FALUN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46276</v>
      </c>
      <c r="F226" t="inlineStr">
        <is>
          <t>DALARNAS LÄN</t>
        </is>
      </c>
      <c r="G226" t="inlineStr">
        <is>
          <t>FALUN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29850-2022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44755</v>
      </c>
      <c r="E227" s="1" t="n">
        <v>46276</v>
      </c>
      <c r="F227" t="inlineStr">
        <is>
          <t>DALARNAS LÄN</t>
        </is>
      </c>
      <c r="G227" t="inlineStr">
        <is>
          <t>FALUN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44826</v>
      </c>
      <c r="E228" s="1" t="n">
        <v>46276</v>
      </c>
      <c r="F228" t="inlineStr">
        <is>
          <t>DALARNAS LÄN</t>
        </is>
      </c>
      <c r="G228" t="inlineStr">
        <is>
          <t>FALUN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46276</v>
      </c>
      <c r="F229" t="inlineStr">
        <is>
          <t>DALARNAS LÄN</t>
        </is>
      </c>
      <c r="G229" t="inlineStr">
        <is>
          <t>FALUN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46276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46276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34009-2024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45523</v>
      </c>
      <c r="E232" s="1" t="n">
        <v>46276</v>
      </c>
      <c r="F232" t="inlineStr">
        <is>
          <t>DALARNAS LÄN</t>
        </is>
      </c>
      <c r="G232" t="inlineStr">
        <is>
          <t>FALUN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45317</v>
      </c>
      <c r="E233" s="1" t="n">
        <v>46276</v>
      </c>
      <c r="F233" t="inlineStr">
        <is>
          <t>DALARNAS LÄN</t>
        </is>
      </c>
      <c r="G233" t="inlineStr">
        <is>
          <t>FALUN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46276</v>
      </c>
      <c r="F234" t="inlineStr">
        <is>
          <t>DALARNAS LÄN</t>
        </is>
      </c>
      <c r="G234" t="inlineStr">
        <is>
          <t>FALUN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51608-2024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46276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13237-2024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45386</v>
      </c>
      <c r="E236" s="1" t="n">
        <v>46276</v>
      </c>
      <c r="F236" t="inlineStr">
        <is>
          <t>DALARNAS LÄN</t>
        </is>
      </c>
      <c r="G236" t="inlineStr">
        <is>
          <t>FALUN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46276</v>
      </c>
      <c r="F237" t="inlineStr">
        <is>
          <t>DALARNAS LÄN</t>
        </is>
      </c>
      <c r="G237" t="inlineStr">
        <is>
          <t>FALUN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44847</v>
      </c>
      <c r="E238" s="1" t="n">
        <v>46276</v>
      </c>
      <c r="F238" t="inlineStr">
        <is>
          <t>DALARNAS LÄN</t>
        </is>
      </c>
      <c r="G238" t="inlineStr">
        <is>
          <t>FALUN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5085-2024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46276</v>
      </c>
      <c r="F239" t="inlineStr">
        <is>
          <t>DALARNAS LÄN</t>
        </is>
      </c>
      <c r="G239" t="inlineStr">
        <is>
          <t>FALUN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44497</v>
      </c>
      <c r="E240" s="1" t="n">
        <v>46276</v>
      </c>
      <c r="F240" t="inlineStr">
        <is>
          <t>DALARNAS LÄN</t>
        </is>
      </c>
      <c r="G240" t="inlineStr">
        <is>
          <t>FALUN</t>
        </is>
      </c>
      <c r="H240" t="inlineStr">
        <is>
          <t>Kyrkan</t>
        </is>
      </c>
      <c r="I240" t="n">
        <v>13.8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74258-2021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44558</v>
      </c>
      <c r="E241" s="1" t="n">
        <v>46276</v>
      </c>
      <c r="F241" t="inlineStr">
        <is>
          <t>DALARNAS LÄN</t>
        </is>
      </c>
      <c r="G241" t="inlineStr">
        <is>
          <t>FALUN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46276</v>
      </c>
      <c r="F242" t="inlineStr">
        <is>
          <t>DALARNAS LÄN</t>
        </is>
      </c>
      <c r="G242" t="inlineStr">
        <is>
          <t>FALUN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45362</v>
      </c>
      <c r="E243" s="1" t="n">
        <v>46276</v>
      </c>
      <c r="F243" t="inlineStr">
        <is>
          <t>DALARNAS LÄN</t>
        </is>
      </c>
      <c r="G243" t="inlineStr">
        <is>
          <t>FALUN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38143-2024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46276</v>
      </c>
      <c r="F244" t="inlineStr">
        <is>
          <t>DALARNAS LÄN</t>
        </is>
      </c>
      <c r="G244" t="inlineStr">
        <is>
          <t>FALUN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45389</v>
      </c>
      <c r="E245" s="1" t="n">
        <v>46276</v>
      </c>
      <c r="F245" t="inlineStr">
        <is>
          <t>DALARNAS LÄN</t>
        </is>
      </c>
      <c r="G245" t="inlineStr">
        <is>
          <t>FALUN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28275-2023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45099</v>
      </c>
      <c r="E246" s="1" t="n">
        <v>46276</v>
      </c>
      <c r="F246" t="inlineStr">
        <is>
          <t>DALARNAS LÄN</t>
        </is>
      </c>
      <c r="G246" t="inlineStr">
        <is>
          <t>FALUN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45175</v>
      </c>
      <c r="E247" s="1" t="n">
        <v>46276</v>
      </c>
      <c r="F247" t="inlineStr">
        <is>
          <t>DALARNAS LÄN</t>
        </is>
      </c>
      <c r="G247" t="inlineStr">
        <is>
          <t>FALUN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44834</v>
      </c>
      <c r="E248" s="1" t="n">
        <v>46276</v>
      </c>
      <c r="F248" t="inlineStr">
        <is>
          <t>DALARNAS LÄN</t>
        </is>
      </c>
      <c r="G248" t="inlineStr">
        <is>
          <t>FALUN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46276</v>
      </c>
      <c r="F249" t="inlineStr">
        <is>
          <t>DALARNAS LÄN</t>
        </is>
      </c>
      <c r="G249" t="inlineStr">
        <is>
          <t>FALUN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44960</v>
      </c>
      <c r="E250" s="1" t="n">
        <v>46276</v>
      </c>
      <c r="F250" t="inlineStr">
        <is>
          <t>DALARNAS LÄN</t>
        </is>
      </c>
      <c r="G250" t="inlineStr">
        <is>
          <t>FALUN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45148</v>
      </c>
      <c r="E251" s="1" t="n">
        <v>46276</v>
      </c>
      <c r="F251" t="inlineStr">
        <is>
          <t>DALARNAS LÄN</t>
        </is>
      </c>
      <c r="G251" t="inlineStr">
        <is>
          <t>FALUN</t>
        </is>
      </c>
      <c r="H251" t="inlineStr">
        <is>
          <t>Bergvik skog väst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46276</v>
      </c>
      <c r="F252" t="inlineStr">
        <is>
          <t>DALARNAS LÄN</t>
        </is>
      </c>
      <c r="G252" t="inlineStr">
        <is>
          <t>FALUN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58623-2024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45635</v>
      </c>
      <c r="E253" s="1" t="n">
        <v>46276</v>
      </c>
      <c r="F253" t="inlineStr">
        <is>
          <t>DALARNAS LÄN</t>
        </is>
      </c>
      <c r="G253" t="inlineStr">
        <is>
          <t>FALUN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62156-2023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45267</v>
      </c>
      <c r="E254" s="1" t="n">
        <v>46276</v>
      </c>
      <c r="F254" t="inlineStr">
        <is>
          <t>DALARNAS LÄN</t>
        </is>
      </c>
      <c r="G254" t="inlineStr">
        <is>
          <t>FALUN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45652</v>
      </c>
      <c r="E255" s="1" t="n">
        <v>46276</v>
      </c>
      <c r="F255" t="inlineStr">
        <is>
          <t>DALARNAS LÄN</t>
        </is>
      </c>
      <c r="G255" t="inlineStr">
        <is>
          <t>FALUN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46276</v>
      </c>
      <c r="F256" t="inlineStr">
        <is>
          <t>DALARNAS LÄN</t>
        </is>
      </c>
      <c r="G256" t="inlineStr">
        <is>
          <t>FALUN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20437-2024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45435</v>
      </c>
      <c r="E257" s="1" t="n">
        <v>46276</v>
      </c>
      <c r="F257" t="inlineStr">
        <is>
          <t>DALARNAS LÄN</t>
        </is>
      </c>
      <c r="G257" t="inlineStr">
        <is>
          <t>FALUN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44945</v>
      </c>
      <c r="E258" s="1" t="n">
        <v>46276</v>
      </c>
      <c r="F258" t="inlineStr">
        <is>
          <t>DALARNAS LÄN</t>
        </is>
      </c>
      <c r="G258" t="inlineStr">
        <is>
          <t>FALUN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45659</v>
      </c>
      <c r="E259" s="1" t="n">
        <v>46276</v>
      </c>
      <c r="F259" t="inlineStr">
        <is>
          <t>DALARNAS LÄN</t>
        </is>
      </c>
      <c r="G259" t="inlineStr">
        <is>
          <t>FALUN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42060-2024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46276</v>
      </c>
      <c r="F260" t="inlineStr">
        <is>
          <t>DALARNAS LÄN</t>
        </is>
      </c>
      <c r="G260" t="inlineStr">
        <is>
          <t>FALUN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45553</v>
      </c>
      <c r="E261" s="1" t="n">
        <v>46276</v>
      </c>
      <c r="F261" t="inlineStr">
        <is>
          <t>DALARNAS LÄN</t>
        </is>
      </c>
      <c r="G261" t="inlineStr">
        <is>
          <t>FALUN</t>
        </is>
      </c>
      <c r="H261" t="inlineStr">
        <is>
          <t>Bergvik skog väst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46276</v>
      </c>
      <c r="F262" t="inlineStr">
        <is>
          <t>DALARNAS LÄN</t>
        </is>
      </c>
      <c r="G262" t="inlineStr">
        <is>
          <t>FALUN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46276</v>
      </c>
      <c r="F263" t="inlineStr">
        <is>
          <t>DALARNAS LÄN</t>
        </is>
      </c>
      <c r="G263" t="inlineStr">
        <is>
          <t>FALUN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46276</v>
      </c>
      <c r="F264" t="inlineStr">
        <is>
          <t>DALARNAS LÄN</t>
        </is>
      </c>
      <c r="G264" t="inlineStr">
        <is>
          <t>FALUN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46276</v>
      </c>
      <c r="F265" t="inlineStr">
        <is>
          <t>DALARNAS LÄN</t>
        </is>
      </c>
      <c r="G265" t="inlineStr">
        <is>
          <t>FALUN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46021</v>
      </c>
      <c r="E266" s="1" t="n">
        <v>46276</v>
      </c>
      <c r="F266" t="inlineStr">
        <is>
          <t>DALARNAS LÄN</t>
        </is>
      </c>
      <c r="G266" t="inlineStr">
        <is>
          <t>FALUN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46276</v>
      </c>
      <c r="F267" t="inlineStr">
        <is>
          <t>DALARNAS LÄN</t>
        </is>
      </c>
      <c r="G267" t="inlineStr">
        <is>
          <t>FALUN</t>
        </is>
      </c>
      <c r="I267" t="n">
        <v>13.5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15193-2022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44658</v>
      </c>
      <c r="E268" s="1" t="n">
        <v>46276</v>
      </c>
      <c r="F268" t="inlineStr">
        <is>
          <t>DALARNAS LÄN</t>
        </is>
      </c>
      <c r="G268" t="inlineStr">
        <is>
          <t>FALUN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45723</v>
      </c>
      <c r="E269" s="1" t="n">
        <v>46276</v>
      </c>
      <c r="F269" t="inlineStr">
        <is>
          <t>DALARNAS LÄN</t>
        </is>
      </c>
      <c r="G269" t="inlineStr">
        <is>
          <t>FALUN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46026</v>
      </c>
      <c r="E270" s="1" t="n">
        <v>46276</v>
      </c>
      <c r="F270" t="inlineStr">
        <is>
          <t>DALARNAS LÄN</t>
        </is>
      </c>
      <c r="G270" t="inlineStr">
        <is>
          <t>FALUN</t>
        </is>
      </c>
      <c r="I270" t="n">
        <v>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46276</v>
      </c>
      <c r="F271" t="inlineStr">
        <is>
          <t>DALARNAS LÄN</t>
        </is>
      </c>
      <c r="G271" t="inlineStr">
        <is>
          <t>FALUN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46024</v>
      </c>
      <c r="E272" s="1" t="n">
        <v>46276</v>
      </c>
      <c r="F272" t="inlineStr">
        <is>
          <t>DALARNAS LÄN</t>
        </is>
      </c>
      <c r="G272" t="inlineStr">
        <is>
          <t>FALUN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46276</v>
      </c>
      <c r="F273" t="inlineStr">
        <is>
          <t>DALARNAS LÄN</t>
        </is>
      </c>
      <c r="G273" t="inlineStr">
        <is>
          <t>FALUN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46025</v>
      </c>
      <c r="E274" s="1" t="n">
        <v>46276</v>
      </c>
      <c r="F274" t="inlineStr">
        <is>
          <t>DALARNAS LÄN</t>
        </is>
      </c>
      <c r="G274" t="inlineStr">
        <is>
          <t>FALUN</t>
        </is>
      </c>
      <c r="I274" t="n">
        <v>46.9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46024</v>
      </c>
      <c r="E275" s="1" t="n">
        <v>46276</v>
      </c>
      <c r="F275" t="inlineStr">
        <is>
          <t>DALARNAS LÄN</t>
        </is>
      </c>
      <c r="G275" t="inlineStr">
        <is>
          <t>FALUN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46027</v>
      </c>
      <c r="E276" s="1" t="n">
        <v>46276</v>
      </c>
      <c r="F276" t="inlineStr">
        <is>
          <t>DALARNAS LÄN</t>
        </is>
      </c>
      <c r="G276" t="inlineStr">
        <is>
          <t>FALUN</t>
        </is>
      </c>
      <c r="I276" t="n">
        <v>13.7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46027</v>
      </c>
      <c r="E277" s="1" t="n">
        <v>46276</v>
      </c>
      <c r="F277" t="inlineStr">
        <is>
          <t>DALARNAS LÄN</t>
        </is>
      </c>
      <c r="G277" t="inlineStr">
        <is>
          <t>FALUN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46025</v>
      </c>
      <c r="E278" s="1" t="n">
        <v>46276</v>
      </c>
      <c r="F278" t="inlineStr">
        <is>
          <t>DALARNAS LÄN</t>
        </is>
      </c>
      <c r="G278" t="inlineStr">
        <is>
          <t>FALUN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45219</v>
      </c>
      <c r="E279" s="1" t="n">
        <v>46276</v>
      </c>
      <c r="F279" t="inlineStr">
        <is>
          <t>DALARNAS LÄN</t>
        </is>
      </c>
      <c r="G279" t="inlineStr">
        <is>
          <t>FALUN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60088-2022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46276</v>
      </c>
      <c r="F280" t="inlineStr">
        <is>
          <t>DALARNAS LÄN</t>
        </is>
      </c>
      <c r="G280" t="inlineStr">
        <is>
          <t>FALUN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46276</v>
      </c>
      <c r="F281" t="inlineStr">
        <is>
          <t>DALARNAS LÄN</t>
        </is>
      </c>
      <c r="G281" t="inlineStr">
        <is>
          <t>FALUN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46028</v>
      </c>
      <c r="E282" s="1" t="n">
        <v>46276</v>
      </c>
      <c r="F282" t="inlineStr">
        <is>
          <t>DALARNAS LÄN</t>
        </is>
      </c>
      <c r="G282" t="inlineStr">
        <is>
          <t>FALUN</t>
        </is>
      </c>
      <c r="I282" t="n">
        <v>34.8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46028</v>
      </c>
      <c r="E283" s="1" t="n">
        <v>46276</v>
      </c>
      <c r="F283" t="inlineStr">
        <is>
          <t>DALARNAS LÄN</t>
        </is>
      </c>
      <c r="G283" t="inlineStr">
        <is>
          <t>FALUN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46276</v>
      </c>
      <c r="F284" t="inlineStr">
        <is>
          <t>DALARNAS LÄN</t>
        </is>
      </c>
      <c r="G284" t="inlineStr">
        <is>
          <t>FALUN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46276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45203</v>
      </c>
      <c r="E286" s="1" t="n">
        <v>46276</v>
      </c>
      <c r="F286" t="inlineStr">
        <is>
          <t>DALARNAS LÄN</t>
        </is>
      </c>
      <c r="G286" t="inlineStr">
        <is>
          <t>FALUN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46276</v>
      </c>
      <c r="F287" t="inlineStr">
        <is>
          <t>DALARNAS LÄN</t>
        </is>
      </c>
      <c r="G287" t="inlineStr">
        <is>
          <t>FALUN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46027</v>
      </c>
      <c r="E288" s="1" t="n">
        <v>46276</v>
      </c>
      <c r="F288" t="inlineStr">
        <is>
          <t>DALARNAS LÄN</t>
        </is>
      </c>
      <c r="G288" t="inlineStr">
        <is>
          <t>FALUN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45156</v>
      </c>
      <c r="E289" s="1" t="n">
        <v>46276</v>
      </c>
      <c r="F289" t="inlineStr">
        <is>
          <t>DALARNAS LÄN</t>
        </is>
      </c>
      <c r="G289" t="inlineStr">
        <is>
          <t>FALUN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42953-2022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44833</v>
      </c>
      <c r="E290" s="1" t="n">
        <v>46276</v>
      </c>
      <c r="F290" t="inlineStr">
        <is>
          <t>DALARNAS LÄN</t>
        </is>
      </c>
      <c r="G290" t="inlineStr">
        <is>
          <t>FALUN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1315-2026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46276</v>
      </c>
      <c r="F291" t="inlineStr">
        <is>
          <t>DALARNAS LÄN</t>
        </is>
      </c>
      <c r="G291" t="inlineStr">
        <is>
          <t>FALUN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26771-2025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45810</v>
      </c>
      <c r="E292" s="1" t="n">
        <v>46276</v>
      </c>
      <c r="F292" t="inlineStr">
        <is>
          <t>DALARNAS LÄN</t>
        </is>
      </c>
      <c r="G292" t="inlineStr">
        <is>
          <t>FALUN</t>
        </is>
      </c>
      <c r="H292" t="inlineStr">
        <is>
          <t>Bergvik skog väst AB</t>
        </is>
      </c>
      <c r="I292" t="n">
        <v>11.6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46031</v>
      </c>
      <c r="E293" s="1" t="n">
        <v>46276</v>
      </c>
      <c r="F293" t="inlineStr">
        <is>
          <t>DALARNAS LÄN</t>
        </is>
      </c>
      <c r="G293" t="inlineStr">
        <is>
          <t>FALUN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46276</v>
      </c>
      <c r="F294" t="inlineStr">
        <is>
          <t>DALARNAS LÄN</t>
        </is>
      </c>
      <c r="G294" t="inlineStr">
        <is>
          <t>FALUN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26927-2025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46276</v>
      </c>
      <c r="F295" t="inlineStr">
        <is>
          <t>DALARNAS LÄN</t>
        </is>
      </c>
      <c r="G295" t="inlineStr">
        <is>
          <t>FALUN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15207-2025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46276</v>
      </c>
      <c r="F296" t="inlineStr">
        <is>
          <t>DALARNAS LÄN</t>
        </is>
      </c>
      <c r="G296" t="inlineStr">
        <is>
          <t>FALUN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46276</v>
      </c>
      <c r="F297" t="inlineStr">
        <is>
          <t>DALARNAS LÄN</t>
        </is>
      </c>
      <c r="G297" t="inlineStr">
        <is>
          <t>FALUN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46276</v>
      </c>
      <c r="F298" t="inlineStr">
        <is>
          <t>DALARNAS LÄN</t>
        </is>
      </c>
      <c r="G298" t="inlineStr">
        <is>
          <t>FALUN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45810</v>
      </c>
      <c r="E299" s="1" t="n">
        <v>46276</v>
      </c>
      <c r="F299" t="inlineStr">
        <is>
          <t>DALARNAS LÄN</t>
        </is>
      </c>
      <c r="G299" t="inlineStr">
        <is>
          <t>FALUN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44686</v>
      </c>
      <c r="E300" s="1" t="n">
        <v>46276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46276</v>
      </c>
      <c r="F301" t="inlineStr">
        <is>
          <t>DALARNAS LÄN</t>
        </is>
      </c>
      <c r="G301" t="inlineStr">
        <is>
          <t>FALUN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46276</v>
      </c>
      <c r="F302" t="inlineStr">
        <is>
          <t>DALARNAS LÄN</t>
        </is>
      </c>
      <c r="G302" t="inlineStr">
        <is>
          <t>FALUN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46276</v>
      </c>
      <c r="F303" t="inlineStr">
        <is>
          <t>DALARNAS LÄN</t>
        </is>
      </c>
      <c r="G303" t="inlineStr">
        <is>
          <t>FALUN</t>
        </is>
      </c>
      <c r="I303" t="n">
        <v>13.4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45890</v>
      </c>
      <c r="E304" s="1" t="n">
        <v>46276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45813</v>
      </c>
      <c r="E305" s="1" t="n">
        <v>46276</v>
      </c>
      <c r="F305" t="inlineStr">
        <is>
          <t>DALARNAS LÄN</t>
        </is>
      </c>
      <c r="G305" t="inlineStr">
        <is>
          <t>FALUN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37750-2023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45159</v>
      </c>
      <c r="E306" s="1" t="n">
        <v>46276</v>
      </c>
      <c r="F306" t="inlineStr">
        <is>
          <t>DALARNAS LÄN</t>
        </is>
      </c>
      <c r="G306" t="inlineStr">
        <is>
          <t>FALUN</t>
        </is>
      </c>
      <c r="I306" t="n">
        <v>20.2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44887</v>
      </c>
      <c r="E307" s="1" t="n">
        <v>46276</v>
      </c>
      <c r="F307" t="inlineStr">
        <is>
          <t>DALARNAS LÄN</t>
        </is>
      </c>
      <c r="G307" t="inlineStr">
        <is>
          <t>FALUN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46276</v>
      </c>
      <c r="F308" t="inlineStr">
        <is>
          <t>DALARNAS LÄN</t>
        </is>
      </c>
      <c r="G308" t="inlineStr">
        <is>
          <t>FALUN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46276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46276</v>
      </c>
      <c r="F310" t="inlineStr">
        <is>
          <t>DALARNAS LÄN</t>
        </is>
      </c>
      <c r="G310" t="inlineStr">
        <is>
          <t>FALUN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45798</v>
      </c>
      <c r="E311" s="1" t="n">
        <v>46276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46276</v>
      </c>
      <c r="F312" t="inlineStr">
        <is>
          <t>DALARNAS LÄN</t>
        </is>
      </c>
      <c r="G312" t="inlineStr">
        <is>
          <t>FALUN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45896</v>
      </c>
      <c r="E313" s="1" t="n">
        <v>46276</v>
      </c>
      <c r="F313" t="inlineStr">
        <is>
          <t>DALARNAS LÄN</t>
        </is>
      </c>
      <c r="G313" t="inlineStr">
        <is>
          <t>FALUN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2906-2022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44581</v>
      </c>
      <c r="E314" s="1" t="n">
        <v>46276</v>
      </c>
      <c r="F314" t="inlineStr">
        <is>
          <t>DALARNAS LÄN</t>
        </is>
      </c>
      <c r="G314" t="inlineStr">
        <is>
          <t>FALUN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40775-2025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46276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28.2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46030</v>
      </c>
      <c r="E316" s="1" t="n">
        <v>46276</v>
      </c>
      <c r="F316" t="inlineStr">
        <is>
          <t>DALARNAS LÄN</t>
        </is>
      </c>
      <c r="G316" t="inlineStr">
        <is>
          <t>FALUN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46276</v>
      </c>
      <c r="F317" t="inlineStr">
        <is>
          <t>DALARNAS LÄN</t>
        </is>
      </c>
      <c r="G317" t="inlineStr">
        <is>
          <t>FALUN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46276</v>
      </c>
      <c r="F318" t="inlineStr">
        <is>
          <t>DALARNAS LÄN</t>
        </is>
      </c>
      <c r="G318" t="inlineStr">
        <is>
          <t>FALUN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45820</v>
      </c>
      <c r="E319" s="1" t="n">
        <v>46276</v>
      </c>
      <c r="F319" t="inlineStr">
        <is>
          <t>DALARNAS LÄN</t>
        </is>
      </c>
      <c r="G319" t="inlineStr">
        <is>
          <t>FALUN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45306</v>
      </c>
      <c r="E320" s="1" t="n">
        <v>46276</v>
      </c>
      <c r="F320" t="inlineStr">
        <is>
          <t>DALARNAS LÄN</t>
        </is>
      </c>
      <c r="G320" t="inlineStr">
        <is>
          <t>FALUN</t>
        </is>
      </c>
      <c r="I320" t="n">
        <v>5.7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28721-2025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46276</v>
      </c>
      <c r="F321" t="inlineStr">
        <is>
          <t>DALARNAS LÄN</t>
        </is>
      </c>
      <c r="G321" t="inlineStr">
        <is>
          <t>FALUN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45741</v>
      </c>
      <c r="E322" s="1" t="n">
        <v>46276</v>
      </c>
      <c r="F322" t="inlineStr">
        <is>
          <t>DALARNAS LÄN</t>
        </is>
      </c>
      <c r="G322" t="inlineStr">
        <is>
          <t>FALUN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46276</v>
      </c>
      <c r="F323" t="inlineStr">
        <is>
          <t>DALARNAS LÄN</t>
        </is>
      </c>
      <c r="G323" t="inlineStr">
        <is>
          <t>FALUN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35941-2023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45148</v>
      </c>
      <c r="E324" s="1" t="n">
        <v>46276</v>
      </c>
      <c r="F324" t="inlineStr">
        <is>
          <t>DALARNAS LÄN</t>
        </is>
      </c>
      <c r="G324" t="inlineStr">
        <is>
          <t>FALUN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46276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46276</v>
      </c>
      <c r="F326" t="inlineStr">
        <is>
          <t>DALARNAS LÄN</t>
        </is>
      </c>
      <c r="G326" t="inlineStr">
        <is>
          <t>FALUN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46031</v>
      </c>
      <c r="E327" s="1" t="n">
        <v>46276</v>
      </c>
      <c r="F327" t="inlineStr">
        <is>
          <t>DALARNAS LÄN</t>
        </is>
      </c>
      <c r="G327" t="inlineStr">
        <is>
          <t>FALUN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46276</v>
      </c>
      <c r="F328" t="inlineStr">
        <is>
          <t>DALARNAS LÄN</t>
        </is>
      </c>
      <c r="G328" t="inlineStr">
        <is>
          <t>FALUN</t>
        </is>
      </c>
      <c r="I328" t="n">
        <v>37.9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29294-2025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46276</v>
      </c>
      <c r="F329" t="inlineStr">
        <is>
          <t>DALARNAS LÄN</t>
        </is>
      </c>
      <c r="G329" t="inlineStr">
        <is>
          <t>FALUN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29355-2025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45824</v>
      </c>
      <c r="E330" s="1" t="n">
        <v>46276</v>
      </c>
      <c r="F330" t="inlineStr">
        <is>
          <t>DALARNAS LÄN</t>
        </is>
      </c>
      <c r="G330" t="inlineStr">
        <is>
          <t>FALUN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46276</v>
      </c>
      <c r="F331" t="inlineStr">
        <is>
          <t>DALARNAS LÄN</t>
        </is>
      </c>
      <c r="G331" t="inlineStr">
        <is>
          <t>FALUN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46276</v>
      </c>
      <c r="F332" t="inlineStr">
        <is>
          <t>DALARNAS LÄN</t>
        </is>
      </c>
      <c r="G332" t="inlineStr">
        <is>
          <t>FALUN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46276</v>
      </c>
      <c r="F333" t="inlineStr">
        <is>
          <t>DALARNAS LÄN</t>
        </is>
      </c>
      <c r="G333" t="inlineStr">
        <is>
          <t>FALUN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46276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45519</v>
      </c>
      <c r="E335" s="1" t="n">
        <v>46276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46276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46276</v>
      </c>
      <c r="F337" t="inlineStr">
        <is>
          <t>DALARNAS LÄN</t>
        </is>
      </c>
      <c r="G337" t="inlineStr">
        <is>
          <t>FALUN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46276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45695</v>
      </c>
      <c r="E339" s="1" t="n">
        <v>46276</v>
      </c>
      <c r="F339" t="inlineStr">
        <is>
          <t>DALARNAS LÄN</t>
        </is>
      </c>
      <c r="G339" t="inlineStr">
        <is>
          <t>FALUN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30927-2025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45832</v>
      </c>
      <c r="E340" s="1" t="n">
        <v>46276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46276</v>
      </c>
      <c r="F341" t="inlineStr">
        <is>
          <t>DALARNAS LÄN</t>
        </is>
      </c>
      <c r="G341" t="inlineStr">
        <is>
          <t>FALUN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45909</v>
      </c>
      <c r="E342" s="1" t="n">
        <v>46276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24.3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46276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45667</v>
      </c>
      <c r="E344" s="1" t="n">
        <v>46276</v>
      </c>
      <c r="F344" t="inlineStr">
        <is>
          <t>DALARNAS LÄN</t>
        </is>
      </c>
      <c r="G344" t="inlineStr">
        <is>
          <t>FALUN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46276</v>
      </c>
      <c r="F345" t="inlineStr">
        <is>
          <t>DALARNAS LÄN</t>
        </is>
      </c>
      <c r="G345" t="inlineStr">
        <is>
          <t>FALUN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46276</v>
      </c>
      <c r="F346" t="inlineStr">
        <is>
          <t>DALARNAS LÄN</t>
        </is>
      </c>
      <c r="G346" t="inlineStr">
        <is>
          <t>FALUN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46031</v>
      </c>
      <c r="E347" s="1" t="n">
        <v>46276</v>
      </c>
      <c r="F347" t="inlineStr">
        <is>
          <t>DALARNAS LÄN</t>
        </is>
      </c>
      <c r="G347" t="inlineStr">
        <is>
          <t>FALUN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46276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8.300000000000001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46276</v>
      </c>
      <c r="F349" t="inlineStr">
        <is>
          <t>DALARNAS LÄN</t>
        </is>
      </c>
      <c r="G349" t="inlineStr">
        <is>
          <t>FALUN</t>
        </is>
      </c>
      <c r="H349" t="inlineStr">
        <is>
          <t>Bergvik skog väst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45611</v>
      </c>
      <c r="E350" s="1" t="n">
        <v>46276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43545-2025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45911</v>
      </c>
      <c r="E351" s="1" t="n">
        <v>46276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45910</v>
      </c>
      <c r="E352" s="1" t="n">
        <v>46276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46034</v>
      </c>
      <c r="E353" s="1" t="n">
        <v>46276</v>
      </c>
      <c r="F353" t="inlineStr">
        <is>
          <t>DALARNAS LÄN</t>
        </is>
      </c>
      <c r="G353" t="inlineStr">
        <is>
          <t>FALUN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46032</v>
      </c>
      <c r="E354" s="1" t="n">
        <v>46276</v>
      </c>
      <c r="F354" t="inlineStr">
        <is>
          <t>DALARNAS LÄN</t>
        </is>
      </c>
      <c r="G354" t="inlineStr">
        <is>
          <t>FALUN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46276</v>
      </c>
      <c r="F355" t="inlineStr">
        <is>
          <t>DALARNAS LÄN</t>
        </is>
      </c>
      <c r="G355" t="inlineStr">
        <is>
          <t>FALUN</t>
        </is>
      </c>
      <c r="I355" t="n">
        <v>26.7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46032</v>
      </c>
      <c r="E356" s="1" t="n">
        <v>46276</v>
      </c>
      <c r="F356" t="inlineStr">
        <is>
          <t>DALARNAS LÄN</t>
        </is>
      </c>
      <c r="G356" t="inlineStr">
        <is>
          <t>FALUN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46276</v>
      </c>
      <c r="F357" t="inlineStr">
        <is>
          <t>DALARNAS LÄN</t>
        </is>
      </c>
      <c r="G357" t="inlineStr">
        <is>
          <t>FALUN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46035</v>
      </c>
      <c r="E358" s="1" t="n">
        <v>46276</v>
      </c>
      <c r="F358" t="inlineStr">
        <is>
          <t>DALARNAS LÄN</t>
        </is>
      </c>
      <c r="G358" t="inlineStr">
        <is>
          <t>FALUN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46035</v>
      </c>
      <c r="E359" s="1" t="n">
        <v>46276</v>
      </c>
      <c r="F359" t="inlineStr">
        <is>
          <t>DALARNAS LÄN</t>
        </is>
      </c>
      <c r="G359" t="inlineStr">
        <is>
          <t>FALUN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46032</v>
      </c>
      <c r="E360" s="1" t="n">
        <v>46276</v>
      </c>
      <c r="F360" t="inlineStr">
        <is>
          <t>DALARNAS LÄN</t>
        </is>
      </c>
      <c r="G360" t="inlineStr">
        <is>
          <t>FALUN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46276</v>
      </c>
      <c r="F361" t="inlineStr">
        <is>
          <t>DALARNAS LÄN</t>
        </is>
      </c>
      <c r="G361" t="inlineStr">
        <is>
          <t>FALUN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46276</v>
      </c>
      <c r="F362" t="inlineStr">
        <is>
          <t>DALARNAS LÄN</t>
        </is>
      </c>
      <c r="G362" t="inlineStr">
        <is>
          <t>FALUN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46276</v>
      </c>
      <c r="F363" t="inlineStr">
        <is>
          <t>DALARNAS LÄN</t>
        </is>
      </c>
      <c r="G363" t="inlineStr">
        <is>
          <t>FALUN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46276</v>
      </c>
      <c r="F364" t="inlineStr">
        <is>
          <t>DALARNAS LÄN</t>
        </is>
      </c>
      <c r="G364" t="inlineStr">
        <is>
          <t>FALUN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46032</v>
      </c>
      <c r="E365" s="1" t="n">
        <v>46276</v>
      </c>
      <c r="F365" t="inlineStr">
        <is>
          <t>DALARNAS LÄN</t>
        </is>
      </c>
      <c r="G365" t="inlineStr">
        <is>
          <t>FALUN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46276</v>
      </c>
      <c r="F366" t="inlineStr">
        <is>
          <t>DALARNAS LÄN</t>
        </is>
      </c>
      <c r="G366" t="inlineStr">
        <is>
          <t>FALUN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46276</v>
      </c>
      <c r="F367" t="inlineStr">
        <is>
          <t>DALARNAS LÄN</t>
        </is>
      </c>
      <c r="G367" t="inlineStr">
        <is>
          <t>FALUN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Z367">
        <f>HYPERLINK("https://klasma.github.io/Logging_2080/knärot/A 1702-2026 karta knärot.png", "A 1702-2026")</f>
        <v/>
      </c>
      <c r="AA367">
        <f>HYPERLINK("https://klasma.github.io/Logging_2080/klagomål/A 1702-2026 FSC-klagomål.docx", "A 1702-2026")</f>
        <v/>
      </c>
      <c r="AB367">
        <f>HYPERLINK("https://klasma.github.io/Logging_2080/klagomålsmail/A 1702-2026 FSC-klagomål mail.docx", "A 1702-2026")</f>
        <v/>
      </c>
      <c r="AC367">
        <f>HYPERLINK("https://klasma.github.io/Logging_2080/tillsyn/A 1702-2026 tillsynsbegäran.docx", "A 1702-2026")</f>
        <v/>
      </c>
      <c r="AD367">
        <f>HYPERLINK("https://klasma.github.io/Logging_2080/tillsynsmail/A 1702-2026 tillsynsbegäran mail.docx", "A 1702-2026")</f>
        <v/>
      </c>
    </row>
    <row r="368" ht="15" customHeight="1">
      <c r="A368" t="inlineStr">
        <is>
          <t>A 58336-2022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44901</v>
      </c>
      <c r="E368" s="1" t="n">
        <v>46276</v>
      </c>
      <c r="F368" t="inlineStr">
        <is>
          <t>DALARNAS LÄN</t>
        </is>
      </c>
      <c r="G368" t="inlineStr">
        <is>
          <t>FALUN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2554-2026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46276</v>
      </c>
      <c r="F369" t="inlineStr">
        <is>
          <t>DALARNAS LÄN</t>
        </is>
      </c>
      <c r="G369" t="inlineStr">
        <is>
          <t>FALUN</t>
        </is>
      </c>
      <c r="I369" t="n">
        <v>8.4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46276</v>
      </c>
      <c r="F370" t="inlineStr">
        <is>
          <t>DALARNAS LÄN</t>
        </is>
      </c>
      <c r="G370" t="inlineStr">
        <is>
          <t>FALUN</t>
        </is>
      </c>
      <c r="I370" t="n">
        <v>11.2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46276</v>
      </c>
      <c r="F371" t="inlineStr">
        <is>
          <t>DALARNAS LÄN</t>
        </is>
      </c>
      <c r="G371" t="inlineStr">
        <is>
          <t>FALUN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46276</v>
      </c>
      <c r="F372" t="inlineStr">
        <is>
          <t>DALARNAS LÄN</t>
        </is>
      </c>
      <c r="G372" t="inlineStr">
        <is>
          <t>FALUN</t>
        </is>
      </c>
      <c r="I372" t="n">
        <v>8.800000000000001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37709-2024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46276</v>
      </c>
      <c r="F373" t="inlineStr">
        <is>
          <t>DALARNAS LÄN</t>
        </is>
      </c>
      <c r="G373" t="inlineStr">
        <is>
          <t>FALUN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46276</v>
      </c>
      <c r="F374" t="inlineStr">
        <is>
          <t>DALARNAS LÄN</t>
        </is>
      </c>
      <c r="G374" t="inlineStr">
        <is>
          <t>FALUN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46276</v>
      </c>
      <c r="F375" t="inlineStr">
        <is>
          <t>DALARNAS LÄN</t>
        </is>
      </c>
      <c r="G375" t="inlineStr">
        <is>
          <t>FALUN</t>
        </is>
      </c>
      <c r="I375" t="n">
        <v>9.199999999999999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46276</v>
      </c>
      <c r="F376" t="inlineStr">
        <is>
          <t>DALARNAS LÄN</t>
        </is>
      </c>
      <c r="G376" t="inlineStr">
        <is>
          <t>FALUN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46276</v>
      </c>
      <c r="F377" t="inlineStr">
        <is>
          <t>DALARNAS LÄN</t>
        </is>
      </c>
      <c r="G377" t="inlineStr">
        <is>
          <t>FALUN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46276</v>
      </c>
      <c r="F378" t="inlineStr">
        <is>
          <t>DALARNAS LÄN</t>
        </is>
      </c>
      <c r="G378" t="inlineStr">
        <is>
          <t>FALUN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46276</v>
      </c>
      <c r="F379" t="inlineStr">
        <is>
          <t>DALARNAS LÄN</t>
        </is>
      </c>
      <c r="G379" t="inlineStr">
        <is>
          <t>FALUN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14538-2022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44655</v>
      </c>
      <c r="E380" s="1" t="n">
        <v>46276</v>
      </c>
      <c r="F380" t="inlineStr">
        <is>
          <t>DALARNAS LÄN</t>
        </is>
      </c>
      <c r="G380" t="inlineStr">
        <is>
          <t>FALUN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46276</v>
      </c>
      <c r="F381" t="inlineStr">
        <is>
          <t>DALARNAS LÄN</t>
        </is>
      </c>
      <c r="G381" t="inlineStr">
        <is>
          <t>FALUN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46276</v>
      </c>
      <c r="F382" t="inlineStr">
        <is>
          <t>DALARNAS LÄN</t>
        </is>
      </c>
      <c r="G382" t="inlineStr">
        <is>
          <t>FALUN</t>
        </is>
      </c>
      <c r="I382" t="n">
        <v>11.5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52026-2023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46276</v>
      </c>
      <c r="F383" t="inlineStr">
        <is>
          <t>DALARNAS LÄN</t>
        </is>
      </c>
      <c r="G383" t="inlineStr">
        <is>
          <t>FALUN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46276</v>
      </c>
      <c r="F384" t="inlineStr">
        <is>
          <t>DALARNAS LÄN</t>
        </is>
      </c>
      <c r="G384" t="inlineStr">
        <is>
          <t>FALUN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46036</v>
      </c>
      <c r="E385" s="1" t="n">
        <v>46276</v>
      </c>
      <c r="F385" t="inlineStr">
        <is>
          <t>DALARNAS LÄN</t>
        </is>
      </c>
      <c r="G385" t="inlineStr">
        <is>
          <t>FALUN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2273-2026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46036</v>
      </c>
      <c r="E386" s="1" t="n">
        <v>46276</v>
      </c>
      <c r="F386" t="inlineStr">
        <is>
          <t>DALARNAS LÄN</t>
        </is>
      </c>
      <c r="G386" t="inlineStr">
        <is>
          <t>FALUN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46036</v>
      </c>
      <c r="E387" s="1" t="n">
        <v>46276</v>
      </c>
      <c r="F387" t="inlineStr">
        <is>
          <t>DALARNAS LÄN</t>
        </is>
      </c>
      <c r="G387" t="inlineStr">
        <is>
          <t>FALUN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45841</v>
      </c>
      <c r="E388" s="1" t="n">
        <v>46276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46276</v>
      </c>
      <c r="F389" t="inlineStr">
        <is>
          <t>DALARNAS LÄN</t>
        </is>
      </c>
      <c r="G389" t="inlineStr">
        <is>
          <t>FALUN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43202-2025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45910</v>
      </c>
      <c r="E390" s="1" t="n">
        <v>46276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46038</v>
      </c>
      <c r="E391" s="1" t="n">
        <v>46276</v>
      </c>
      <c r="F391" t="inlineStr">
        <is>
          <t>DALARNAS LÄN</t>
        </is>
      </c>
      <c r="G391" t="inlineStr">
        <is>
          <t>FALUN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45845</v>
      </c>
      <c r="E392" s="1" t="n">
        <v>46276</v>
      </c>
      <c r="F392" t="inlineStr">
        <is>
          <t>DALARNAS LÄN</t>
        </is>
      </c>
      <c r="G392" t="inlineStr">
        <is>
          <t>FALUN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46039</v>
      </c>
      <c r="E393" s="1" t="n">
        <v>46276</v>
      </c>
      <c r="F393" t="inlineStr">
        <is>
          <t>DALARNAS LÄN</t>
        </is>
      </c>
      <c r="G393" t="inlineStr">
        <is>
          <t>FALUN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46040</v>
      </c>
      <c r="E394" s="1" t="n">
        <v>46276</v>
      </c>
      <c r="F394" t="inlineStr">
        <is>
          <t>DALARNAS LÄN</t>
        </is>
      </c>
      <c r="G394" t="inlineStr">
        <is>
          <t>FALUN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45744</v>
      </c>
      <c r="E395" s="1" t="n">
        <v>46276</v>
      </c>
      <c r="F395" t="inlineStr">
        <is>
          <t>DALARNAS LÄN</t>
        </is>
      </c>
      <c r="G395" t="inlineStr">
        <is>
          <t>FALUN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46040</v>
      </c>
      <c r="E396" s="1" t="n">
        <v>46276</v>
      </c>
      <c r="F396" t="inlineStr">
        <is>
          <t>DALARNAS LÄN</t>
        </is>
      </c>
      <c r="G396" t="inlineStr">
        <is>
          <t>FALUN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46037</v>
      </c>
      <c r="E397" s="1" t="n">
        <v>46276</v>
      </c>
      <c r="F397" t="inlineStr">
        <is>
          <t>DALARNAS LÄN</t>
        </is>
      </c>
      <c r="G397" t="inlineStr">
        <is>
          <t>FALUN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46276</v>
      </c>
      <c r="F398" t="inlineStr">
        <is>
          <t>DALARNAS LÄN</t>
        </is>
      </c>
      <c r="G398" t="inlineStr">
        <is>
          <t>FALUN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46041</v>
      </c>
      <c r="E399" s="1" t="n">
        <v>46276</v>
      </c>
      <c r="F399" t="inlineStr">
        <is>
          <t>DALARNAS LÄN</t>
        </is>
      </c>
      <c r="G399" t="inlineStr">
        <is>
          <t>FALUN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49639-2024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45596</v>
      </c>
      <c r="E400" s="1" t="n">
        <v>46276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3276-2026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46276</v>
      </c>
      <c r="F401" t="inlineStr">
        <is>
          <t>DALARNAS LÄN</t>
        </is>
      </c>
      <c r="G401" t="inlineStr">
        <is>
          <t>FALUN</t>
        </is>
      </c>
      <c r="I401" t="n">
        <v>17.3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46276</v>
      </c>
      <c r="F402" t="inlineStr">
        <is>
          <t>DALARNAS LÄN</t>
        </is>
      </c>
      <c r="G402" t="inlineStr">
        <is>
          <t>FALUN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46276</v>
      </c>
      <c r="F403" t="inlineStr">
        <is>
          <t>DALARNAS LÄN</t>
        </is>
      </c>
      <c r="G403" t="inlineStr">
        <is>
          <t>FALUN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46043</v>
      </c>
      <c r="E404" s="1" t="n">
        <v>46276</v>
      </c>
      <c r="F404" t="inlineStr">
        <is>
          <t>DALARNAS LÄN</t>
        </is>
      </c>
      <c r="G404" t="inlineStr">
        <is>
          <t>FALUN</t>
        </is>
      </c>
      <c r="I404" t="n">
        <v>11.8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46276</v>
      </c>
      <c r="F405" t="inlineStr">
        <is>
          <t>DALARNAS LÄN</t>
        </is>
      </c>
      <c r="G405" t="inlineStr">
        <is>
          <t>FALUN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46276</v>
      </c>
      <c r="F406" t="inlineStr">
        <is>
          <t>DALARNAS LÄN</t>
        </is>
      </c>
      <c r="G406" t="inlineStr">
        <is>
          <t>FALUN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46276</v>
      </c>
      <c r="F407" t="inlineStr">
        <is>
          <t>DALARNAS LÄN</t>
        </is>
      </c>
      <c r="G407" t="inlineStr">
        <is>
          <t>FALUN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46276</v>
      </c>
      <c r="F408" t="inlineStr">
        <is>
          <t>DALARNAS LÄN</t>
        </is>
      </c>
      <c r="G408" t="inlineStr">
        <is>
          <t>FALUN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46276</v>
      </c>
      <c r="F409" t="inlineStr">
        <is>
          <t>DALARNAS LÄN</t>
        </is>
      </c>
      <c r="G409" t="inlineStr">
        <is>
          <t>FALUN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46276</v>
      </c>
      <c r="F410" t="inlineStr">
        <is>
          <t>DALARNAS LÄN</t>
        </is>
      </c>
      <c r="G410" t="inlineStr">
        <is>
          <t>FALUN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46276</v>
      </c>
      <c r="F411" t="inlineStr">
        <is>
          <t>DALARNAS LÄN</t>
        </is>
      </c>
      <c r="G411" t="inlineStr">
        <is>
          <t>FALUN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45849</v>
      </c>
      <c r="E412" s="1" t="n">
        <v>46276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18.1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46276</v>
      </c>
      <c r="F413" t="inlineStr">
        <is>
          <t>DALARNAS LÄN</t>
        </is>
      </c>
      <c r="G413" t="inlineStr">
        <is>
          <t>FALUN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3604-2026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46042</v>
      </c>
      <c r="E414" s="1" t="n">
        <v>46276</v>
      </c>
      <c r="F414" t="inlineStr">
        <is>
          <t>DALARNAS LÄN</t>
        </is>
      </c>
      <c r="G414" t="inlineStr">
        <is>
          <t>FALUN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46276</v>
      </c>
      <c r="F415" t="inlineStr">
        <is>
          <t>DALARNAS LÄN</t>
        </is>
      </c>
      <c r="G415" t="inlineStr">
        <is>
          <t>FALUN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46276</v>
      </c>
      <c r="F416" t="inlineStr">
        <is>
          <t>DALARNAS LÄN</t>
        </is>
      </c>
      <c r="G416" t="inlineStr">
        <is>
          <t>FALUN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46043</v>
      </c>
      <c r="E417" s="1" t="n">
        <v>46276</v>
      </c>
      <c r="F417" t="inlineStr">
        <is>
          <t>DALARNAS LÄN</t>
        </is>
      </c>
      <c r="G417" t="inlineStr">
        <is>
          <t>FALUN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2756-2025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45677</v>
      </c>
      <c r="E418" s="1" t="n">
        <v>46276</v>
      </c>
      <c r="F418" t="inlineStr">
        <is>
          <t>DALARNAS LÄN</t>
        </is>
      </c>
      <c r="G418" t="inlineStr">
        <is>
          <t>FALUN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46276</v>
      </c>
      <c r="F419" t="inlineStr">
        <is>
          <t>DALARNAS LÄN</t>
        </is>
      </c>
      <c r="G419" t="inlineStr">
        <is>
          <t>FALUN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46043</v>
      </c>
      <c r="E420" s="1" t="n">
        <v>46276</v>
      </c>
      <c r="F420" t="inlineStr">
        <is>
          <t>DALARNAS LÄN</t>
        </is>
      </c>
      <c r="G420" t="inlineStr">
        <is>
          <t>FALUN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1839-2025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45671</v>
      </c>
      <c r="E421" s="1" t="n">
        <v>46276</v>
      </c>
      <c r="F421" t="inlineStr">
        <is>
          <t>DALARNAS LÄN</t>
        </is>
      </c>
      <c r="G421" t="inlineStr">
        <is>
          <t>FALUN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46045</v>
      </c>
      <c r="E422" s="1" t="n">
        <v>46276</v>
      </c>
      <c r="F422" t="inlineStr">
        <is>
          <t>DALARNAS LÄN</t>
        </is>
      </c>
      <c r="G422" t="inlineStr">
        <is>
          <t>FALUN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46276</v>
      </c>
      <c r="F423" t="inlineStr">
        <is>
          <t>DALARNAS LÄN</t>
        </is>
      </c>
      <c r="G423" t="inlineStr">
        <is>
          <t>FALUN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46276</v>
      </c>
      <c r="F424" t="inlineStr">
        <is>
          <t>DALARNAS LÄN</t>
        </is>
      </c>
      <c r="G424" t="inlineStr">
        <is>
          <t>FALUN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46045</v>
      </c>
      <c r="E425" s="1" t="n">
        <v>46276</v>
      </c>
      <c r="F425" t="inlineStr">
        <is>
          <t>DALARNAS LÄN</t>
        </is>
      </c>
      <c r="G425" t="inlineStr">
        <is>
          <t>FALUN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23642-2024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45454</v>
      </c>
      <c r="E426" s="1" t="n">
        <v>46276</v>
      </c>
      <c r="F426" t="inlineStr">
        <is>
          <t>DALARNAS LÄN</t>
        </is>
      </c>
      <c r="G426" t="inlineStr">
        <is>
          <t>FALUN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51958-2024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45607</v>
      </c>
      <c r="E427" s="1" t="n">
        <v>46276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46276</v>
      </c>
      <c r="F428" t="inlineStr">
        <is>
          <t>DALARNAS LÄN</t>
        </is>
      </c>
      <c r="G428" t="inlineStr">
        <is>
          <t>FALUN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46276</v>
      </c>
      <c r="F429" t="inlineStr">
        <is>
          <t>DALARNAS LÄN</t>
        </is>
      </c>
      <c r="G429" t="inlineStr">
        <is>
          <t>FALUN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4511-2026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46276</v>
      </c>
      <c r="F430" t="inlineStr">
        <is>
          <t>DALARNAS LÄN</t>
        </is>
      </c>
      <c r="G430" t="inlineStr">
        <is>
          <t>FALUN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45097</v>
      </c>
      <c r="E431" s="1" t="n">
        <v>46276</v>
      </c>
      <c r="F431" t="inlineStr">
        <is>
          <t>DALARNAS LÄN</t>
        </is>
      </c>
      <c r="G431" t="inlineStr">
        <is>
          <t>FALUN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46276</v>
      </c>
      <c r="F432" t="inlineStr">
        <is>
          <t>DALARNAS LÄN</t>
        </is>
      </c>
      <c r="G432" t="inlineStr">
        <is>
          <t>FALUN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46276</v>
      </c>
      <c r="F433" t="inlineStr">
        <is>
          <t>DALARNAS LÄN</t>
        </is>
      </c>
      <c r="G433" t="inlineStr">
        <is>
          <t>FALUN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46045</v>
      </c>
      <c r="E434" s="1" t="n">
        <v>46276</v>
      </c>
      <c r="F434" t="inlineStr">
        <is>
          <t>DALARNAS LÄN</t>
        </is>
      </c>
      <c r="G434" t="inlineStr">
        <is>
          <t>FALUN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46044</v>
      </c>
      <c r="E435" s="1" t="n">
        <v>46276</v>
      </c>
      <c r="F435" t="inlineStr">
        <is>
          <t>DALARNAS LÄN</t>
        </is>
      </c>
      <c r="G435" t="inlineStr">
        <is>
          <t>FALUN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46029</v>
      </c>
      <c r="E436" s="1" t="n">
        <v>46276</v>
      </c>
      <c r="F436" t="inlineStr">
        <is>
          <t>DALARNAS LÄN</t>
        </is>
      </c>
      <c r="G436" t="inlineStr">
        <is>
          <t>FALUN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69306-2021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44531</v>
      </c>
      <c r="E437" s="1" t="n">
        <v>46276</v>
      </c>
      <c r="F437" t="inlineStr">
        <is>
          <t>DALARNAS LÄN</t>
        </is>
      </c>
      <c r="G437" t="inlineStr">
        <is>
          <t>FALUN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62334-2025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46005</v>
      </c>
      <c r="E438" s="1" t="n">
        <v>46276</v>
      </c>
      <c r="F438" t="inlineStr">
        <is>
          <t>DALARNAS LÄN</t>
        </is>
      </c>
      <c r="G438" t="inlineStr">
        <is>
          <t>FALUN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46276</v>
      </c>
      <c r="F439" t="inlineStr">
        <is>
          <t>DALARNAS LÄN</t>
        </is>
      </c>
      <c r="G439" t="inlineStr">
        <is>
          <t>FALUN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46276</v>
      </c>
      <c r="F440" t="inlineStr">
        <is>
          <t>DALARNAS LÄN</t>
        </is>
      </c>
      <c r="G440" t="inlineStr">
        <is>
          <t>FALUN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46049</v>
      </c>
      <c r="E441" s="1" t="n">
        <v>46276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5141-2026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46049</v>
      </c>
      <c r="E442" s="1" t="n">
        <v>46276</v>
      </c>
      <c r="F442" t="inlineStr">
        <is>
          <t>DALARNAS LÄN</t>
        </is>
      </c>
      <c r="G442" t="inlineStr">
        <is>
          <t>FALUN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44597-2023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45189</v>
      </c>
      <c r="E443" s="1" t="n">
        <v>46276</v>
      </c>
      <c r="F443" t="inlineStr">
        <is>
          <t>DALARNAS LÄN</t>
        </is>
      </c>
      <c r="G443" t="inlineStr">
        <is>
          <t>FALUN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5139-2026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46049</v>
      </c>
      <c r="E444" s="1" t="n">
        <v>46276</v>
      </c>
      <c r="F444" t="inlineStr">
        <is>
          <t>DALARNAS LÄN</t>
        </is>
      </c>
      <c r="G444" t="inlineStr">
        <is>
          <t>FALUN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46025</v>
      </c>
      <c r="E445" s="1" t="n">
        <v>46276</v>
      </c>
      <c r="F445" t="inlineStr">
        <is>
          <t>DALARNAS LÄN</t>
        </is>
      </c>
      <c r="G445" t="inlineStr">
        <is>
          <t>FALUN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36271-2025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45867</v>
      </c>
      <c r="E446" s="1" t="n">
        <v>46276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46276</v>
      </c>
      <c r="F447" t="inlineStr">
        <is>
          <t>DALARNAS LÄN</t>
        </is>
      </c>
      <c r="G447" t="inlineStr">
        <is>
          <t>FALUN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46276</v>
      </c>
      <c r="F448" t="inlineStr">
        <is>
          <t>DALARNAS LÄN</t>
        </is>
      </c>
      <c r="G448" t="inlineStr">
        <is>
          <t>FALUN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46276</v>
      </c>
      <c r="F449" t="inlineStr">
        <is>
          <t>DALARNAS LÄN</t>
        </is>
      </c>
      <c r="G449" t="inlineStr">
        <is>
          <t>FALUN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46276</v>
      </c>
      <c r="F450" t="inlineStr">
        <is>
          <t>DALARNAS LÄN</t>
        </is>
      </c>
      <c r="G450" t="inlineStr">
        <is>
          <t>FALUN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46276</v>
      </c>
      <c r="F451" t="inlineStr">
        <is>
          <t>DALARNAS LÄN</t>
        </is>
      </c>
      <c r="G451" t="inlineStr">
        <is>
          <t>FALUN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46049</v>
      </c>
      <c r="E452" s="1" t="n">
        <v>46276</v>
      </c>
      <c r="F452" t="inlineStr">
        <is>
          <t>DALARNAS LÄN</t>
        </is>
      </c>
      <c r="G452" t="inlineStr">
        <is>
          <t>FALUN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46276</v>
      </c>
      <c r="F453" t="inlineStr">
        <is>
          <t>DALARNAS LÄN</t>
        </is>
      </c>
      <c r="G453" t="inlineStr">
        <is>
          <t>FALUN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46049</v>
      </c>
      <c r="E454" s="1" t="n">
        <v>46276</v>
      </c>
      <c r="F454" t="inlineStr">
        <is>
          <t>DALARNAS LÄN</t>
        </is>
      </c>
      <c r="G454" t="inlineStr">
        <is>
          <t>FALUN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46049</v>
      </c>
      <c r="E455" s="1" t="n">
        <v>46276</v>
      </c>
      <c r="F455" t="inlineStr">
        <is>
          <t>DALARNAS LÄN</t>
        </is>
      </c>
      <c r="G455" t="inlineStr">
        <is>
          <t>FALUN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5071-2026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46049</v>
      </c>
      <c r="E456" s="1" t="n">
        <v>46276</v>
      </c>
      <c r="F456" t="inlineStr">
        <is>
          <t>DALARNAS LÄN</t>
        </is>
      </c>
      <c r="G456" t="inlineStr">
        <is>
          <t>FALUN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46049</v>
      </c>
      <c r="E457" s="1" t="n">
        <v>46276</v>
      </c>
      <c r="F457" t="inlineStr">
        <is>
          <t>DALARNAS LÄN</t>
        </is>
      </c>
      <c r="G457" t="inlineStr">
        <is>
          <t>FALUN</t>
        </is>
      </c>
      <c r="I457" t="n">
        <v>8.300000000000001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46037</v>
      </c>
      <c r="E458" s="1" t="n">
        <v>46276</v>
      </c>
      <c r="F458" t="inlineStr">
        <is>
          <t>DALARNAS LÄN</t>
        </is>
      </c>
      <c r="G458" t="inlineStr">
        <is>
          <t>FALUN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9730-2026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46071</v>
      </c>
      <c r="E459" s="1" t="n">
        <v>46276</v>
      </c>
      <c r="F459" t="inlineStr">
        <is>
          <t>DALARNAS LÄN</t>
        </is>
      </c>
      <c r="G459" t="inlineStr">
        <is>
          <t>FALUN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45562</v>
      </c>
      <c r="E460" s="1" t="n">
        <v>46276</v>
      </c>
      <c r="F460" t="inlineStr">
        <is>
          <t>DALARNAS LÄN</t>
        </is>
      </c>
      <c r="G460" t="inlineStr">
        <is>
          <t>FALUN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46276</v>
      </c>
      <c r="F461" t="inlineStr">
        <is>
          <t>DALARNAS LÄN</t>
        </is>
      </c>
      <c r="G461" t="inlineStr">
        <is>
          <t>FALUN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46276</v>
      </c>
      <c r="F462" t="inlineStr">
        <is>
          <t>DALARNAS LÄN</t>
        </is>
      </c>
      <c r="G462" t="inlineStr">
        <is>
          <t>FALUN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46276</v>
      </c>
      <c r="F463" t="inlineStr">
        <is>
          <t>DALARNAS LÄN</t>
        </is>
      </c>
      <c r="G463" t="inlineStr">
        <is>
          <t>FALUN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46276</v>
      </c>
      <c r="F464" t="inlineStr">
        <is>
          <t>DALARNAS LÄN</t>
        </is>
      </c>
      <c r="G464" t="inlineStr">
        <is>
          <t>FALUN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46045</v>
      </c>
      <c r="E465" s="1" t="n">
        <v>46276</v>
      </c>
      <c r="F465" t="inlineStr">
        <is>
          <t>DALARNAS LÄN</t>
        </is>
      </c>
      <c r="G465" t="inlineStr">
        <is>
          <t>FALUN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46046</v>
      </c>
      <c r="E466" s="1" t="n">
        <v>46276</v>
      </c>
      <c r="F466" t="inlineStr">
        <is>
          <t>DALARNAS LÄN</t>
        </is>
      </c>
      <c r="G466" t="inlineStr">
        <is>
          <t>FALUN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46276</v>
      </c>
      <c r="F467" t="inlineStr">
        <is>
          <t>DALARNAS LÄN</t>
        </is>
      </c>
      <c r="G467" t="inlineStr">
        <is>
          <t>FALUN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46276</v>
      </c>
      <c r="F468" t="inlineStr">
        <is>
          <t>DALARNAS LÄN</t>
        </is>
      </c>
      <c r="G468" t="inlineStr">
        <is>
          <t>FALUN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46048</v>
      </c>
      <c r="E469" s="1" t="n">
        <v>46276</v>
      </c>
      <c r="F469" t="inlineStr">
        <is>
          <t>DALARNAS LÄN</t>
        </is>
      </c>
      <c r="G469" t="inlineStr">
        <is>
          <t>FALUN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45148</v>
      </c>
      <c r="E470" s="1" t="n">
        <v>46276</v>
      </c>
      <c r="F470" t="inlineStr">
        <is>
          <t>DALARNAS LÄN</t>
        </is>
      </c>
      <c r="G470" t="inlineStr">
        <is>
          <t>FALUN</t>
        </is>
      </c>
      <c r="H470" t="inlineStr">
        <is>
          <t>Bergvik skog väst AB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46276</v>
      </c>
      <c r="F471" t="inlineStr">
        <is>
          <t>DALARNAS LÄN</t>
        </is>
      </c>
      <c r="G471" t="inlineStr">
        <is>
          <t>FALUN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46276</v>
      </c>
      <c r="F472" t="inlineStr">
        <is>
          <t>DALARNAS LÄN</t>
        </is>
      </c>
      <c r="G472" t="inlineStr">
        <is>
          <t>FALUN</t>
        </is>
      </c>
      <c r="I472" t="n">
        <v>10.6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55917-2022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46276</v>
      </c>
      <c r="F473" t="inlineStr">
        <is>
          <t>DALARNAS LÄN</t>
        </is>
      </c>
      <c r="G473" t="inlineStr">
        <is>
          <t>FALUN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46276</v>
      </c>
      <c r="F474" t="inlineStr">
        <is>
          <t>DALARNAS LÄN</t>
        </is>
      </c>
      <c r="G474" t="inlineStr">
        <is>
          <t>FALUN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43917-2025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45914</v>
      </c>
      <c r="E475" s="1" t="n">
        <v>46276</v>
      </c>
      <c r="F475" t="inlineStr">
        <is>
          <t>DALARNAS LÄN</t>
        </is>
      </c>
      <c r="G475" t="inlineStr">
        <is>
          <t>FALUN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46051</v>
      </c>
      <c r="E476" s="1" t="n">
        <v>46276</v>
      </c>
      <c r="F476" t="inlineStr">
        <is>
          <t>DALARNAS LÄN</t>
        </is>
      </c>
      <c r="G476" t="inlineStr">
        <is>
          <t>FALUN</t>
        </is>
      </c>
      <c r="I476" t="n">
        <v>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25722-2023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45090</v>
      </c>
      <c r="E477" s="1" t="n">
        <v>46276</v>
      </c>
      <c r="F477" t="inlineStr">
        <is>
          <t>DALARNAS LÄN</t>
        </is>
      </c>
      <c r="G477" t="inlineStr">
        <is>
          <t>FALUN</t>
        </is>
      </c>
      <c r="I477" t="n">
        <v>11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46276</v>
      </c>
      <c r="F478" t="inlineStr">
        <is>
          <t>DALARNAS LÄN</t>
        </is>
      </c>
      <c r="G478" t="inlineStr">
        <is>
          <t>FALUN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13636-2023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45006</v>
      </c>
      <c r="E479" s="1" t="n">
        <v>46276</v>
      </c>
      <c r="F479" t="inlineStr">
        <is>
          <t>DALARNAS LÄN</t>
        </is>
      </c>
      <c r="G479" t="inlineStr">
        <is>
          <t>FALUN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37456-2025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45877</v>
      </c>
      <c r="E480" s="1" t="n">
        <v>46276</v>
      </c>
      <c r="F480" t="inlineStr">
        <is>
          <t>DALARNAS LÄN</t>
        </is>
      </c>
      <c r="G480" t="inlineStr">
        <is>
          <t>FALUN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44863-2025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45918</v>
      </c>
      <c r="E481" s="1" t="n">
        <v>46276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23.6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46276</v>
      </c>
      <c r="F482" t="inlineStr">
        <is>
          <t>DALARNAS LÄN</t>
        </is>
      </c>
      <c r="G482" t="inlineStr">
        <is>
          <t>FALUN</t>
        </is>
      </c>
      <c r="H482" t="inlineStr">
        <is>
          <t>Kommuner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46276</v>
      </c>
      <c r="F483" t="inlineStr">
        <is>
          <t>DALARNAS LÄN</t>
        </is>
      </c>
      <c r="G483" t="inlineStr">
        <is>
          <t>FALUN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45048</v>
      </c>
      <c r="E484" s="1" t="n">
        <v>46276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45922</v>
      </c>
      <c r="E485" s="1" t="n">
        <v>46276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12.2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46051</v>
      </c>
      <c r="E486" s="1" t="n">
        <v>46276</v>
      </c>
      <c r="F486" t="inlineStr">
        <is>
          <t>DALARNAS LÄN</t>
        </is>
      </c>
      <c r="G486" t="inlineStr">
        <is>
          <t>FALUN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45584-2025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45922</v>
      </c>
      <c r="E487" s="1" t="n">
        <v>46276</v>
      </c>
      <c r="F487" t="inlineStr">
        <is>
          <t>DALARNAS LÄN</t>
        </is>
      </c>
      <c r="G487" t="inlineStr">
        <is>
          <t>FALUN</t>
        </is>
      </c>
      <c r="H487" t="inlineStr">
        <is>
          <t>Bergvik skog väst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45442</v>
      </c>
      <c r="E488" s="1" t="n">
        <v>46276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41144-2023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46276</v>
      </c>
      <c r="F489" t="inlineStr">
        <is>
          <t>DALARNAS LÄN</t>
        </is>
      </c>
      <c r="G489" t="inlineStr">
        <is>
          <t>FALUN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37999-2025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45881</v>
      </c>
      <c r="E490" s="1" t="n">
        <v>46276</v>
      </c>
      <c r="F490" t="inlineStr">
        <is>
          <t>DALARNAS LÄN</t>
        </is>
      </c>
      <c r="G490" t="inlineStr">
        <is>
          <t>FALUN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46276</v>
      </c>
      <c r="F491" t="inlineStr">
        <is>
          <t>DALARNAS LÄN</t>
        </is>
      </c>
      <c r="G491" t="inlineStr">
        <is>
          <t>FALUN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37998-2025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45881</v>
      </c>
      <c r="E492" s="1" t="n">
        <v>46276</v>
      </c>
      <c r="F492" t="inlineStr">
        <is>
          <t>DALARNAS LÄN</t>
        </is>
      </c>
      <c r="G492" t="inlineStr">
        <is>
          <t>FALUN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46276</v>
      </c>
      <c r="F493" t="inlineStr">
        <is>
          <t>DALARNAS LÄN</t>
        </is>
      </c>
      <c r="G493" t="inlineStr">
        <is>
          <t>FALUN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46276</v>
      </c>
      <c r="F494" t="inlineStr">
        <is>
          <t>DALARNAS LÄN</t>
        </is>
      </c>
      <c r="G494" t="inlineStr">
        <is>
          <t>FALUN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46276</v>
      </c>
      <c r="F495" t="inlineStr">
        <is>
          <t>DALARNAS LÄN</t>
        </is>
      </c>
      <c r="G495" t="inlineStr">
        <is>
          <t>FALUN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46052</v>
      </c>
      <c r="E496" s="1" t="n">
        <v>46276</v>
      </c>
      <c r="F496" t="inlineStr">
        <is>
          <t>DALARNAS LÄN</t>
        </is>
      </c>
      <c r="G496" t="inlineStr">
        <is>
          <t>FALUN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46276</v>
      </c>
      <c r="F497" t="inlineStr">
        <is>
          <t>DALARNAS LÄN</t>
        </is>
      </c>
      <c r="G497" t="inlineStr">
        <is>
          <t>FALUN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46276</v>
      </c>
      <c r="F498" t="inlineStr">
        <is>
          <t>DALARNAS LÄN</t>
        </is>
      </c>
      <c r="G498" t="inlineStr">
        <is>
          <t>FALUN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46276</v>
      </c>
      <c r="F499" t="inlineStr">
        <is>
          <t>DALARNAS LÄN</t>
        </is>
      </c>
      <c r="G499" t="inlineStr">
        <is>
          <t>FALUN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46276</v>
      </c>
      <c r="F500" t="inlineStr">
        <is>
          <t>DALARNAS LÄN</t>
        </is>
      </c>
      <c r="G500" t="inlineStr">
        <is>
          <t>FALUN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46276</v>
      </c>
      <c r="F501" t="inlineStr">
        <is>
          <t>DALARNAS LÄN</t>
        </is>
      </c>
      <c r="G501" t="inlineStr">
        <is>
          <t>FALUN</t>
        </is>
      </c>
      <c r="I501" t="n">
        <v>18.9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46276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46276</v>
      </c>
      <c r="F503" t="inlineStr">
        <is>
          <t>DALARNAS LÄN</t>
        </is>
      </c>
      <c r="G503" t="inlineStr">
        <is>
          <t>FALUN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46276</v>
      </c>
      <c r="F504" t="inlineStr">
        <is>
          <t>DALARNAS LÄN</t>
        </is>
      </c>
      <c r="G504" t="inlineStr">
        <is>
          <t>FALUN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46276</v>
      </c>
      <c r="F505" t="inlineStr">
        <is>
          <t>DALARNAS LÄN</t>
        </is>
      </c>
      <c r="G505" t="inlineStr">
        <is>
          <t>FALUN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46276</v>
      </c>
      <c r="F506" t="inlineStr">
        <is>
          <t>DALARNAS LÄN</t>
        </is>
      </c>
      <c r="G506" t="inlineStr">
        <is>
          <t>FALUN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52040-2023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46276</v>
      </c>
      <c r="F507" t="inlineStr">
        <is>
          <t>DALARNAS LÄN</t>
        </is>
      </c>
      <c r="G507" t="inlineStr">
        <is>
          <t>FALUN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52081-2023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45223</v>
      </c>
      <c r="E508" s="1" t="n">
        <v>46276</v>
      </c>
      <c r="F508" t="inlineStr">
        <is>
          <t>DALARNAS LÄN</t>
        </is>
      </c>
      <c r="G508" t="inlineStr">
        <is>
          <t>FALUN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46276</v>
      </c>
      <c r="F509" t="inlineStr">
        <is>
          <t>DALARNAS LÄN</t>
        </is>
      </c>
      <c r="G509" t="inlineStr">
        <is>
          <t>FALUN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46056</v>
      </c>
      <c r="E510" s="1" t="n">
        <v>46276</v>
      </c>
      <c r="F510" t="inlineStr">
        <is>
          <t>DALARNAS LÄN</t>
        </is>
      </c>
      <c r="G510" t="inlineStr">
        <is>
          <t>FALUN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46276</v>
      </c>
      <c r="F511" t="inlineStr">
        <is>
          <t>DALARNAS LÄN</t>
        </is>
      </c>
      <c r="G511" t="inlineStr">
        <is>
          <t>FALUN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46276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46276</v>
      </c>
      <c r="F513" t="inlineStr">
        <is>
          <t>DALARNAS LÄN</t>
        </is>
      </c>
      <c r="G513" t="inlineStr">
        <is>
          <t>FALUN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46056</v>
      </c>
      <c r="E514" s="1" t="n">
        <v>46276</v>
      </c>
      <c r="F514" t="inlineStr">
        <is>
          <t>DALARNAS LÄN</t>
        </is>
      </c>
      <c r="G514" t="inlineStr">
        <is>
          <t>FALUN</t>
        </is>
      </c>
      <c r="H514" t="inlineStr">
        <is>
          <t>Allmännings- och besparingsskogar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46057</v>
      </c>
      <c r="E515" s="1" t="n">
        <v>46276</v>
      </c>
      <c r="F515" t="inlineStr">
        <is>
          <t>DALARNAS LÄN</t>
        </is>
      </c>
      <c r="G515" t="inlineStr">
        <is>
          <t>FALUN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6515-2026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46276</v>
      </c>
      <c r="F516" t="inlineStr">
        <is>
          <t>DALARNAS LÄN</t>
        </is>
      </c>
      <c r="G516" t="inlineStr">
        <is>
          <t>FALUN</t>
        </is>
      </c>
      <c r="I516" t="n">
        <v>27.4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46276</v>
      </c>
      <c r="F517" t="inlineStr">
        <is>
          <t>DALARNAS LÄN</t>
        </is>
      </c>
      <c r="G517" t="inlineStr">
        <is>
          <t>FALUN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22739-2022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44714</v>
      </c>
      <c r="E518" s="1" t="n">
        <v>46276</v>
      </c>
      <c r="F518" t="inlineStr">
        <is>
          <t>DALARNAS LÄN</t>
        </is>
      </c>
      <c r="G518" t="inlineStr">
        <is>
          <t>FALUN</t>
        </is>
      </c>
      <c r="H518" t="inlineStr">
        <is>
          <t>Kyrkan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46276</v>
      </c>
      <c r="F519" t="inlineStr">
        <is>
          <t>DALARNAS LÄN</t>
        </is>
      </c>
      <c r="G519" t="inlineStr">
        <is>
          <t>FALUN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46056</v>
      </c>
      <c r="E520" s="1" t="n">
        <v>46276</v>
      </c>
      <c r="F520" t="inlineStr">
        <is>
          <t>DALARNAS LÄN</t>
        </is>
      </c>
      <c r="G520" t="inlineStr">
        <is>
          <t>FALUN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46057</v>
      </c>
      <c r="E521" s="1" t="n">
        <v>46276</v>
      </c>
      <c r="F521" t="inlineStr">
        <is>
          <t>DALARNAS LÄN</t>
        </is>
      </c>
      <c r="G521" t="inlineStr">
        <is>
          <t>FALUN</t>
        </is>
      </c>
      <c r="H521" t="inlineStr">
        <is>
          <t>Bergvik skog väst AB</t>
        </is>
      </c>
      <c r="I521" t="n">
        <v>24.1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6754-2026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46056</v>
      </c>
      <c r="E522" s="1" t="n">
        <v>46276</v>
      </c>
      <c r="F522" t="inlineStr">
        <is>
          <t>DALARNAS LÄN</t>
        </is>
      </c>
      <c r="G522" t="inlineStr">
        <is>
          <t>FALUN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46057</v>
      </c>
      <c r="E523" s="1" t="n">
        <v>46276</v>
      </c>
      <c r="F523" t="inlineStr">
        <is>
          <t>DALARNAS LÄN</t>
        </is>
      </c>
      <c r="G523" t="inlineStr">
        <is>
          <t>FALUN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46056</v>
      </c>
      <c r="E524" s="1" t="n">
        <v>46276</v>
      </c>
      <c r="F524" t="inlineStr">
        <is>
          <t>DALARNAS LÄN</t>
        </is>
      </c>
      <c r="G524" t="inlineStr">
        <is>
          <t>FALUN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46276</v>
      </c>
      <c r="F525" t="inlineStr">
        <is>
          <t>DALARNAS LÄN</t>
        </is>
      </c>
      <c r="G525" t="inlineStr">
        <is>
          <t>FALUN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46056</v>
      </c>
      <c r="E526" s="1" t="n">
        <v>46276</v>
      </c>
      <c r="F526" t="inlineStr">
        <is>
          <t>DALARNAS LÄN</t>
        </is>
      </c>
      <c r="G526" t="inlineStr">
        <is>
          <t>FALUN</t>
        </is>
      </c>
      <c r="I526" t="n">
        <v>17.2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37049-2023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45155</v>
      </c>
      <c r="E527" s="1" t="n">
        <v>46276</v>
      </c>
      <c r="F527" t="inlineStr">
        <is>
          <t>DALARNAS LÄN</t>
        </is>
      </c>
      <c r="G527" t="inlineStr">
        <is>
          <t>FALUN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46058</v>
      </c>
      <c r="E528" s="1" t="n">
        <v>46276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46276</v>
      </c>
      <c r="F529" t="inlineStr">
        <is>
          <t>DALARNAS LÄN</t>
        </is>
      </c>
      <c r="G529" t="inlineStr">
        <is>
          <t>FALUN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46276</v>
      </c>
      <c r="F530" t="inlineStr">
        <is>
          <t>DALARNAS LÄN</t>
        </is>
      </c>
      <c r="G530" t="inlineStr">
        <is>
          <t>FALUN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7476-2026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46059</v>
      </c>
      <c r="E531" s="1" t="n">
        <v>46276</v>
      </c>
      <c r="F531" t="inlineStr">
        <is>
          <t>DALARNAS LÄN</t>
        </is>
      </c>
      <c r="G531" t="inlineStr">
        <is>
          <t>FALUN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46276</v>
      </c>
      <c r="F532" t="inlineStr">
        <is>
          <t>DALARNAS LÄN</t>
        </is>
      </c>
      <c r="G532" t="inlineStr">
        <is>
          <t>FALUN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43030-2023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45182</v>
      </c>
      <c r="E533" s="1" t="n">
        <v>46276</v>
      </c>
      <c r="F533" t="inlineStr">
        <is>
          <t>DALARNAS LÄN</t>
        </is>
      </c>
      <c r="G533" t="inlineStr">
        <is>
          <t>FALUN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45930</v>
      </c>
      <c r="E534" s="1" t="n">
        <v>46276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46276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45931</v>
      </c>
      <c r="E536" s="1" t="n">
        <v>46276</v>
      </c>
      <c r="F536" t="inlineStr">
        <is>
          <t>DALARNAS LÄN</t>
        </is>
      </c>
      <c r="G536" t="inlineStr">
        <is>
          <t>FALUN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46090</v>
      </c>
      <c r="E537" s="1" t="n">
        <v>46276</v>
      </c>
      <c r="F537" t="inlineStr">
        <is>
          <t>DALARNAS LÄN</t>
        </is>
      </c>
      <c r="G537" t="inlineStr">
        <is>
          <t>FALUN</t>
        </is>
      </c>
      <c r="I537" t="n">
        <v>12.3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46043</v>
      </c>
      <c r="E538" s="1" t="n">
        <v>46276</v>
      </c>
      <c r="F538" t="inlineStr">
        <is>
          <t>DALARNAS LÄN</t>
        </is>
      </c>
      <c r="G538" t="inlineStr">
        <is>
          <t>FALUN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47685-2023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45203</v>
      </c>
      <c r="E539" s="1" t="n">
        <v>46276</v>
      </c>
      <c r="F539" t="inlineStr">
        <is>
          <t>DALARNAS LÄN</t>
        </is>
      </c>
      <c r="G539" t="inlineStr">
        <is>
          <t>FALUN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46276</v>
      </c>
      <c r="F540" t="inlineStr">
        <is>
          <t>DALARNAS LÄN</t>
        </is>
      </c>
      <c r="G540" t="inlineStr">
        <is>
          <t>FALUN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42954-2023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46276</v>
      </c>
      <c r="F541" t="inlineStr">
        <is>
          <t>DALARNAS LÄN</t>
        </is>
      </c>
      <c r="G541" t="inlineStr">
        <is>
          <t>FALUN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46276</v>
      </c>
      <c r="F542" t="inlineStr">
        <is>
          <t>DALARNAS LÄN</t>
        </is>
      </c>
      <c r="G542" t="inlineStr">
        <is>
          <t>FALUN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46276</v>
      </c>
      <c r="F543" t="inlineStr">
        <is>
          <t>DALARNAS LÄN</t>
        </is>
      </c>
      <c r="G543" t="inlineStr">
        <is>
          <t>FALUN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7696-2026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46276</v>
      </c>
      <c r="F544" t="inlineStr">
        <is>
          <t>DALARNAS LÄN</t>
        </is>
      </c>
      <c r="G544" t="inlineStr">
        <is>
          <t>FALUN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46276</v>
      </c>
      <c r="F545" t="inlineStr">
        <is>
          <t>DALARNAS LÄN</t>
        </is>
      </c>
      <c r="G545" t="inlineStr">
        <is>
          <t>FALUN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46276</v>
      </c>
      <c r="F546" t="inlineStr">
        <is>
          <t>DALARNAS LÄN</t>
        </is>
      </c>
      <c r="G546" t="inlineStr">
        <is>
          <t>FALUN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47945-2025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45932</v>
      </c>
      <c r="E547" s="1" t="n">
        <v>46276</v>
      </c>
      <c r="F547" t="inlineStr">
        <is>
          <t>DALARNAS LÄN</t>
        </is>
      </c>
      <c r="G547" t="inlineStr">
        <is>
          <t>FALUN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29740-2025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45825</v>
      </c>
      <c r="E548" s="1" t="n">
        <v>46276</v>
      </c>
      <c r="F548" t="inlineStr">
        <is>
          <t>DALARNAS LÄN</t>
        </is>
      </c>
      <c r="G548" t="inlineStr">
        <is>
          <t>FALUN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8757-2024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45356</v>
      </c>
      <c r="E549" s="1" t="n">
        <v>46276</v>
      </c>
      <c r="F549" t="inlineStr">
        <is>
          <t>DALARNAS LÄN</t>
        </is>
      </c>
      <c r="G549" t="inlineStr">
        <is>
          <t>FALUN</t>
        </is>
      </c>
      <c r="I549" t="n">
        <v>23.3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8409-2026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46276</v>
      </c>
      <c r="F550" t="inlineStr">
        <is>
          <t>DALARNAS LÄN</t>
        </is>
      </c>
      <c r="G550" t="inlineStr">
        <is>
          <t>FALUN</t>
        </is>
      </c>
      <c r="I550" t="n">
        <v>11.1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45233</v>
      </c>
      <c r="E551" s="1" t="n">
        <v>46276</v>
      </c>
      <c r="F551" t="inlineStr">
        <is>
          <t>DALARNAS LÄN</t>
        </is>
      </c>
      <c r="G551" t="inlineStr">
        <is>
          <t>FALUN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8599-2026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46065</v>
      </c>
      <c r="E552" s="1" t="n">
        <v>46276</v>
      </c>
      <c r="F552" t="inlineStr">
        <is>
          <t>DALARNAS LÄN</t>
        </is>
      </c>
      <c r="G552" t="inlineStr">
        <is>
          <t>FALUN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8589-2026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46065</v>
      </c>
      <c r="E553" s="1" t="n">
        <v>46276</v>
      </c>
      <c r="F553" t="inlineStr">
        <is>
          <t>DALARNAS LÄN</t>
        </is>
      </c>
      <c r="G553" t="inlineStr">
        <is>
          <t>FALUN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46276</v>
      </c>
      <c r="F554" t="inlineStr">
        <is>
          <t>DALARNAS LÄN</t>
        </is>
      </c>
      <c r="G554" t="inlineStr">
        <is>
          <t>FALUN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48866-2025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45937</v>
      </c>
      <c r="E555" s="1" t="n">
        <v>46276</v>
      </c>
      <c r="F555" t="inlineStr">
        <is>
          <t>DALARNAS LÄN</t>
        </is>
      </c>
      <c r="G555" t="inlineStr">
        <is>
          <t>FALUN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46066</v>
      </c>
      <c r="E556" s="1" t="n">
        <v>46276</v>
      </c>
      <c r="F556" t="inlineStr">
        <is>
          <t>DALARNAS LÄN</t>
        </is>
      </c>
      <c r="G556" t="inlineStr">
        <is>
          <t>FALUN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49134-2025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45937</v>
      </c>
      <c r="E557" s="1" t="n">
        <v>46276</v>
      </c>
      <c r="F557" t="inlineStr">
        <is>
          <t>DALARNAS LÄN</t>
        </is>
      </c>
      <c r="G557" t="inlineStr">
        <is>
          <t>FALUN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49150-2025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45938</v>
      </c>
      <c r="E558" s="1" t="n">
        <v>46276</v>
      </c>
      <c r="F558" t="inlineStr">
        <is>
          <t>DALARNAS LÄN</t>
        </is>
      </c>
      <c r="G558" t="inlineStr">
        <is>
          <t>FALUN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9102-2026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46069</v>
      </c>
      <c r="E559" s="1" t="n">
        <v>46276</v>
      </c>
      <c r="F559" t="inlineStr">
        <is>
          <t>DALARNAS LÄN</t>
        </is>
      </c>
      <c r="G559" t="inlineStr">
        <is>
          <t>FALUN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46069</v>
      </c>
      <c r="E560" s="1" t="n">
        <v>46276</v>
      </c>
      <c r="F560" t="inlineStr">
        <is>
          <t>DALARNAS LÄN</t>
        </is>
      </c>
      <c r="G560" t="inlineStr">
        <is>
          <t>FALUN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16491-2025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45751</v>
      </c>
      <c r="E561" s="1" t="n">
        <v>46276</v>
      </c>
      <c r="F561" t="inlineStr">
        <is>
          <t>DALARNAS LÄN</t>
        </is>
      </c>
      <c r="G561" t="inlineStr">
        <is>
          <t>FALUN</t>
        </is>
      </c>
      <c r="H561" t="inlineStr">
        <is>
          <t>Övriga statliga verk och myndigheter</t>
        </is>
      </c>
      <c r="I561" t="n">
        <v>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46276</v>
      </c>
      <c r="F562" t="inlineStr">
        <is>
          <t>DALARNAS LÄN</t>
        </is>
      </c>
      <c r="G562" t="inlineStr">
        <is>
          <t>FALUN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8821-2026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46276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5275-2026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46276</v>
      </c>
      <c r="F564" t="inlineStr">
        <is>
          <t>DALARNAS LÄN</t>
        </is>
      </c>
      <c r="G564" t="inlineStr">
        <is>
          <t>FALUN</t>
        </is>
      </c>
      <c r="H564" t="inlineStr">
        <is>
          <t>Kyrkan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8770-2026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46066</v>
      </c>
      <c r="E565" s="1" t="n">
        <v>46276</v>
      </c>
      <c r="F565" t="inlineStr">
        <is>
          <t>DALARNAS LÄN</t>
        </is>
      </c>
      <c r="G565" t="inlineStr">
        <is>
          <t>FALUN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46276</v>
      </c>
      <c r="F566" t="inlineStr">
        <is>
          <t>DALARNAS LÄN</t>
        </is>
      </c>
      <c r="G566" t="inlineStr">
        <is>
          <t>FALUN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46068</v>
      </c>
      <c r="E567" s="1" t="n">
        <v>46276</v>
      </c>
      <c r="F567" t="inlineStr">
        <is>
          <t>DALARNAS LÄN</t>
        </is>
      </c>
      <c r="G567" t="inlineStr">
        <is>
          <t>FALUN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52506-2021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44466</v>
      </c>
      <c r="E568" s="1" t="n">
        <v>46276</v>
      </c>
      <c r="F568" t="inlineStr">
        <is>
          <t>DALARNAS LÄN</t>
        </is>
      </c>
      <c r="G568" t="inlineStr">
        <is>
          <t>FALUN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8808-2026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46276</v>
      </c>
      <c r="F569" t="inlineStr">
        <is>
          <t>DALARNAS LÄN</t>
        </is>
      </c>
      <c r="G569" t="inlineStr">
        <is>
          <t>FALUN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8978-2026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46276</v>
      </c>
      <c r="F570" t="inlineStr">
        <is>
          <t>DALARNAS LÄN</t>
        </is>
      </c>
      <c r="G570" t="inlineStr">
        <is>
          <t>FALUN</t>
        </is>
      </c>
      <c r="I570" t="n">
        <v>11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46071</v>
      </c>
      <c r="E571" s="1" t="n">
        <v>46276</v>
      </c>
      <c r="F571" t="inlineStr">
        <is>
          <t>DALARNAS LÄN</t>
        </is>
      </c>
      <c r="G571" t="inlineStr">
        <is>
          <t>FALUN</t>
        </is>
      </c>
      <c r="H571" t="inlineStr">
        <is>
          <t>Allmännings- och besparingsskogar</t>
        </is>
      </c>
      <c r="I571" t="n">
        <v>17.5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4719-2026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46276</v>
      </c>
      <c r="F572" t="inlineStr">
        <is>
          <t>DALARNAS LÄN</t>
        </is>
      </c>
      <c r="G572" t="inlineStr">
        <is>
          <t>FALUN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9429-2026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46071</v>
      </c>
      <c r="E573" s="1" t="n">
        <v>46276</v>
      </c>
      <c r="F573" t="inlineStr">
        <is>
          <t>DALARNAS LÄN</t>
        </is>
      </c>
      <c r="G573" t="inlineStr">
        <is>
          <t>FALUN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46276</v>
      </c>
      <c r="F574" t="inlineStr">
        <is>
          <t>DALARNAS LÄN</t>
        </is>
      </c>
      <c r="G574" t="inlineStr">
        <is>
          <t>FALUN</t>
        </is>
      </c>
      <c r="H574" t="inlineStr">
        <is>
          <t>Kyrkan</t>
        </is>
      </c>
      <c r="I574" t="n">
        <v>18.5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46070</v>
      </c>
      <c r="E575" s="1" t="n">
        <v>46276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9.800000000000001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46276</v>
      </c>
      <c r="F576" t="inlineStr">
        <is>
          <t>DALARNAS LÄN</t>
        </is>
      </c>
      <c r="G576" t="inlineStr">
        <is>
          <t>FALUN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9342-2026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46276</v>
      </c>
      <c r="F577" t="inlineStr">
        <is>
          <t>DALARNAS LÄN</t>
        </is>
      </c>
      <c r="G577" t="inlineStr">
        <is>
          <t>FALUN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53643-2024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45614</v>
      </c>
      <c r="E578" s="1" t="n">
        <v>46276</v>
      </c>
      <c r="F578" t="inlineStr">
        <is>
          <t>DALARNAS LÄN</t>
        </is>
      </c>
      <c r="G578" t="inlineStr">
        <is>
          <t>FALUN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9840-2026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46072</v>
      </c>
      <c r="E579" s="1" t="n">
        <v>46276</v>
      </c>
      <c r="F579" t="inlineStr">
        <is>
          <t>DALARNAS LÄN</t>
        </is>
      </c>
      <c r="G579" t="inlineStr">
        <is>
          <t>FALUN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9842-2026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46276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6456-2026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46055</v>
      </c>
      <c r="E581" s="1" t="n">
        <v>46276</v>
      </c>
      <c r="F581" t="inlineStr">
        <is>
          <t>DALARNAS LÄN</t>
        </is>
      </c>
      <c r="G581" t="inlineStr">
        <is>
          <t>FALUN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9746-2026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46072</v>
      </c>
      <c r="E582" s="1" t="n">
        <v>46276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9606-2026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46276</v>
      </c>
      <c r="F583" t="inlineStr">
        <is>
          <t>DALARNAS LÄN</t>
        </is>
      </c>
      <c r="G583" t="inlineStr">
        <is>
          <t>FALUN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9696-2026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46276</v>
      </c>
      <c r="F584" t="inlineStr">
        <is>
          <t>DALARNAS LÄN</t>
        </is>
      </c>
      <c r="G584" t="inlineStr">
        <is>
          <t>FALUN</t>
        </is>
      </c>
      <c r="I584" t="n">
        <v>8.9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41961-2022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44830</v>
      </c>
      <c r="E585" s="1" t="n">
        <v>46276</v>
      </c>
      <c r="F585" t="inlineStr">
        <is>
          <t>DALARNAS LÄN</t>
        </is>
      </c>
      <c r="G585" t="inlineStr">
        <is>
          <t>FALUN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10531-2026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46077</v>
      </c>
      <c r="E586" s="1" t="n">
        <v>46276</v>
      </c>
      <c r="F586" t="inlineStr">
        <is>
          <t>DALARNAS LÄN</t>
        </is>
      </c>
      <c r="G586" t="inlineStr">
        <is>
          <t>FALUN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49891-2025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45940</v>
      </c>
      <c r="E587" s="1" t="n">
        <v>46276</v>
      </c>
      <c r="F587" t="inlineStr">
        <is>
          <t>DALARNAS LÄN</t>
        </is>
      </c>
      <c r="G587" t="inlineStr">
        <is>
          <t>FALUN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49905-2025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45940</v>
      </c>
      <c r="E588" s="1" t="n">
        <v>46276</v>
      </c>
      <c r="F588" t="inlineStr">
        <is>
          <t>DALARNAS LÄN</t>
        </is>
      </c>
      <c r="G588" t="inlineStr">
        <is>
          <t>FALUN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2380-2025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46276</v>
      </c>
      <c r="F589" t="inlineStr">
        <is>
          <t>DALARNAS LÄN</t>
        </is>
      </c>
      <c r="G589" t="inlineStr">
        <is>
          <t>FALUN</t>
        </is>
      </c>
      <c r="I589" t="n">
        <v>8.4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45940</v>
      </c>
      <c r="E590" s="1" t="n">
        <v>46276</v>
      </c>
      <c r="F590" t="inlineStr">
        <is>
          <t>DALARNAS LÄN</t>
        </is>
      </c>
      <c r="G590" t="inlineStr">
        <is>
          <t>FALUN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45945</v>
      </c>
      <c r="E591" s="1" t="n">
        <v>46276</v>
      </c>
      <c r="F591" t="inlineStr">
        <is>
          <t>DALARNAS LÄN</t>
        </is>
      </c>
      <c r="G591" t="inlineStr">
        <is>
          <t>FALUN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10325-2026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46076</v>
      </c>
      <c r="E592" s="1" t="n">
        <v>46276</v>
      </c>
      <c r="F592" t="inlineStr">
        <is>
          <t>DALARNAS LÄN</t>
        </is>
      </c>
      <c r="G592" t="inlineStr">
        <is>
          <t>FALUN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10539-2026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46077</v>
      </c>
      <c r="E593" s="1" t="n">
        <v>46276</v>
      </c>
      <c r="F593" t="inlineStr">
        <is>
          <t>DALARNAS LÄN</t>
        </is>
      </c>
      <c r="G593" t="inlineStr">
        <is>
          <t>FALUN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46077</v>
      </c>
      <c r="E594" s="1" t="n">
        <v>46276</v>
      </c>
      <c r="F594" t="inlineStr">
        <is>
          <t>DALARNAS LÄN</t>
        </is>
      </c>
      <c r="G594" t="inlineStr">
        <is>
          <t>FALUN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10822-2026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46078</v>
      </c>
      <c r="E595" s="1" t="n">
        <v>46276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10132-2026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46276</v>
      </c>
      <c r="F596" t="inlineStr">
        <is>
          <t>DALARNAS LÄN</t>
        </is>
      </c>
      <c r="G596" t="inlineStr">
        <is>
          <t>FALUN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50300-2025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45944</v>
      </c>
      <c r="E597" s="1" t="n">
        <v>46276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56474-2024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45625</v>
      </c>
      <c r="E598" s="1" t="n">
        <v>46276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49645-2024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46276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46276</v>
      </c>
      <c r="F600" t="inlineStr">
        <is>
          <t>DALARNAS LÄN</t>
        </is>
      </c>
      <c r="G600" t="inlineStr">
        <is>
          <t>FALUN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11140-2026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46276</v>
      </c>
      <c r="F601" t="inlineStr">
        <is>
          <t>DALARNAS LÄN</t>
        </is>
      </c>
      <c r="G601" t="inlineStr">
        <is>
          <t>FALUN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5397-2024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45331</v>
      </c>
      <c r="E602" s="1" t="n">
        <v>46276</v>
      </c>
      <c r="F602" t="inlineStr">
        <is>
          <t>DALARNAS LÄN</t>
        </is>
      </c>
      <c r="G602" t="inlineStr">
        <is>
          <t>FALUN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34507-2022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44792</v>
      </c>
      <c r="E603" s="1" t="n">
        <v>46276</v>
      </c>
      <c r="F603" t="inlineStr">
        <is>
          <t>DALARNAS LÄN</t>
        </is>
      </c>
      <c r="G603" t="inlineStr">
        <is>
          <t>FALUN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46080</v>
      </c>
      <c r="E604" s="1" t="n">
        <v>46276</v>
      </c>
      <c r="F604" t="inlineStr">
        <is>
          <t>DALARNAS LÄN</t>
        </is>
      </c>
      <c r="G604" t="inlineStr">
        <is>
          <t>FALUN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46276</v>
      </c>
      <c r="F605" t="inlineStr">
        <is>
          <t>DALARNAS LÄN</t>
        </is>
      </c>
      <c r="G605" t="inlineStr">
        <is>
          <t>FALUN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46276</v>
      </c>
      <c r="F606" t="inlineStr">
        <is>
          <t>DALARNAS LÄN</t>
        </is>
      </c>
      <c r="G606" t="inlineStr">
        <is>
          <t>FALUN</t>
        </is>
      </c>
      <c r="I606" t="n">
        <v>6.7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11270-2026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46080</v>
      </c>
      <c r="E607" s="1" t="n">
        <v>46276</v>
      </c>
      <c r="F607" t="inlineStr">
        <is>
          <t>DALARNAS LÄN</t>
        </is>
      </c>
      <c r="G607" t="inlineStr">
        <is>
          <t>FALUN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46080</v>
      </c>
      <c r="E608" s="1" t="n">
        <v>46276</v>
      </c>
      <c r="F608" t="inlineStr">
        <is>
          <t>DALARNAS LÄN</t>
        </is>
      </c>
      <c r="G608" t="inlineStr">
        <is>
          <t>FALUN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11265-2026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46080</v>
      </c>
      <c r="E609" s="1" t="n">
        <v>46276</v>
      </c>
      <c r="F609" t="inlineStr">
        <is>
          <t>DALARNAS LÄN</t>
        </is>
      </c>
      <c r="G609" t="inlineStr">
        <is>
          <t>FALUN</t>
        </is>
      </c>
      <c r="I609" t="n">
        <v>10.4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11275-2026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46080</v>
      </c>
      <c r="E610" s="1" t="n">
        <v>46276</v>
      </c>
      <c r="F610" t="inlineStr">
        <is>
          <t>DALARNAS LÄN</t>
        </is>
      </c>
      <c r="G610" t="inlineStr">
        <is>
          <t>FALUN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11050-2026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46276</v>
      </c>
      <c r="F611" t="inlineStr">
        <is>
          <t>DALARNAS LÄN</t>
        </is>
      </c>
      <c r="G611" t="inlineStr">
        <is>
          <t>FALUN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53062-2024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45611</v>
      </c>
      <c r="E612" s="1" t="n">
        <v>46276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7916-2023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44973</v>
      </c>
      <c r="E613" s="1" t="n">
        <v>46276</v>
      </c>
      <c r="F613" t="inlineStr">
        <is>
          <t>DALARNAS LÄN</t>
        </is>
      </c>
      <c r="G613" t="inlineStr">
        <is>
          <t>FALUN</t>
        </is>
      </c>
      <c r="I613" t="n">
        <v>22.8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11481-2026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46276</v>
      </c>
      <c r="F614" t="inlineStr">
        <is>
          <t>DALARNAS LÄN</t>
        </is>
      </c>
      <c r="G614" t="inlineStr">
        <is>
          <t>FALUN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50184-2022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44865</v>
      </c>
      <c r="E615" s="1" t="n">
        <v>46276</v>
      </c>
      <c r="F615" t="inlineStr">
        <is>
          <t>DALARNAS LÄN</t>
        </is>
      </c>
      <c r="G615" t="inlineStr">
        <is>
          <t>FALUN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11554-2026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46276</v>
      </c>
      <c r="F616" t="inlineStr">
        <is>
          <t>DALARNAS LÄN</t>
        </is>
      </c>
      <c r="G616" t="inlineStr">
        <is>
          <t>FALUN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11598-2026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46276</v>
      </c>
      <c r="F617" t="inlineStr">
        <is>
          <t>DALARNAS LÄN</t>
        </is>
      </c>
      <c r="G617" t="inlineStr">
        <is>
          <t>FALUN</t>
        </is>
      </c>
      <c r="I617" t="n">
        <v>9.9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46276</v>
      </c>
      <c r="F618" t="inlineStr">
        <is>
          <t>DALARNAS LÄN</t>
        </is>
      </c>
      <c r="G618" t="inlineStr">
        <is>
          <t>FALUN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46031</v>
      </c>
      <c r="E619" s="1" t="n">
        <v>46276</v>
      </c>
      <c r="F619" t="inlineStr">
        <is>
          <t>DALARNAS LÄN</t>
        </is>
      </c>
      <c r="G619" t="inlineStr">
        <is>
          <t>FALUN</t>
        </is>
      </c>
      <c r="I619" t="n">
        <v>9.5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52460-2025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45954</v>
      </c>
      <c r="E620" s="1" t="n">
        <v>46276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11347-2026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46082</v>
      </c>
      <c r="E621" s="1" t="n">
        <v>46276</v>
      </c>
      <c r="F621" t="inlineStr">
        <is>
          <t>DALARNAS LÄN</t>
        </is>
      </c>
      <c r="G621" t="inlineStr">
        <is>
          <t>FALUN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11330-2026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46081</v>
      </c>
      <c r="E622" s="1" t="n">
        <v>46276</v>
      </c>
      <c r="F622" t="inlineStr">
        <is>
          <t>DALARNAS LÄN</t>
        </is>
      </c>
      <c r="G622" t="inlineStr">
        <is>
          <t>FALUN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46276</v>
      </c>
      <c r="F623" t="inlineStr">
        <is>
          <t>DALARNAS LÄN</t>
        </is>
      </c>
      <c r="G623" t="inlineStr">
        <is>
          <t>FALUN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52752-2025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45957</v>
      </c>
      <c r="E624" s="1" t="n">
        <v>46276</v>
      </c>
      <c r="F624" t="inlineStr">
        <is>
          <t>DALARNAS LÄN</t>
        </is>
      </c>
      <c r="G624" t="inlineStr">
        <is>
          <t>FALUN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46276</v>
      </c>
      <c r="F625" t="inlineStr">
        <is>
          <t>DALARNAS LÄN</t>
        </is>
      </c>
      <c r="G625" t="inlineStr">
        <is>
          <t>FALUN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46276</v>
      </c>
      <c r="F626" t="inlineStr">
        <is>
          <t>DALARNAS LÄN</t>
        </is>
      </c>
      <c r="G626" t="inlineStr">
        <is>
          <t>FALUN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46276</v>
      </c>
      <c r="F627" t="inlineStr">
        <is>
          <t>DALARNAS LÄN</t>
        </is>
      </c>
      <c r="G627" t="inlineStr">
        <is>
          <t>FALUN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31077-2023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45113</v>
      </c>
      <c r="E628" s="1" t="n">
        <v>46276</v>
      </c>
      <c r="F628" t="inlineStr">
        <is>
          <t>DALARNAS LÄN</t>
        </is>
      </c>
      <c r="G628" t="inlineStr">
        <is>
          <t>FALUN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52836-2025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45957</v>
      </c>
      <c r="E629" s="1" t="n">
        <v>46276</v>
      </c>
      <c r="F629" t="inlineStr">
        <is>
          <t>DALARNAS LÄN</t>
        </is>
      </c>
      <c r="G629" t="inlineStr">
        <is>
          <t>FALUN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46085</v>
      </c>
      <c r="E630" s="1" t="n">
        <v>46276</v>
      </c>
      <c r="F630" t="inlineStr">
        <is>
          <t>DALARNAS LÄN</t>
        </is>
      </c>
      <c r="G630" t="inlineStr">
        <is>
          <t>FALUN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46276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12041-2026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46086</v>
      </c>
      <c r="E632" s="1" t="n">
        <v>46276</v>
      </c>
      <c r="F632" t="inlineStr">
        <is>
          <t>DALARNAS LÄN</t>
        </is>
      </c>
      <c r="G632" t="inlineStr">
        <is>
          <t>FALUN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52605-2025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45954</v>
      </c>
      <c r="E633" s="1" t="n">
        <v>46276</v>
      </c>
      <c r="F633" t="inlineStr">
        <is>
          <t>DALARNAS LÄN</t>
        </is>
      </c>
      <c r="G633" t="inlineStr">
        <is>
          <t>FALUN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12507-2026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46090</v>
      </c>
      <c r="E634" s="1" t="n">
        <v>46276</v>
      </c>
      <c r="F634" t="inlineStr">
        <is>
          <t>DALARNAS LÄN</t>
        </is>
      </c>
      <c r="G634" t="inlineStr">
        <is>
          <t>FALUN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12689-2026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46090</v>
      </c>
      <c r="E635" s="1" t="n">
        <v>46276</v>
      </c>
      <c r="F635" t="inlineStr">
        <is>
          <t>DALARNAS LÄN</t>
        </is>
      </c>
      <c r="G635" t="inlineStr">
        <is>
          <t>FALUN</t>
        </is>
      </c>
      <c r="H635" t="inlineStr">
        <is>
          <t>Allmännings- och besparingsskogar</t>
        </is>
      </c>
      <c r="I635" t="n">
        <v>122.4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12542-2026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46090</v>
      </c>
      <c r="E636" s="1" t="n">
        <v>46276</v>
      </c>
      <c r="F636" t="inlineStr">
        <is>
          <t>DALARNAS LÄN</t>
        </is>
      </c>
      <c r="G636" t="inlineStr">
        <is>
          <t>FALUN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46276</v>
      </c>
      <c r="F637" t="inlineStr">
        <is>
          <t>DALARNAS LÄN</t>
        </is>
      </c>
      <c r="G637" t="inlineStr">
        <is>
          <t>FALUN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53202-2025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45958</v>
      </c>
      <c r="E638" s="1" t="n">
        <v>46276</v>
      </c>
      <c r="F638" t="inlineStr">
        <is>
          <t>DALARNAS LÄN</t>
        </is>
      </c>
      <c r="G638" t="inlineStr">
        <is>
          <t>FALUN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12245-2026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46087</v>
      </c>
      <c r="E639" s="1" t="n">
        <v>46276</v>
      </c>
      <c r="F639" t="inlineStr">
        <is>
          <t>DALARNAS LÄN</t>
        </is>
      </c>
      <c r="G639" t="inlineStr">
        <is>
          <t>FALUN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12504-2026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46090</v>
      </c>
      <c r="E640" s="1" t="n">
        <v>46276</v>
      </c>
      <c r="F640" t="inlineStr">
        <is>
          <t>DALARNAS LÄN</t>
        </is>
      </c>
      <c r="G640" t="inlineStr">
        <is>
          <t>FALUN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12695-2026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46276</v>
      </c>
      <c r="F641" t="inlineStr">
        <is>
          <t>DALARNAS LÄN</t>
        </is>
      </c>
      <c r="G641" t="inlineStr">
        <is>
          <t>FALUN</t>
        </is>
      </c>
      <c r="H641" t="inlineStr">
        <is>
          <t>Allmännings- och besparingsskogar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28249-2023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45099</v>
      </c>
      <c r="E642" s="1" t="n">
        <v>46276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12397-2026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46087</v>
      </c>
      <c r="E643" s="1" t="n">
        <v>46276</v>
      </c>
      <c r="F643" t="inlineStr">
        <is>
          <t>DALARNAS LÄN</t>
        </is>
      </c>
      <c r="G643" t="inlineStr">
        <is>
          <t>FALUN</t>
        </is>
      </c>
      <c r="H643" t="inlineStr">
        <is>
          <t>Allmännings- och besparingsskogar</t>
        </is>
      </c>
      <c r="I643" t="n">
        <v>44.4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46276</v>
      </c>
      <c r="F644" t="inlineStr">
        <is>
          <t>DALARNAS LÄN</t>
        </is>
      </c>
      <c r="G644" t="inlineStr">
        <is>
          <t>FALUN</t>
        </is>
      </c>
      <c r="H644" t="inlineStr">
        <is>
          <t>Bergvik skog väst AB</t>
        </is>
      </c>
      <c r="I644" t="n">
        <v>38.7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45804</v>
      </c>
      <c r="E645" s="1" t="n">
        <v>46276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17.5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12501-2026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46090</v>
      </c>
      <c r="E646" s="1" t="n">
        <v>46276</v>
      </c>
      <c r="F646" t="inlineStr">
        <is>
          <t>DALARNAS LÄN</t>
        </is>
      </c>
      <c r="G646" t="inlineStr">
        <is>
          <t>FALUN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53996-2025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45961</v>
      </c>
      <c r="E647" s="1" t="n">
        <v>46276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54335-2025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45965</v>
      </c>
      <c r="E648" s="1" t="n">
        <v>46276</v>
      </c>
      <c r="F648" t="inlineStr">
        <is>
          <t>DALARNAS LÄN</t>
        </is>
      </c>
      <c r="G648" t="inlineStr">
        <is>
          <t>FALUN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12685-2026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46276</v>
      </c>
      <c r="F649" t="inlineStr">
        <is>
          <t>DALARNAS LÄN</t>
        </is>
      </c>
      <c r="G649" t="inlineStr">
        <is>
          <t>FALUN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54566-2025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45965</v>
      </c>
      <c r="E650" s="1" t="n">
        <v>46276</v>
      </c>
      <c r="F650" t="inlineStr">
        <is>
          <t>DALARNAS LÄN</t>
        </is>
      </c>
      <c r="G650" t="inlineStr">
        <is>
          <t>FALUN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42436-2024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45565</v>
      </c>
      <c r="E651" s="1" t="n">
        <v>46276</v>
      </c>
      <c r="F651" t="inlineStr">
        <is>
          <t>DALARNAS LÄN</t>
        </is>
      </c>
      <c r="G651" t="inlineStr">
        <is>
          <t>FALUN</t>
        </is>
      </c>
      <c r="H651" t="inlineStr">
        <is>
          <t>Bergvik skog väst AB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46092</v>
      </c>
      <c r="E652" s="1" t="n">
        <v>46276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30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58133-2024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45632</v>
      </c>
      <c r="E653" s="1" t="n">
        <v>46276</v>
      </c>
      <c r="F653" t="inlineStr">
        <is>
          <t>DALARNAS LÄN</t>
        </is>
      </c>
      <c r="G653" t="inlineStr">
        <is>
          <t>FALUN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12986-2026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46092</v>
      </c>
      <c r="E654" s="1" t="n">
        <v>46276</v>
      </c>
      <c r="F654" t="inlineStr">
        <is>
          <t>DALARNAS LÄN</t>
        </is>
      </c>
      <c r="G654" t="inlineStr">
        <is>
          <t>FALUN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4834-2024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45329</v>
      </c>
      <c r="E655" s="1" t="n">
        <v>46276</v>
      </c>
      <c r="F655" t="inlineStr">
        <is>
          <t>DALARNAS LÄN</t>
        </is>
      </c>
      <c r="G655" t="inlineStr">
        <is>
          <t>FALUN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46076</v>
      </c>
      <c r="E656" s="1" t="n">
        <v>46276</v>
      </c>
      <c r="F656" t="inlineStr">
        <is>
          <t>DALARNAS LÄN</t>
        </is>
      </c>
      <c r="G656" t="inlineStr">
        <is>
          <t>FALUN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35807-2022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44802</v>
      </c>
      <c r="E657" s="1" t="n">
        <v>46276</v>
      </c>
      <c r="F657" t="inlineStr">
        <is>
          <t>DALARNAS LÄN</t>
        </is>
      </c>
      <c r="G657" t="inlineStr">
        <is>
          <t>FALUN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55047-2025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45967</v>
      </c>
      <c r="E658" s="1" t="n">
        <v>46276</v>
      </c>
      <c r="F658" t="inlineStr">
        <is>
          <t>DALARNAS LÄN</t>
        </is>
      </c>
      <c r="G658" t="inlineStr">
        <is>
          <t>FALUN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51135-2024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45603</v>
      </c>
      <c r="E659" s="1" t="n">
        <v>46276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12950-2026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46276</v>
      </c>
      <c r="F660" t="inlineStr">
        <is>
          <t>DALARNAS LÄN</t>
        </is>
      </c>
      <c r="G660" t="inlineStr">
        <is>
          <t>FALUN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46276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55201-2025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45968</v>
      </c>
      <c r="E662" s="1" t="n">
        <v>46276</v>
      </c>
      <c r="F662" t="inlineStr">
        <is>
          <t>DALARNAS LÄN</t>
        </is>
      </c>
      <c r="G662" t="inlineStr">
        <is>
          <t>FALUN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55516-2025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45971</v>
      </c>
      <c r="E663" s="1" t="n">
        <v>46276</v>
      </c>
      <c r="F663" t="inlineStr">
        <is>
          <t>DALARNAS LÄN</t>
        </is>
      </c>
      <c r="G663" t="inlineStr">
        <is>
          <t>FALUN</t>
        </is>
      </c>
      <c r="H663" t="inlineStr">
        <is>
          <t>Bergvik skog väst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55140-2025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45968</v>
      </c>
      <c r="E664" s="1" t="n">
        <v>46276</v>
      </c>
      <c r="F664" t="inlineStr">
        <is>
          <t>DALARNAS LÄN</t>
        </is>
      </c>
      <c r="G664" t="inlineStr">
        <is>
          <t>FALUN</t>
        </is>
      </c>
      <c r="I664" t="n">
        <v>14.8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46051</v>
      </c>
      <c r="E665" s="1" t="n">
        <v>46276</v>
      </c>
      <c r="F665" t="inlineStr">
        <is>
          <t>DALARNAS LÄN</t>
        </is>
      </c>
      <c r="G665" t="inlineStr">
        <is>
          <t>FALUN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12775-2026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46091</v>
      </c>
      <c r="E666" s="1" t="n">
        <v>46276</v>
      </c>
      <c r="F666" t="inlineStr">
        <is>
          <t>DALARNAS LÄN</t>
        </is>
      </c>
      <c r="G666" t="inlineStr">
        <is>
          <t>FALUN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24131-2022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44725</v>
      </c>
      <c r="E667" s="1" t="n">
        <v>46276</v>
      </c>
      <c r="F667" t="inlineStr">
        <is>
          <t>DALARNAS LÄN</t>
        </is>
      </c>
      <c r="G667" t="inlineStr">
        <is>
          <t>FALUN</t>
        </is>
      </c>
      <c r="H667" t="inlineStr">
        <is>
          <t>Kyrkan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55989-2025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45973</v>
      </c>
      <c r="E668" s="1" t="n">
        <v>46276</v>
      </c>
      <c r="F668" t="inlineStr">
        <is>
          <t>DALARNAS LÄN</t>
        </is>
      </c>
      <c r="G668" t="inlineStr">
        <is>
          <t>FALUN</t>
        </is>
      </c>
      <c r="I668" t="n">
        <v>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46276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8.5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33611-2024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45520</v>
      </c>
      <c r="E670" s="1" t="n">
        <v>46276</v>
      </c>
      <c r="F670" t="inlineStr">
        <is>
          <t>DALARNAS LÄN</t>
        </is>
      </c>
      <c r="G670" t="inlineStr">
        <is>
          <t>FALUN</t>
        </is>
      </c>
      <c r="I670" t="n">
        <v>11.2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13454-2026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46276</v>
      </c>
      <c r="F671" t="inlineStr">
        <is>
          <t>DALARNAS LÄN</t>
        </is>
      </c>
      <c r="G671" t="inlineStr">
        <is>
          <t>FALUN</t>
        </is>
      </c>
      <c r="H671" t="inlineStr">
        <is>
          <t>Bergvik skog väst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56279-2023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45241</v>
      </c>
      <c r="E672" s="1" t="n">
        <v>46276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13209-2026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46093</v>
      </c>
      <c r="E673" s="1" t="n">
        <v>46276</v>
      </c>
      <c r="F673" t="inlineStr">
        <is>
          <t>DALARNAS LÄN</t>
        </is>
      </c>
      <c r="G673" t="inlineStr">
        <is>
          <t>FALUN</t>
        </is>
      </c>
      <c r="H673" t="inlineStr">
        <is>
          <t>Bergvik skog väst AB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58819-2023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45252</v>
      </c>
      <c r="E674" s="1" t="n">
        <v>46276</v>
      </c>
      <c r="F674" t="inlineStr">
        <is>
          <t>DALARNAS LÄN</t>
        </is>
      </c>
      <c r="G674" t="inlineStr">
        <is>
          <t>FALUN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45659</v>
      </c>
      <c r="E675" s="1" t="n">
        <v>46276</v>
      </c>
      <c r="F675" t="inlineStr">
        <is>
          <t>DALARNAS LÄN</t>
        </is>
      </c>
      <c r="G675" t="inlineStr">
        <is>
          <t>FALUN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13262-2026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46093</v>
      </c>
      <c r="E676" s="1" t="n">
        <v>46276</v>
      </c>
      <c r="F676" t="inlineStr">
        <is>
          <t>DALARNAS LÄN</t>
        </is>
      </c>
      <c r="G676" t="inlineStr">
        <is>
          <t>FALUN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46093</v>
      </c>
      <c r="E677" s="1" t="n">
        <v>46276</v>
      </c>
      <c r="F677" t="inlineStr">
        <is>
          <t>DALARNAS LÄN</t>
        </is>
      </c>
      <c r="G677" t="inlineStr">
        <is>
          <t>FALUN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13078-2026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46276</v>
      </c>
      <c r="F678" t="inlineStr">
        <is>
          <t>DALARNAS LÄN</t>
        </is>
      </c>
      <c r="G678" t="inlineStr">
        <is>
          <t>FALUN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13219-2026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46276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78.3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46093</v>
      </c>
      <c r="E680" s="1" t="n">
        <v>46276</v>
      </c>
      <c r="F680" t="inlineStr">
        <is>
          <t>DALARNAS LÄN</t>
        </is>
      </c>
      <c r="G680" t="inlineStr">
        <is>
          <t>FALUN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56913-2025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45978</v>
      </c>
      <c r="E681" s="1" t="n">
        <v>46276</v>
      </c>
      <c r="F681" t="inlineStr">
        <is>
          <t>DALARNAS LÄN</t>
        </is>
      </c>
      <c r="G681" t="inlineStr">
        <is>
          <t>FALUN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56924-2025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45978</v>
      </c>
      <c r="E682" s="1" t="n">
        <v>46276</v>
      </c>
      <c r="F682" t="inlineStr">
        <is>
          <t>DALARNAS LÄN</t>
        </is>
      </c>
      <c r="G682" t="inlineStr">
        <is>
          <t>FALUN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56931-2025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46276</v>
      </c>
      <c r="F683" t="inlineStr">
        <is>
          <t>DALARNAS LÄN</t>
        </is>
      </c>
      <c r="G683" t="inlineStr">
        <is>
          <t>FALUN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57059-2025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45979</v>
      </c>
      <c r="E684" s="1" t="n">
        <v>46276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41664-2022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44827</v>
      </c>
      <c r="E685" s="1" t="n">
        <v>46276</v>
      </c>
      <c r="F685" t="inlineStr">
        <is>
          <t>DALARNAS LÄN</t>
        </is>
      </c>
      <c r="G685" t="inlineStr">
        <is>
          <t>FALUN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56906-2025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45978</v>
      </c>
      <c r="E686" s="1" t="n">
        <v>46276</v>
      </c>
      <c r="F686" t="inlineStr">
        <is>
          <t>DALARNAS LÄN</t>
        </is>
      </c>
      <c r="G686" t="inlineStr">
        <is>
          <t>FALUN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13829-2026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46098</v>
      </c>
      <c r="E687" s="1" t="n">
        <v>46276</v>
      </c>
      <c r="F687" t="inlineStr">
        <is>
          <t>DALARNAS LÄN</t>
        </is>
      </c>
      <c r="G687" t="inlineStr">
        <is>
          <t>FALUN</t>
        </is>
      </c>
      <c r="I687" t="n">
        <v>13.1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13711-2026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46097</v>
      </c>
      <c r="E688" s="1" t="n">
        <v>46276</v>
      </c>
      <c r="F688" t="inlineStr">
        <is>
          <t>DALARNAS LÄN</t>
        </is>
      </c>
      <c r="G688" t="inlineStr">
        <is>
          <t>FALUN</t>
        </is>
      </c>
      <c r="I688" t="n">
        <v>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13786-2026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46097</v>
      </c>
      <c r="E689" s="1" t="n">
        <v>46276</v>
      </c>
      <c r="F689" t="inlineStr">
        <is>
          <t>DALARNAS LÄN</t>
        </is>
      </c>
      <c r="G689" t="inlineStr">
        <is>
          <t>FALUN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14022-2026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46098</v>
      </c>
      <c r="E690" s="1" t="n">
        <v>46276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33.9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13816-2026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46276</v>
      </c>
      <c r="F691" t="inlineStr">
        <is>
          <t>DALARNAS LÄN</t>
        </is>
      </c>
      <c r="G691" t="inlineStr">
        <is>
          <t>FALUN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56887-2025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45978</v>
      </c>
      <c r="E692" s="1" t="n">
        <v>46276</v>
      </c>
      <c r="F692" t="inlineStr">
        <is>
          <t>DALARNAS LÄN</t>
        </is>
      </c>
      <c r="G692" t="inlineStr">
        <is>
          <t>FALUN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13817-2026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46098</v>
      </c>
      <c r="E693" s="1" t="n">
        <v>46276</v>
      </c>
      <c r="F693" t="inlineStr">
        <is>
          <t>DALARNAS LÄN</t>
        </is>
      </c>
      <c r="G693" t="inlineStr">
        <is>
          <t>FALUN</t>
        </is>
      </c>
      <c r="I693" t="n">
        <v>19.6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56962-2025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45978</v>
      </c>
      <c r="E694" s="1" t="n">
        <v>46276</v>
      </c>
      <c r="F694" t="inlineStr">
        <is>
          <t>DALARNAS LÄN</t>
        </is>
      </c>
      <c r="G694" t="inlineStr">
        <is>
          <t>FALUN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13782-2026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46097</v>
      </c>
      <c r="E695" s="1" t="n">
        <v>46276</v>
      </c>
      <c r="F695" t="inlineStr">
        <is>
          <t>DALARNAS LÄN</t>
        </is>
      </c>
      <c r="G695" t="inlineStr">
        <is>
          <t>FALUN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57305-2025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45979</v>
      </c>
      <c r="E696" s="1" t="n">
        <v>46276</v>
      </c>
      <c r="F696" t="inlineStr">
        <is>
          <t>DALARNAS LÄN</t>
        </is>
      </c>
      <c r="G696" t="inlineStr">
        <is>
          <t>FALUN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43005-2022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44833</v>
      </c>
      <c r="E697" s="1" t="n">
        <v>46276</v>
      </c>
      <c r="F697" t="inlineStr">
        <is>
          <t>DALARNAS LÄN</t>
        </is>
      </c>
      <c r="G697" t="inlineStr">
        <is>
          <t>FALUN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57544-2025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45980</v>
      </c>
      <c r="E698" s="1" t="n">
        <v>46276</v>
      </c>
      <c r="F698" t="inlineStr">
        <is>
          <t>DALARNAS LÄN</t>
        </is>
      </c>
      <c r="G698" t="inlineStr">
        <is>
          <t>FALUN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14023-2026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46098</v>
      </c>
      <c r="E699" s="1" t="n">
        <v>46276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38.2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15816-2025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45748</v>
      </c>
      <c r="E700" s="1" t="n">
        <v>46276</v>
      </c>
      <c r="F700" t="inlineStr">
        <is>
          <t>DALARNAS LÄN</t>
        </is>
      </c>
      <c r="G700" t="inlineStr">
        <is>
          <t>FALUN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13896-2026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46098</v>
      </c>
      <c r="E701" s="1" t="n">
        <v>46276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13634-2026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46097</v>
      </c>
      <c r="E702" s="1" t="n">
        <v>46276</v>
      </c>
      <c r="F702" t="inlineStr">
        <is>
          <t>DALARNAS LÄN</t>
        </is>
      </c>
      <c r="G702" t="inlineStr">
        <is>
          <t>FALUN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13636-2026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46097</v>
      </c>
      <c r="E703" s="1" t="n">
        <v>46276</v>
      </c>
      <c r="F703" t="inlineStr">
        <is>
          <t>DALARNAS LÄN</t>
        </is>
      </c>
      <c r="G703" t="inlineStr">
        <is>
          <t>FALUN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13592-2026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46096</v>
      </c>
      <c r="E704" s="1" t="n">
        <v>46276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30.3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57500-2025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45980</v>
      </c>
      <c r="E705" s="1" t="n">
        <v>46276</v>
      </c>
      <c r="F705" t="inlineStr">
        <is>
          <t>DALARNAS LÄN</t>
        </is>
      </c>
      <c r="G705" t="inlineStr">
        <is>
          <t>FALUN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13784-2026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46097</v>
      </c>
      <c r="E706" s="1" t="n">
        <v>46276</v>
      </c>
      <c r="F706" t="inlineStr">
        <is>
          <t>DALARNAS LÄN</t>
        </is>
      </c>
      <c r="G706" t="inlineStr">
        <is>
          <t>FALUN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46099</v>
      </c>
      <c r="E707" s="1" t="n">
        <v>46276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14214-2026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46099</v>
      </c>
      <c r="E708" s="1" t="n">
        <v>46276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46276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14407-2026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46100</v>
      </c>
      <c r="E710" s="1" t="n">
        <v>46276</v>
      </c>
      <c r="F710" t="inlineStr">
        <is>
          <t>DALARNAS LÄN</t>
        </is>
      </c>
      <c r="G710" t="inlineStr">
        <is>
          <t>FALUN</t>
        </is>
      </c>
      <c r="I710" t="n">
        <v>9.6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58181-2025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45982</v>
      </c>
      <c r="E711" s="1" t="n">
        <v>46276</v>
      </c>
      <c r="F711" t="inlineStr">
        <is>
          <t>DALARNAS LÄN</t>
        </is>
      </c>
      <c r="G711" t="inlineStr">
        <is>
          <t>FALUN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14571-2026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46100</v>
      </c>
      <c r="E712" s="1" t="n">
        <v>46276</v>
      </c>
      <c r="F712" t="inlineStr">
        <is>
          <t>DALARNAS LÄN</t>
        </is>
      </c>
      <c r="G712" t="inlineStr">
        <is>
          <t>FALUN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14409-2026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46100</v>
      </c>
      <c r="E713" s="1" t="n">
        <v>46276</v>
      </c>
      <c r="F713" t="inlineStr">
        <is>
          <t>DALARNAS LÄN</t>
        </is>
      </c>
      <c r="G713" t="inlineStr">
        <is>
          <t>FALUN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14122-2026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46276</v>
      </c>
      <c r="F714" t="inlineStr">
        <is>
          <t>DALARNAS LÄN</t>
        </is>
      </c>
      <c r="G714" t="inlineStr">
        <is>
          <t>FALUN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53703-2023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45224</v>
      </c>
      <c r="E715" s="1" t="n">
        <v>46276</v>
      </c>
      <c r="F715" t="inlineStr">
        <is>
          <t>DALARNAS LÄN</t>
        </is>
      </c>
      <c r="G715" t="inlineStr">
        <is>
          <t>FALUN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14209-2026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46099</v>
      </c>
      <c r="E716" s="1" t="n">
        <v>46276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14558-2026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46100</v>
      </c>
      <c r="E717" s="1" t="n">
        <v>46276</v>
      </c>
      <c r="F717" t="inlineStr">
        <is>
          <t>DALARNAS LÄN</t>
        </is>
      </c>
      <c r="G717" t="inlineStr">
        <is>
          <t>FALUN</t>
        </is>
      </c>
      <c r="H717" t="inlineStr">
        <is>
          <t>Allmännings- och besparingsskogar</t>
        </is>
      </c>
      <c r="I717" t="n">
        <v>9.800000000000001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14310-2026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46099</v>
      </c>
      <c r="E718" s="1" t="n">
        <v>46276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29.8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63383-2023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45274</v>
      </c>
      <c r="E719" s="1" t="n">
        <v>46276</v>
      </c>
      <c r="F719" t="inlineStr">
        <is>
          <t>DALARNAS LÄN</t>
        </is>
      </c>
      <c r="G719" t="inlineStr">
        <is>
          <t>FALUN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14311-2026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46099</v>
      </c>
      <c r="E720" s="1" t="n">
        <v>46276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63.9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14199-2026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46276</v>
      </c>
      <c r="F721" t="inlineStr">
        <is>
          <t>DALARNAS LÄN</t>
        </is>
      </c>
      <c r="G721" t="inlineStr">
        <is>
          <t>FALUN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14217-2026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46099</v>
      </c>
      <c r="E722" s="1" t="n">
        <v>46276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24.5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14373-2026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46276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7.2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46276</v>
      </c>
      <c r="F724" t="inlineStr">
        <is>
          <t>DALARNAS LÄN</t>
        </is>
      </c>
      <c r="G724" t="inlineStr">
        <is>
          <t>FALUN</t>
        </is>
      </c>
      <c r="H724" t="inlineStr">
        <is>
          <t>Allmännings- och besparingsskogar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58914-2025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45987</v>
      </c>
      <c r="E725" s="1" t="n">
        <v>46276</v>
      </c>
      <c r="F725" t="inlineStr">
        <is>
          <t>DALARNAS LÄN</t>
        </is>
      </c>
      <c r="G725" t="inlineStr">
        <is>
          <t>FALUN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65056-2023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45287</v>
      </c>
      <c r="E726" s="1" t="n">
        <v>46276</v>
      </c>
      <c r="F726" t="inlineStr">
        <is>
          <t>DALARNAS LÄN</t>
        </is>
      </c>
      <c r="G726" t="inlineStr">
        <is>
          <t>FALUN</t>
        </is>
      </c>
      <c r="I726" t="n">
        <v>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14850-2026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46276</v>
      </c>
      <c r="F727" t="inlineStr">
        <is>
          <t>DALARNAS LÄN</t>
        </is>
      </c>
      <c r="G727" t="inlineStr">
        <is>
          <t>FALUN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14907-2026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46104</v>
      </c>
      <c r="E728" s="1" t="n">
        <v>46276</v>
      </c>
      <c r="F728" t="inlineStr">
        <is>
          <t>DALARNAS LÄN</t>
        </is>
      </c>
      <c r="G728" t="inlineStr">
        <is>
          <t>FALUN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14841-2026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46276</v>
      </c>
      <c r="F729" t="inlineStr">
        <is>
          <t>DALARNAS LÄN</t>
        </is>
      </c>
      <c r="G729" t="inlineStr">
        <is>
          <t>FALUN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59190-2025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45988</v>
      </c>
      <c r="E730" s="1" t="n">
        <v>46276</v>
      </c>
      <c r="F730" t="inlineStr">
        <is>
          <t>DALARNAS LÄN</t>
        </is>
      </c>
      <c r="G730" t="inlineStr">
        <is>
          <t>FALUN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59223-2025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45988</v>
      </c>
      <c r="E731" s="1" t="n">
        <v>46276</v>
      </c>
      <c r="F731" t="inlineStr">
        <is>
          <t>DALARNAS LÄN</t>
        </is>
      </c>
      <c r="G731" t="inlineStr">
        <is>
          <t>FALUN</t>
        </is>
      </c>
      <c r="I731" t="n">
        <v>8.800000000000001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46103</v>
      </c>
      <c r="E732" s="1" t="n">
        <v>46276</v>
      </c>
      <c r="F732" t="inlineStr">
        <is>
          <t>DALARNAS LÄN</t>
        </is>
      </c>
      <c r="G732" t="inlineStr">
        <is>
          <t>FALUN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14961-2026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46104</v>
      </c>
      <c r="E733" s="1" t="n">
        <v>46276</v>
      </c>
      <c r="F733" t="inlineStr">
        <is>
          <t>DALARNAS LÄN</t>
        </is>
      </c>
      <c r="G733" t="inlineStr">
        <is>
          <t>FALUN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14964-2026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46104</v>
      </c>
      <c r="E734" s="1" t="n">
        <v>46276</v>
      </c>
      <c r="F734" t="inlineStr">
        <is>
          <t>DALARNAS LÄN</t>
        </is>
      </c>
      <c r="G734" t="inlineStr">
        <is>
          <t>FALUN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39914-2024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45553</v>
      </c>
      <c r="E735" s="1" t="n">
        <v>46276</v>
      </c>
      <c r="F735" t="inlineStr">
        <is>
          <t>DALARNAS LÄN</t>
        </is>
      </c>
      <c r="G735" t="inlineStr">
        <is>
          <t>FALUN</t>
        </is>
      </c>
      <c r="H735" t="inlineStr">
        <is>
          <t>Bergvik skog väst AB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59483-2025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45989</v>
      </c>
      <c r="E736" s="1" t="n">
        <v>46276</v>
      </c>
      <c r="F736" t="inlineStr">
        <is>
          <t>DALARNAS LÄN</t>
        </is>
      </c>
      <c r="G736" t="inlineStr">
        <is>
          <t>FALUN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59229-2025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45988</v>
      </c>
      <c r="E737" s="1" t="n">
        <v>46276</v>
      </c>
      <c r="F737" t="inlineStr">
        <is>
          <t>DALARNAS LÄN</t>
        </is>
      </c>
      <c r="G737" t="inlineStr">
        <is>
          <t>FALUN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6070-2023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44964</v>
      </c>
      <c r="E738" s="1" t="n">
        <v>46276</v>
      </c>
      <c r="F738" t="inlineStr">
        <is>
          <t>DALARNAS LÄN</t>
        </is>
      </c>
      <c r="G738" t="inlineStr">
        <is>
          <t>FALUN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54609-2025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45966</v>
      </c>
      <c r="E739" s="1" t="n">
        <v>46276</v>
      </c>
      <c r="F739" t="inlineStr">
        <is>
          <t>DALARNAS LÄN</t>
        </is>
      </c>
      <c r="G739" t="inlineStr">
        <is>
          <t>FALUN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46276</v>
      </c>
      <c r="F740" t="inlineStr">
        <is>
          <t>DALARNAS LÄN</t>
        </is>
      </c>
      <c r="G740" t="inlineStr">
        <is>
          <t>FALUN</t>
        </is>
      </c>
      <c r="I740" t="n">
        <v>14.9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59748-2025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45992</v>
      </c>
      <c r="E741" s="1" t="n">
        <v>46276</v>
      </c>
      <c r="F741" t="inlineStr">
        <is>
          <t>DALARNAS LÄN</t>
        </is>
      </c>
      <c r="G741" t="inlineStr">
        <is>
          <t>FALUN</t>
        </is>
      </c>
      <c r="I741" t="n">
        <v>7.4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14932-2026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46276</v>
      </c>
      <c r="F742" t="inlineStr">
        <is>
          <t>DALARNAS LÄN</t>
        </is>
      </c>
      <c r="G742" t="inlineStr">
        <is>
          <t>FALUN</t>
        </is>
      </c>
      <c r="I742" t="n">
        <v>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59832-2025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45992</v>
      </c>
      <c r="E743" s="1" t="n">
        <v>46276</v>
      </c>
      <c r="F743" t="inlineStr">
        <is>
          <t>DALARNAS LÄN</t>
        </is>
      </c>
      <c r="G743" t="inlineStr">
        <is>
          <t>FALUN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59571-2025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45992</v>
      </c>
      <c r="E744" s="1" t="n">
        <v>46276</v>
      </c>
      <c r="F744" t="inlineStr">
        <is>
          <t>DALARNAS LÄN</t>
        </is>
      </c>
      <c r="G744" t="inlineStr">
        <is>
          <t>FALUN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60085-2025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45993</v>
      </c>
      <c r="E745" s="1" t="n">
        <v>46276</v>
      </c>
      <c r="F745" t="inlineStr">
        <is>
          <t>DALARNAS LÄN</t>
        </is>
      </c>
      <c r="G745" t="inlineStr">
        <is>
          <t>FALUN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60086-2025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45993</v>
      </c>
      <c r="E746" s="1" t="n">
        <v>46276</v>
      </c>
      <c r="F746" t="inlineStr">
        <is>
          <t>DALARNAS LÄN</t>
        </is>
      </c>
      <c r="G746" t="inlineStr">
        <is>
          <t>FALUN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14657-2026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46276</v>
      </c>
      <c r="F747" t="inlineStr">
        <is>
          <t>DALARNAS LÄN</t>
        </is>
      </c>
      <c r="G747" t="inlineStr">
        <is>
          <t>FALUN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15642-2026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46106</v>
      </c>
      <c r="E748" s="1" t="n">
        <v>46276</v>
      </c>
      <c r="F748" t="inlineStr">
        <is>
          <t>DALARNAS LÄN</t>
        </is>
      </c>
      <c r="G748" t="inlineStr">
        <is>
          <t>FALUN</t>
        </is>
      </c>
      <c r="I748" t="n">
        <v>15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15123-2026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46105</v>
      </c>
      <c r="E749" s="1" t="n">
        <v>46276</v>
      </c>
      <c r="F749" t="inlineStr">
        <is>
          <t>DALARNAS LÄN</t>
        </is>
      </c>
      <c r="G749" t="inlineStr">
        <is>
          <t>FALUN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15133-2026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46105</v>
      </c>
      <c r="E750" s="1" t="n">
        <v>46276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15550-2026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46276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60562-2025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45994</v>
      </c>
      <c r="E752" s="1" t="n">
        <v>46276</v>
      </c>
      <c r="F752" t="inlineStr">
        <is>
          <t>DALARNAS LÄN</t>
        </is>
      </c>
      <c r="G752" t="inlineStr">
        <is>
          <t>FALUN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15670-2026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46276</v>
      </c>
      <c r="F753" t="inlineStr">
        <is>
          <t>DALARNAS LÄN</t>
        </is>
      </c>
      <c r="G753" t="inlineStr">
        <is>
          <t>FALUN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6183-2026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46055</v>
      </c>
      <c r="E754" s="1" t="n">
        <v>46276</v>
      </c>
      <c r="F754" t="inlineStr">
        <is>
          <t>DALARNAS LÄN</t>
        </is>
      </c>
      <c r="G754" t="inlineStr">
        <is>
          <t>FALUN</t>
        </is>
      </c>
      <c r="I754" t="n">
        <v>9.6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15209-2026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46105</v>
      </c>
      <c r="E755" s="1" t="n">
        <v>46276</v>
      </c>
      <c r="F755" t="inlineStr">
        <is>
          <t>DALARNAS LÄN</t>
        </is>
      </c>
      <c r="G755" t="inlineStr">
        <is>
          <t>FALUN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15208-2026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46105</v>
      </c>
      <c r="E756" s="1" t="n">
        <v>46276</v>
      </c>
      <c r="F756" t="inlineStr">
        <is>
          <t>DALARNAS LÄN</t>
        </is>
      </c>
      <c r="G756" t="inlineStr">
        <is>
          <t>FALUN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60683-2025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45996</v>
      </c>
      <c r="E757" s="1" t="n">
        <v>46276</v>
      </c>
      <c r="F757" t="inlineStr">
        <is>
          <t>DALARNAS LÄN</t>
        </is>
      </c>
      <c r="G757" t="inlineStr">
        <is>
          <t>FALUN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15333-2026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46105</v>
      </c>
      <c r="E758" s="1" t="n">
        <v>46276</v>
      </c>
      <c r="F758" t="inlineStr">
        <is>
          <t>DALARNAS LÄN</t>
        </is>
      </c>
      <c r="G758" t="inlineStr">
        <is>
          <t>FALUN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27495-2022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44742</v>
      </c>
      <c r="E759" s="1" t="n">
        <v>46276</v>
      </c>
      <c r="F759" t="inlineStr">
        <is>
          <t>DALARNAS LÄN</t>
        </is>
      </c>
      <c r="G759" t="inlineStr">
        <is>
          <t>FALUN</t>
        </is>
      </c>
      <c r="H759" t="inlineStr">
        <is>
          <t>Kyrkan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60676-2025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45996</v>
      </c>
      <c r="E760" s="1" t="n">
        <v>46276</v>
      </c>
      <c r="F760" t="inlineStr">
        <is>
          <t>DALARNAS LÄN</t>
        </is>
      </c>
      <c r="G760" t="inlineStr">
        <is>
          <t>FALUN</t>
        </is>
      </c>
      <c r="I760" t="n">
        <v>5.9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6301-2026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46055</v>
      </c>
      <c r="E761" s="1" t="n">
        <v>46276</v>
      </c>
      <c r="F761" t="inlineStr">
        <is>
          <t>DALARNAS LÄN</t>
        </is>
      </c>
      <c r="G761" t="inlineStr">
        <is>
          <t>FALUN</t>
        </is>
      </c>
      <c r="I761" t="n">
        <v>12.4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61064-2025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46000</v>
      </c>
      <c r="E762" s="1" t="n">
        <v>46276</v>
      </c>
      <c r="F762" t="inlineStr">
        <is>
          <t>DALARNAS LÄN</t>
        </is>
      </c>
      <c r="G762" t="inlineStr">
        <is>
          <t>FALUN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15169-2026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46276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33.4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26615-2022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44739</v>
      </c>
      <c r="E764" s="1" t="n">
        <v>46276</v>
      </c>
      <c r="F764" t="inlineStr">
        <is>
          <t>DALARNAS LÄN</t>
        </is>
      </c>
      <c r="G764" t="inlineStr">
        <is>
          <t>FALUN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15366-2026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46105</v>
      </c>
      <c r="E765" s="1" t="n">
        <v>46276</v>
      </c>
      <c r="F765" t="inlineStr">
        <is>
          <t>DALARNAS LÄN</t>
        </is>
      </c>
      <c r="G765" t="inlineStr">
        <is>
          <t>FALUN</t>
        </is>
      </c>
      <c r="I765" t="n">
        <v>5.2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15086-2026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46276</v>
      </c>
      <c r="F766" t="inlineStr">
        <is>
          <t>DALARNAS LÄN</t>
        </is>
      </c>
      <c r="G766" t="inlineStr">
        <is>
          <t>FALUN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61059-2025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46000</v>
      </c>
      <c r="E767" s="1" t="n">
        <v>46276</v>
      </c>
      <c r="F767" t="inlineStr">
        <is>
          <t>DALARNAS LÄN</t>
        </is>
      </c>
      <c r="G767" t="inlineStr">
        <is>
          <t>FALUN</t>
        </is>
      </c>
      <c r="I767" t="n">
        <v>8.199999999999999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33931-2024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45523</v>
      </c>
      <c r="E768" s="1" t="n">
        <v>46276</v>
      </c>
      <c r="F768" t="inlineStr">
        <is>
          <t>DALARNAS LÄN</t>
        </is>
      </c>
      <c r="G768" t="inlineStr">
        <is>
          <t>FALUN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33998-2024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45523</v>
      </c>
      <c r="E769" s="1" t="n">
        <v>46276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15954-2026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46108</v>
      </c>
      <c r="E770" s="1" t="n">
        <v>46276</v>
      </c>
      <c r="F770" t="inlineStr">
        <is>
          <t>DALARNAS LÄN</t>
        </is>
      </c>
      <c r="G770" t="inlineStr">
        <is>
          <t>FALUN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16073-2026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46108</v>
      </c>
      <c r="E771" s="1" t="n">
        <v>46276</v>
      </c>
      <c r="F771" t="inlineStr">
        <is>
          <t>DALARNAS LÄN</t>
        </is>
      </c>
      <c r="G771" t="inlineStr">
        <is>
          <t>FALUN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15637-2026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46276</v>
      </c>
      <c r="F772" t="inlineStr">
        <is>
          <t>DALARNAS LÄN</t>
        </is>
      </c>
      <c r="G772" t="inlineStr">
        <is>
          <t>FALUN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62358-2025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46007</v>
      </c>
      <c r="E773" s="1" t="n">
        <v>46276</v>
      </c>
      <c r="F773" t="inlineStr">
        <is>
          <t>DALARNAS LÄN</t>
        </is>
      </c>
      <c r="G773" t="inlineStr">
        <is>
          <t>FALUN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15737-2026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46107</v>
      </c>
      <c r="E774" s="1" t="n">
        <v>46276</v>
      </c>
      <c r="F774" t="inlineStr">
        <is>
          <t>DALARNAS LÄN</t>
        </is>
      </c>
      <c r="G774" t="inlineStr">
        <is>
          <t>FALUN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62362-2025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46007</v>
      </c>
      <c r="E775" s="1" t="n">
        <v>46276</v>
      </c>
      <c r="F775" t="inlineStr">
        <is>
          <t>DALARNAS LÄN</t>
        </is>
      </c>
      <c r="G775" t="inlineStr">
        <is>
          <t>FALUN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45690-2025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45923</v>
      </c>
      <c r="E776" s="1" t="n">
        <v>46276</v>
      </c>
      <c r="F776" t="inlineStr">
        <is>
          <t>DALARNAS LÄN</t>
        </is>
      </c>
      <c r="G776" t="inlineStr">
        <is>
          <t>FALUN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16334-2023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45028</v>
      </c>
      <c r="E777" s="1" t="n">
        <v>46276</v>
      </c>
      <c r="F777" t="inlineStr">
        <is>
          <t>DALARNAS LÄN</t>
        </is>
      </c>
      <c r="G777" t="inlineStr">
        <is>
          <t>FALUN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15999-2024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45405</v>
      </c>
      <c r="E778" s="1" t="n">
        <v>46276</v>
      </c>
      <c r="F778" t="inlineStr">
        <is>
          <t>DALARNAS LÄN</t>
        </is>
      </c>
      <c r="G778" t="inlineStr">
        <is>
          <t>FALUN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46276</v>
      </c>
      <c r="F779" t="inlineStr">
        <is>
          <t>DALARNAS LÄN</t>
        </is>
      </c>
      <c r="G779" t="inlineStr">
        <is>
          <t>FALUN</t>
        </is>
      </c>
      <c r="H779" t="inlineStr">
        <is>
          <t>Allmännings- och besparingsskogar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16379-2026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46276</v>
      </c>
      <c r="F780" t="inlineStr">
        <is>
          <t>DALARNAS LÄN</t>
        </is>
      </c>
      <c r="G780" t="inlineStr">
        <is>
          <t>FALUN</t>
        </is>
      </c>
      <c r="H780" t="inlineStr">
        <is>
          <t>Allmännings- och besparingsskogar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17507-2025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45757</v>
      </c>
      <c r="E781" s="1" t="n">
        <v>46276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11.2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16303-2026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46111</v>
      </c>
      <c r="E782" s="1" t="n">
        <v>46276</v>
      </c>
      <c r="F782" t="inlineStr">
        <is>
          <t>DALARNAS LÄN</t>
        </is>
      </c>
      <c r="G782" t="inlineStr">
        <is>
          <t>FALUN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16274-2026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46111</v>
      </c>
      <c r="E783" s="1" t="n">
        <v>46276</v>
      </c>
      <c r="F783" t="inlineStr">
        <is>
          <t>DALARNAS LÄN</t>
        </is>
      </c>
      <c r="G783" t="inlineStr">
        <is>
          <t>FALUN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16165-2026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46110</v>
      </c>
      <c r="E784" s="1" t="n">
        <v>46276</v>
      </c>
      <c r="F784" t="inlineStr">
        <is>
          <t>DALARNAS LÄN</t>
        </is>
      </c>
      <c r="G784" t="inlineStr">
        <is>
          <t>FALUN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16166-2026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46110</v>
      </c>
      <c r="E785" s="1" t="n">
        <v>46276</v>
      </c>
      <c r="F785" t="inlineStr">
        <is>
          <t>DALARNAS LÄN</t>
        </is>
      </c>
      <c r="G785" t="inlineStr">
        <is>
          <t>FALUN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63307-2025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46010</v>
      </c>
      <c r="E786" s="1" t="n">
        <v>46276</v>
      </c>
      <c r="F786" t="inlineStr">
        <is>
          <t>DALARNAS LÄN</t>
        </is>
      </c>
      <c r="G786" t="inlineStr">
        <is>
          <t>FALUN</t>
        </is>
      </c>
      <c r="I786" t="n">
        <v>5.1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63291-2025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46010</v>
      </c>
      <c r="E787" s="1" t="n">
        <v>46276</v>
      </c>
      <c r="F787" t="inlineStr">
        <is>
          <t>DALARNAS LÄN</t>
        </is>
      </c>
      <c r="G787" t="inlineStr">
        <is>
          <t>FALUN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16256-2026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46276</v>
      </c>
      <c r="F788" t="inlineStr">
        <is>
          <t>DALARNAS LÄN</t>
        </is>
      </c>
      <c r="G788" t="inlineStr">
        <is>
          <t>FALUN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63178-2025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46010</v>
      </c>
      <c r="E789" s="1" t="n">
        <v>46276</v>
      </c>
      <c r="F789" t="inlineStr">
        <is>
          <t>DALARNAS LÄN</t>
        </is>
      </c>
      <c r="G789" t="inlineStr">
        <is>
          <t>FALUN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16377-2026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46111</v>
      </c>
      <c r="E790" s="1" t="n">
        <v>46276</v>
      </c>
      <c r="F790" t="inlineStr">
        <is>
          <t>DALARNAS LÄN</t>
        </is>
      </c>
      <c r="G790" t="inlineStr">
        <is>
          <t>FALUN</t>
        </is>
      </c>
      <c r="H790" t="inlineStr">
        <is>
          <t>Allmännings- och besparingsskogar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63303-2025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46010</v>
      </c>
      <c r="E791" s="1" t="n">
        <v>46276</v>
      </c>
      <c r="F791" t="inlineStr">
        <is>
          <t>DALARNAS LÄN</t>
        </is>
      </c>
      <c r="G791" t="inlineStr">
        <is>
          <t>FALUN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58322-2023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45250</v>
      </c>
      <c r="E792" s="1" t="n">
        <v>46276</v>
      </c>
      <c r="F792" t="inlineStr">
        <is>
          <t>DALARNAS LÄN</t>
        </is>
      </c>
      <c r="G792" t="inlineStr">
        <is>
          <t>FALUN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16415-2026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46276</v>
      </c>
      <c r="F793" t="inlineStr">
        <is>
          <t>DALARNAS LÄN</t>
        </is>
      </c>
      <c r="G793" t="inlineStr">
        <is>
          <t>FALUN</t>
        </is>
      </c>
      <c r="H793" t="inlineStr">
        <is>
          <t>Allmännings- och besparingsskogar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74196-2021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44558</v>
      </c>
      <c r="E794" s="1" t="n">
        <v>46276</v>
      </c>
      <c r="F794" t="inlineStr">
        <is>
          <t>DALARNAS LÄN</t>
        </is>
      </c>
      <c r="G794" t="inlineStr">
        <is>
          <t>FALUN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40426-2022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44823</v>
      </c>
      <c r="E795" s="1" t="n">
        <v>46276</v>
      </c>
      <c r="F795" t="inlineStr">
        <is>
          <t>DALARNAS LÄN</t>
        </is>
      </c>
      <c r="G795" t="inlineStr">
        <is>
          <t>FALUN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52615-2021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44466</v>
      </c>
      <c r="E796" s="1" t="n">
        <v>46276</v>
      </c>
      <c r="F796" t="inlineStr">
        <is>
          <t>DALARNAS LÄN</t>
        </is>
      </c>
      <c r="G796" t="inlineStr">
        <is>
          <t>FALUN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16327-2026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46111</v>
      </c>
      <c r="E797" s="1" t="n">
        <v>46276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13.5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63842-2023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45278</v>
      </c>
      <c r="E798" s="1" t="n">
        <v>46276</v>
      </c>
      <c r="F798" t="inlineStr">
        <is>
          <t>DALARNAS LÄN</t>
        </is>
      </c>
      <c r="G798" t="inlineStr">
        <is>
          <t>FALUN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46113</v>
      </c>
      <c r="E799" s="1" t="n">
        <v>46276</v>
      </c>
      <c r="F799" t="inlineStr">
        <is>
          <t>DALARNAS LÄN</t>
        </is>
      </c>
      <c r="G799" t="inlineStr">
        <is>
          <t>FALUN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45665</v>
      </c>
      <c r="E800" s="1" t="n">
        <v>46276</v>
      </c>
      <c r="F800" t="inlineStr">
        <is>
          <t>DALARNAS LÄN</t>
        </is>
      </c>
      <c r="G800" t="inlineStr">
        <is>
          <t>FALUN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17067-2026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46114</v>
      </c>
      <c r="E801" s="1" t="n">
        <v>46276</v>
      </c>
      <c r="F801" t="inlineStr">
        <is>
          <t>DALARNAS LÄN</t>
        </is>
      </c>
      <c r="G801" t="inlineStr">
        <is>
          <t>FALUN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17134-2026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46114</v>
      </c>
      <c r="E802" s="1" t="n">
        <v>46276</v>
      </c>
      <c r="F802" t="inlineStr">
        <is>
          <t>DALARNAS LÄN</t>
        </is>
      </c>
      <c r="G802" t="inlineStr">
        <is>
          <t>FALUN</t>
        </is>
      </c>
      <c r="I802" t="n">
        <v>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17137-2026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46114</v>
      </c>
      <c r="E803" s="1" t="n">
        <v>46276</v>
      </c>
      <c r="F803" t="inlineStr">
        <is>
          <t>DALARNAS LÄN</t>
        </is>
      </c>
      <c r="G803" t="inlineStr">
        <is>
          <t>FALUN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17041-2026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46114</v>
      </c>
      <c r="E804" s="1" t="n">
        <v>46276</v>
      </c>
      <c r="F804" t="inlineStr">
        <is>
          <t>DALARNAS LÄN</t>
        </is>
      </c>
      <c r="G804" t="inlineStr">
        <is>
          <t>FALUN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16846-2026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46113</v>
      </c>
      <c r="E805" s="1" t="n">
        <v>46276</v>
      </c>
      <c r="F805" t="inlineStr">
        <is>
          <t>DALARNAS LÄN</t>
        </is>
      </c>
      <c r="G805" t="inlineStr">
        <is>
          <t>FALUN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42292-2023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45180</v>
      </c>
      <c r="E806" s="1" t="n">
        <v>46276</v>
      </c>
      <c r="F806" t="inlineStr">
        <is>
          <t>DALARNAS LÄN</t>
        </is>
      </c>
      <c r="G806" t="inlineStr">
        <is>
          <t>FALUN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17055-2026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46114</v>
      </c>
      <c r="E807" s="1" t="n">
        <v>46276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18.1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40953-2023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45173</v>
      </c>
      <c r="E808" s="1" t="n">
        <v>46276</v>
      </c>
      <c r="F808" t="inlineStr">
        <is>
          <t>DALARNAS LÄN</t>
        </is>
      </c>
      <c r="G808" t="inlineStr">
        <is>
          <t>FALUN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17135-2026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46114</v>
      </c>
      <c r="E809" s="1" t="n">
        <v>46276</v>
      </c>
      <c r="F809" t="inlineStr">
        <is>
          <t>DALARNAS LÄN</t>
        </is>
      </c>
      <c r="G809" t="inlineStr">
        <is>
          <t>FALUN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17048-2026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46114</v>
      </c>
      <c r="E810" s="1" t="n">
        <v>46276</v>
      </c>
      <c r="F810" t="inlineStr">
        <is>
          <t>DALARNAS LÄN</t>
        </is>
      </c>
      <c r="G810" t="inlineStr">
        <is>
          <t>FALUN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17051-2026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46114</v>
      </c>
      <c r="E811" s="1" t="n">
        <v>46276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46120</v>
      </c>
      <c r="E812" s="1" t="n">
        <v>46276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17284-2026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46119</v>
      </c>
      <c r="E813" s="1" t="n">
        <v>46276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15.9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17212-2026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46119</v>
      </c>
      <c r="E814" s="1" t="n">
        <v>46276</v>
      </c>
      <c r="F814" t="inlineStr">
        <is>
          <t>DALARNAS LÄN</t>
        </is>
      </c>
      <c r="G814" t="inlineStr">
        <is>
          <t>FALUN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17371-2026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46119</v>
      </c>
      <c r="E815" s="1" t="n">
        <v>46276</v>
      </c>
      <c r="F815" t="inlineStr">
        <is>
          <t>DALARNAS LÄN</t>
        </is>
      </c>
      <c r="G815" t="inlineStr">
        <is>
          <t>FALUN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17310-2026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46119</v>
      </c>
      <c r="E816" s="1" t="n">
        <v>46276</v>
      </c>
      <c r="F816" t="inlineStr">
        <is>
          <t>DALARNAS LÄN</t>
        </is>
      </c>
      <c r="G816" t="inlineStr">
        <is>
          <t>FALUN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17356-2026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46119</v>
      </c>
      <c r="E817" s="1" t="n">
        <v>46276</v>
      </c>
      <c r="F817" t="inlineStr">
        <is>
          <t>DALARNAS LÄN</t>
        </is>
      </c>
      <c r="G817" t="inlineStr">
        <is>
          <t>FALUN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13064-2026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46093</v>
      </c>
      <c r="E818" s="1" t="n">
        <v>46276</v>
      </c>
      <c r="F818" t="inlineStr">
        <is>
          <t>DALARNAS LÄN</t>
        </is>
      </c>
      <c r="G818" t="inlineStr">
        <is>
          <t>FALUN</t>
        </is>
      </c>
      <c r="H818" t="inlineStr">
        <is>
          <t>Allmännings- och besparingsskogar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46276</v>
      </c>
      <c r="F819" t="inlineStr">
        <is>
          <t>DALARNAS LÄN</t>
        </is>
      </c>
      <c r="G819" t="inlineStr">
        <is>
          <t>FALUN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14688-2023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45014</v>
      </c>
      <c r="E820" s="1" t="n">
        <v>46276</v>
      </c>
      <c r="F820" t="inlineStr">
        <is>
          <t>DALARNAS LÄN</t>
        </is>
      </c>
      <c r="G820" t="inlineStr">
        <is>
          <t>FALUN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17296-2026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46119</v>
      </c>
      <c r="E821" s="1" t="n">
        <v>46276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17619-2026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46121</v>
      </c>
      <c r="E822" s="1" t="n">
        <v>46276</v>
      </c>
      <c r="F822" t="inlineStr">
        <is>
          <t>DALARNAS LÄN</t>
        </is>
      </c>
      <c r="G822" t="inlineStr">
        <is>
          <t>FALUN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17795-2026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46122</v>
      </c>
      <c r="E823" s="1" t="n">
        <v>46276</v>
      </c>
      <c r="F823" t="inlineStr">
        <is>
          <t>DALARNAS LÄN</t>
        </is>
      </c>
      <c r="G823" t="inlineStr">
        <is>
          <t>FALUN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17855-2026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46122</v>
      </c>
      <c r="E824" s="1" t="n">
        <v>46276</v>
      </c>
      <c r="F824" t="inlineStr">
        <is>
          <t>DALARNAS LÄN</t>
        </is>
      </c>
      <c r="G824" t="inlineStr">
        <is>
          <t>FALUN</t>
        </is>
      </c>
      <c r="I824" t="n">
        <v>8.800000000000001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17629-2026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46121</v>
      </c>
      <c r="E825" s="1" t="n">
        <v>46276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17881-2026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46122</v>
      </c>
      <c r="E826" s="1" t="n">
        <v>46276</v>
      </c>
      <c r="F826" t="inlineStr">
        <is>
          <t>DALARNAS LÄN</t>
        </is>
      </c>
      <c r="G826" t="inlineStr">
        <is>
          <t>FALUN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17923-2026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46122</v>
      </c>
      <c r="E827" s="1" t="n">
        <v>46276</v>
      </c>
      <c r="F827" t="inlineStr">
        <is>
          <t>DALARNAS LÄN</t>
        </is>
      </c>
      <c r="G827" t="inlineStr">
        <is>
          <t>FALUN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17625-2026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46121</v>
      </c>
      <c r="E828" s="1" t="n">
        <v>46276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17630-2026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46121</v>
      </c>
      <c r="E829" s="1" t="n">
        <v>46276</v>
      </c>
      <c r="F829" t="inlineStr">
        <is>
          <t>DALARNAS LÄN</t>
        </is>
      </c>
      <c r="G829" t="inlineStr">
        <is>
          <t>FALUN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17581-2026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46121</v>
      </c>
      <c r="E830" s="1" t="n">
        <v>46276</v>
      </c>
      <c r="F830" t="inlineStr">
        <is>
          <t>DALARNAS LÄN</t>
        </is>
      </c>
      <c r="G830" t="inlineStr">
        <is>
          <t>FALUN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17593-2026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46121</v>
      </c>
      <c r="E831" s="1" t="n">
        <v>46276</v>
      </c>
      <c r="F831" t="inlineStr">
        <is>
          <t>DALARNAS LÄN</t>
        </is>
      </c>
      <c r="G831" t="inlineStr">
        <is>
          <t>FALUN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46122</v>
      </c>
      <c r="E832" s="1" t="n">
        <v>46276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57.2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17883-2026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46122</v>
      </c>
      <c r="E833" s="1" t="n">
        <v>46276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36.7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18023-2026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46125</v>
      </c>
      <c r="E834" s="1" t="n">
        <v>46276</v>
      </c>
      <c r="F834" t="inlineStr">
        <is>
          <t>DALARNAS LÄN</t>
        </is>
      </c>
      <c r="G834" t="inlineStr">
        <is>
          <t>FALUN</t>
        </is>
      </c>
      <c r="I834" t="n">
        <v>7.3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18115-2026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46125</v>
      </c>
      <c r="E835" s="1" t="n">
        <v>46276</v>
      </c>
      <c r="F835" t="inlineStr">
        <is>
          <t>DALARNAS LÄN</t>
        </is>
      </c>
      <c r="G835" t="inlineStr">
        <is>
          <t>FALUN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56149-2022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44889</v>
      </c>
      <c r="E836" s="1" t="n">
        <v>46276</v>
      </c>
      <c r="F836" t="inlineStr">
        <is>
          <t>DALARNAS LÄN</t>
        </is>
      </c>
      <c r="G836" t="inlineStr">
        <is>
          <t>FALUN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18012-2026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46125</v>
      </c>
      <c r="E837" s="1" t="n">
        <v>46276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39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18247-2026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46126</v>
      </c>
      <c r="E838" s="1" t="n">
        <v>46276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24.2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18338-2026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46276</v>
      </c>
      <c r="F839" t="inlineStr">
        <is>
          <t>DALARNAS LÄN</t>
        </is>
      </c>
      <c r="G839" t="inlineStr">
        <is>
          <t>FALUN</t>
        </is>
      </c>
      <c r="I839" t="n">
        <v>16.6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18295-2026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46125</v>
      </c>
      <c r="E840" s="1" t="n">
        <v>46276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18336-2026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46126</v>
      </c>
      <c r="E841" s="1" t="n">
        <v>46276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18215-2026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46126</v>
      </c>
      <c r="E842" s="1" t="n">
        <v>46276</v>
      </c>
      <c r="F842" t="inlineStr">
        <is>
          <t>DALARNAS LÄN</t>
        </is>
      </c>
      <c r="G842" t="inlineStr">
        <is>
          <t>FALUN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18467-2026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46127</v>
      </c>
      <c r="E843" s="1" t="n">
        <v>46276</v>
      </c>
      <c r="F843" t="inlineStr">
        <is>
          <t>DALARNAS LÄN</t>
        </is>
      </c>
      <c r="G843" t="inlineStr">
        <is>
          <t>FALUN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18765-2026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46128</v>
      </c>
      <c r="E844" s="1" t="n">
        <v>46276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1088-2024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45302</v>
      </c>
      <c r="E845" s="1" t="n">
        <v>46276</v>
      </c>
      <c r="F845" t="inlineStr">
        <is>
          <t>DALARNAS LÄN</t>
        </is>
      </c>
      <c r="G845" t="inlineStr">
        <is>
          <t>FALUN</t>
        </is>
      </c>
      <c r="I845" t="n">
        <v>9.699999999999999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18716-2026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46128</v>
      </c>
      <c r="E846" s="1" t="n">
        <v>46276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11.7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18502-2026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46127</v>
      </c>
      <c r="E847" s="1" t="n">
        <v>46276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4.6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17333-2026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46119</v>
      </c>
      <c r="E848" s="1" t="n">
        <v>46276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18983-2026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46128</v>
      </c>
      <c r="E849" s="1" t="n">
        <v>46276</v>
      </c>
      <c r="F849" t="inlineStr">
        <is>
          <t>DALARNAS LÄN</t>
        </is>
      </c>
      <c r="G849" t="inlineStr">
        <is>
          <t>FALUN</t>
        </is>
      </c>
      <c r="H849" t="inlineStr">
        <is>
          <t>Allmännings- och besparingsskogar</t>
        </is>
      </c>
      <c r="I849" t="n">
        <v>8.199999999999999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11236-2026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46080</v>
      </c>
      <c r="E850" s="1" t="n">
        <v>46276</v>
      </c>
      <c r="F850" t="inlineStr">
        <is>
          <t>DALARNAS LÄN</t>
        </is>
      </c>
      <c r="G850" t="inlineStr">
        <is>
          <t>FALUN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18720-2026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46128</v>
      </c>
      <c r="E851" s="1" t="n">
        <v>46276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6.1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49969-2024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45597</v>
      </c>
      <c r="E852" s="1" t="n">
        <v>46276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18970-2026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46276</v>
      </c>
      <c r="F853" t="inlineStr">
        <is>
          <t>DALARNAS LÄN</t>
        </is>
      </c>
      <c r="G853" t="inlineStr">
        <is>
          <t>FALUN</t>
        </is>
      </c>
      <c r="H853" t="inlineStr">
        <is>
          <t>Allmännings- och besparingsskogar</t>
        </is>
      </c>
      <c r="I853" t="n">
        <v>8.5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18511-2026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46127</v>
      </c>
      <c r="E854" s="1" t="n">
        <v>46276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5.6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18869-2026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46129</v>
      </c>
      <c r="E855" s="1" t="n">
        <v>46276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18998-2026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46129</v>
      </c>
      <c r="E856" s="1" t="n">
        <v>46276</v>
      </c>
      <c r="F856" t="inlineStr">
        <is>
          <t>DALARNAS LÄN</t>
        </is>
      </c>
      <c r="G856" t="inlineStr">
        <is>
          <t>FALUN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46131</v>
      </c>
      <c r="E857" s="1" t="n">
        <v>46276</v>
      </c>
      <c r="F857" t="inlineStr">
        <is>
          <t>DALARNAS LÄN</t>
        </is>
      </c>
      <c r="G857" t="inlineStr">
        <is>
          <t>FALUN</t>
        </is>
      </c>
      <c r="I857" t="n">
        <v>0.2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11266-2026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46080</v>
      </c>
      <c r="E858" s="1" t="n">
        <v>46276</v>
      </c>
      <c r="F858" t="inlineStr">
        <is>
          <t>DALARNAS LÄN</t>
        </is>
      </c>
      <c r="G858" t="inlineStr">
        <is>
          <t>FALUN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19422-2026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46276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7.5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19450-2026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46276</v>
      </c>
      <c r="F860" t="inlineStr">
        <is>
          <t>DALARNAS LÄN</t>
        </is>
      </c>
      <c r="G860" t="inlineStr">
        <is>
          <t>FALUN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19460-2026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46133</v>
      </c>
      <c r="E861" s="1" t="n">
        <v>46276</v>
      </c>
      <c r="F861" t="inlineStr">
        <is>
          <t>DALARNAS LÄN</t>
        </is>
      </c>
      <c r="G861" t="inlineStr">
        <is>
          <t>FALUN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19466-2026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46276</v>
      </c>
      <c r="F862" t="inlineStr">
        <is>
          <t>DALARNAS LÄN</t>
        </is>
      </c>
      <c r="G862" t="inlineStr">
        <is>
          <t>FALUN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19266-2026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46133</v>
      </c>
      <c r="E863" s="1" t="n">
        <v>46276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13.6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43193-2024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45567</v>
      </c>
      <c r="E864" s="1" t="n">
        <v>46276</v>
      </c>
      <c r="F864" t="inlineStr">
        <is>
          <t>DALARNAS LÄN</t>
        </is>
      </c>
      <c r="G864" t="inlineStr">
        <is>
          <t>FALUN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19281-2026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46276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18.3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19267-2026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46276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19448-2026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46133</v>
      </c>
      <c r="E867" s="1" t="n">
        <v>46276</v>
      </c>
      <c r="F867" t="inlineStr">
        <is>
          <t>DALARNAS LÄN</t>
        </is>
      </c>
      <c r="G867" t="inlineStr">
        <is>
          <t>FALUN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16043-2026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46108</v>
      </c>
      <c r="E868" s="1" t="n">
        <v>46276</v>
      </c>
      <c r="F868" t="inlineStr">
        <is>
          <t>DALARNAS LÄN</t>
        </is>
      </c>
      <c r="G868" t="inlineStr">
        <is>
          <t>FALUN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19041-2026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46132</v>
      </c>
      <c r="E869" s="1" t="n">
        <v>46276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19073-2026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46276</v>
      </c>
      <c r="F870" t="inlineStr">
        <is>
          <t>DALARNAS LÄN</t>
        </is>
      </c>
      <c r="G870" t="inlineStr">
        <is>
          <t>FALUN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47343-2024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45587</v>
      </c>
      <c r="E871" s="1" t="n">
        <v>46276</v>
      </c>
      <c r="F871" t="inlineStr">
        <is>
          <t>DALARNAS LÄN</t>
        </is>
      </c>
      <c r="G871" t="inlineStr">
        <is>
          <t>FALUN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19451-2026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46276</v>
      </c>
      <c r="F872" t="inlineStr">
        <is>
          <t>DALARNAS LÄN</t>
        </is>
      </c>
      <c r="G872" t="inlineStr">
        <is>
          <t>FALUN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19456-2026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46276</v>
      </c>
      <c r="F873" t="inlineStr">
        <is>
          <t>DALARNAS LÄN</t>
        </is>
      </c>
      <c r="G873" t="inlineStr">
        <is>
          <t>FALUN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19283-2026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46276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2745-2025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45677</v>
      </c>
      <c r="E875" s="1" t="n">
        <v>46276</v>
      </c>
      <c r="F875" t="inlineStr">
        <is>
          <t>DALARNAS LÄN</t>
        </is>
      </c>
      <c r="G875" t="inlineStr">
        <is>
          <t>FALUN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11299-2026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46080</v>
      </c>
      <c r="E876" s="1" t="n">
        <v>46276</v>
      </c>
      <c r="F876" t="inlineStr">
        <is>
          <t>DALARNAS LÄN</t>
        </is>
      </c>
      <c r="G876" t="inlineStr">
        <is>
          <t>FALUN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19032-2026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46131</v>
      </c>
      <c r="E877" s="1" t="n">
        <v>46276</v>
      </c>
      <c r="F877" t="inlineStr">
        <is>
          <t>DALARNAS LÄN</t>
        </is>
      </c>
      <c r="G877" t="inlineStr">
        <is>
          <t>FALUN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19176-2026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46132</v>
      </c>
      <c r="E878" s="1" t="n">
        <v>46276</v>
      </c>
      <c r="F878" t="inlineStr">
        <is>
          <t>DALARNAS LÄN</t>
        </is>
      </c>
      <c r="G878" t="inlineStr">
        <is>
          <t>FALUN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19001-2026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46129</v>
      </c>
      <c r="E879" s="1" t="n">
        <v>46276</v>
      </c>
      <c r="F879" t="inlineStr">
        <is>
          <t>DALARNAS LÄN</t>
        </is>
      </c>
      <c r="G879" t="inlineStr">
        <is>
          <t>FALUN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29844-2022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44755</v>
      </c>
      <c r="E880" s="1" t="n">
        <v>46276</v>
      </c>
      <c r="F880" t="inlineStr">
        <is>
          <t>DALARNAS LÄN</t>
        </is>
      </c>
      <c r="G880" t="inlineStr">
        <is>
          <t>FALUN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19897-2026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46135</v>
      </c>
      <c r="E881" s="1" t="n">
        <v>46276</v>
      </c>
      <c r="F881" t="inlineStr">
        <is>
          <t>DALARNAS LÄN</t>
        </is>
      </c>
      <c r="G881" t="inlineStr">
        <is>
          <t>FALUN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19508-2026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46276</v>
      </c>
      <c r="F882" t="inlineStr">
        <is>
          <t>DALARNAS LÄN</t>
        </is>
      </c>
      <c r="G882" t="inlineStr">
        <is>
          <t>FALUN</t>
        </is>
      </c>
      <c r="H882" t="inlineStr">
        <is>
          <t>Kyrkan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16677-2026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46112</v>
      </c>
      <c r="E883" s="1" t="n">
        <v>46276</v>
      </c>
      <c r="F883" t="inlineStr">
        <is>
          <t>DALARNAS LÄN</t>
        </is>
      </c>
      <c r="G883" t="inlineStr">
        <is>
          <t>FALUN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23323-2024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45453</v>
      </c>
      <c r="E884" s="1" t="n">
        <v>46276</v>
      </c>
      <c r="F884" t="inlineStr">
        <is>
          <t>DALARNAS LÄN</t>
        </is>
      </c>
      <c r="G884" t="inlineStr">
        <is>
          <t>FALUN</t>
        </is>
      </c>
      <c r="H884" t="inlineStr">
        <is>
          <t>Övriga statliga verk och myndigheter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19871-2026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46276</v>
      </c>
      <c r="F885" t="inlineStr">
        <is>
          <t>DALARNAS LÄN</t>
        </is>
      </c>
      <c r="G885" t="inlineStr">
        <is>
          <t>FALUN</t>
        </is>
      </c>
      <c r="I885" t="n">
        <v>5.1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46200-2023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45196</v>
      </c>
      <c r="E886" s="1" t="n">
        <v>46276</v>
      </c>
      <c r="F886" t="inlineStr">
        <is>
          <t>DALARNAS LÄN</t>
        </is>
      </c>
      <c r="G886" t="inlineStr">
        <is>
          <t>FALUN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17011-2026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46114</v>
      </c>
      <c r="E887" s="1" t="n">
        <v>46276</v>
      </c>
      <c r="F887" t="inlineStr">
        <is>
          <t>DALARNAS LÄN</t>
        </is>
      </c>
      <c r="G887" t="inlineStr">
        <is>
          <t>FALUN</t>
        </is>
      </c>
      <c r="H887" t="inlineStr">
        <is>
          <t>Bergvik skog väst AB</t>
        </is>
      </c>
      <c r="I887" t="n">
        <v>12.3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19723-2026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46135</v>
      </c>
      <c r="E888" s="1" t="n">
        <v>46276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46105</v>
      </c>
      <c r="E889" s="1" t="n">
        <v>46276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3689-2022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44586</v>
      </c>
      <c r="E890" s="1" t="n">
        <v>46276</v>
      </c>
      <c r="F890" t="inlineStr">
        <is>
          <t>DALARNAS LÄN</t>
        </is>
      </c>
      <c r="G890" t="inlineStr">
        <is>
          <t>FALUN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17309-2026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46119</v>
      </c>
      <c r="E891" s="1" t="n">
        <v>46276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15293-2026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46105</v>
      </c>
      <c r="E892" s="1" t="n">
        <v>46276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17142-2026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46114</v>
      </c>
      <c r="E893" s="1" t="n">
        <v>46276</v>
      </c>
      <c r="F893" t="inlineStr">
        <is>
          <t>DALARNAS LÄN</t>
        </is>
      </c>
      <c r="G893" t="inlineStr">
        <is>
          <t>FALUN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19892-2026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46135</v>
      </c>
      <c r="E894" s="1" t="n">
        <v>46276</v>
      </c>
      <c r="F894" t="inlineStr">
        <is>
          <t>DALARNAS LÄN</t>
        </is>
      </c>
      <c r="G894" t="inlineStr">
        <is>
          <t>FALUN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19896-2026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46135</v>
      </c>
      <c r="E895" s="1" t="n">
        <v>46276</v>
      </c>
      <c r="F895" t="inlineStr">
        <is>
          <t>DALARNAS LÄN</t>
        </is>
      </c>
      <c r="G895" t="inlineStr">
        <is>
          <t>FALUN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19583-2026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46134</v>
      </c>
      <c r="E896" s="1" t="n">
        <v>46276</v>
      </c>
      <c r="F896" t="inlineStr">
        <is>
          <t>DALARNAS LÄN</t>
        </is>
      </c>
      <c r="G896" t="inlineStr">
        <is>
          <t>FALUN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19728-2026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46135</v>
      </c>
      <c r="E897" s="1" t="n">
        <v>46276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58411-2024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45634</v>
      </c>
      <c r="E898" s="1" t="n">
        <v>46276</v>
      </c>
      <c r="F898" t="inlineStr">
        <is>
          <t>DALARNAS LÄN</t>
        </is>
      </c>
      <c r="G898" t="inlineStr">
        <is>
          <t>FALUN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2961-2026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46276</v>
      </c>
      <c r="F899" t="inlineStr">
        <is>
          <t>DALARNAS LÄN</t>
        </is>
      </c>
      <c r="G899" t="inlineStr">
        <is>
          <t>FALUN</t>
        </is>
      </c>
      <c r="I899" t="n">
        <v>5.6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46056</v>
      </c>
      <c r="E900" s="1" t="n">
        <v>46276</v>
      </c>
      <c r="F900" t="inlineStr">
        <is>
          <t>DALARNAS LÄN</t>
        </is>
      </c>
      <c r="G900" t="inlineStr">
        <is>
          <t>FALUN</t>
        </is>
      </c>
      <c r="H900" t="inlineStr">
        <is>
          <t>Allmännings- och besparingsskogar</t>
        </is>
      </c>
      <c r="I900" t="n">
        <v>22.5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46025</v>
      </c>
      <c r="E901" s="1" t="n">
        <v>46276</v>
      </c>
      <c r="F901" t="inlineStr">
        <is>
          <t>DALARNAS LÄN</t>
        </is>
      </c>
      <c r="G901" t="inlineStr">
        <is>
          <t>FALUN</t>
        </is>
      </c>
      <c r="I901" t="n">
        <v>13.4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25149-2025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45800</v>
      </c>
      <c r="E902" s="1" t="n">
        <v>46276</v>
      </c>
      <c r="F902" t="inlineStr">
        <is>
          <t>DALARNAS LÄN</t>
        </is>
      </c>
      <c r="G902" t="inlineStr">
        <is>
          <t>FALUN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45040-2025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45918</v>
      </c>
      <c r="E903" s="1" t="n">
        <v>46276</v>
      </c>
      <c r="F903" t="inlineStr">
        <is>
          <t>DALARNAS LÄN</t>
        </is>
      </c>
      <c r="G903" t="inlineStr">
        <is>
          <t>FALUN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46027</v>
      </c>
      <c r="E904" s="1" t="n">
        <v>46276</v>
      </c>
      <c r="F904" t="inlineStr">
        <is>
          <t>DALARNAS LÄN</t>
        </is>
      </c>
      <c r="G904" t="inlineStr">
        <is>
          <t>FALUN</t>
        </is>
      </c>
      <c r="I904" t="n">
        <v>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7454-2026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46058</v>
      </c>
      <c r="E905" s="1" t="n">
        <v>46276</v>
      </c>
      <c r="F905" t="inlineStr">
        <is>
          <t>DALARNAS LÄN</t>
        </is>
      </c>
      <c r="G905" t="inlineStr">
        <is>
          <t>FALUN</t>
        </is>
      </c>
      <c r="H905" t="inlineStr">
        <is>
          <t>Allmännings- och besparingsskogar</t>
        </is>
      </c>
      <c r="I905" t="n">
        <v>9.6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59319-2024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45637</v>
      </c>
      <c r="E906" s="1" t="n">
        <v>46276</v>
      </c>
      <c r="F906" t="inlineStr">
        <is>
          <t>DALARNAS LÄN</t>
        </is>
      </c>
      <c r="G906" t="inlineStr">
        <is>
          <t>FALUN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20196-2026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46139</v>
      </c>
      <c r="E907" s="1" t="n">
        <v>46276</v>
      </c>
      <c r="F907" t="inlineStr">
        <is>
          <t>DALARNAS LÄN</t>
        </is>
      </c>
      <c r="G907" t="inlineStr">
        <is>
          <t>FALUN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46029</v>
      </c>
      <c r="E908" s="1" t="n">
        <v>46276</v>
      </c>
      <c r="F908" t="inlineStr">
        <is>
          <t>DALARNAS LÄN</t>
        </is>
      </c>
      <c r="G908" t="inlineStr">
        <is>
          <t>FALUN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13583-2022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44648</v>
      </c>
      <c r="E909" s="1" t="n">
        <v>46276</v>
      </c>
      <c r="F909" t="inlineStr">
        <is>
          <t>DALARNAS LÄN</t>
        </is>
      </c>
      <c r="G909" t="inlineStr">
        <is>
          <t>FALUN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19995-2026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46276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7.6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32571-2024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45513</v>
      </c>
      <c r="E911" s="1" t="n">
        <v>46276</v>
      </c>
      <c r="F911" t="inlineStr">
        <is>
          <t>DALARNAS LÄN</t>
        </is>
      </c>
      <c r="G911" t="inlineStr">
        <is>
          <t>FALUN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5300-2026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46050</v>
      </c>
      <c r="E912" s="1" t="n">
        <v>46276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19.4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20201-2026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46139</v>
      </c>
      <c r="E913" s="1" t="n">
        <v>46276</v>
      </c>
      <c r="F913" t="inlineStr">
        <is>
          <t>DALARNAS LÄN</t>
        </is>
      </c>
      <c r="G913" t="inlineStr">
        <is>
          <t>FALUN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18771-2026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46128</v>
      </c>
      <c r="E914" s="1" t="n">
        <v>46276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20358-2026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46139</v>
      </c>
      <c r="E915" s="1" t="n">
        <v>46276</v>
      </c>
      <c r="F915" t="inlineStr">
        <is>
          <t>DALARNAS LÄN</t>
        </is>
      </c>
      <c r="G915" t="inlineStr">
        <is>
          <t>FALUN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19917-2026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46136</v>
      </c>
      <c r="E916" s="1" t="n">
        <v>46276</v>
      </c>
      <c r="F916" t="inlineStr">
        <is>
          <t>DALARNAS LÄN</t>
        </is>
      </c>
      <c r="G916" t="inlineStr">
        <is>
          <t>FALUN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18050-2023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45040</v>
      </c>
      <c r="E917" s="1" t="n">
        <v>46276</v>
      </c>
      <c r="F917" t="inlineStr">
        <is>
          <t>DALARNAS LÄN</t>
        </is>
      </c>
      <c r="G917" t="inlineStr">
        <is>
          <t>FALUN</t>
        </is>
      </c>
      <c r="I917" t="n">
        <v>4.7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8033-2026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46063</v>
      </c>
      <c r="E918" s="1" t="n">
        <v>46276</v>
      </c>
      <c r="F918" t="inlineStr">
        <is>
          <t>DALARNAS LÄN</t>
        </is>
      </c>
      <c r="G918" t="inlineStr">
        <is>
          <t>FALUN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8557-2026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46065</v>
      </c>
      <c r="E919" s="1" t="n">
        <v>46276</v>
      </c>
      <c r="F919" t="inlineStr">
        <is>
          <t>DALARNAS LÄN</t>
        </is>
      </c>
      <c r="G919" t="inlineStr">
        <is>
          <t>FALUN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47633-2022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44854</v>
      </c>
      <c r="E920" s="1" t="n">
        <v>46276</v>
      </c>
      <c r="F920" t="inlineStr">
        <is>
          <t>DALARNAS LÄN</t>
        </is>
      </c>
      <c r="G920" t="inlineStr">
        <is>
          <t>FALUN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1781-2026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46031</v>
      </c>
      <c r="E921" s="1" t="n">
        <v>46276</v>
      </c>
      <c r="F921" t="inlineStr">
        <is>
          <t>DALARNAS LÄN</t>
        </is>
      </c>
      <c r="G921" t="inlineStr">
        <is>
          <t>FALUN</t>
        </is>
      </c>
      <c r="I921" t="n">
        <v>8.9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3336-2026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46041</v>
      </c>
      <c r="E922" s="1" t="n">
        <v>46276</v>
      </c>
      <c r="F922" t="inlineStr">
        <is>
          <t>DALARNAS LÄN</t>
        </is>
      </c>
      <c r="G922" t="inlineStr">
        <is>
          <t>FALUN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46041</v>
      </c>
      <c r="E923" s="1" t="n">
        <v>46276</v>
      </c>
      <c r="F923" t="inlineStr">
        <is>
          <t>DALARNAS LÄN</t>
        </is>
      </c>
      <c r="G923" t="inlineStr">
        <is>
          <t>FALUN</t>
        </is>
      </c>
      <c r="I923" t="n">
        <v>5.7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11748-2025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45727</v>
      </c>
      <c r="E924" s="1" t="n">
        <v>46276</v>
      </c>
      <c r="F924" t="inlineStr">
        <is>
          <t>DALARNAS LÄN</t>
        </is>
      </c>
      <c r="G924" t="inlineStr">
        <is>
          <t>FALUN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2612-2026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46037</v>
      </c>
      <c r="E925" s="1" t="n">
        <v>46276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6.3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3132-2025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45678</v>
      </c>
      <c r="E926" s="1" t="n">
        <v>46276</v>
      </c>
      <c r="F926" t="inlineStr">
        <is>
          <t>DALARNAS LÄN</t>
        </is>
      </c>
      <c r="G926" t="inlineStr">
        <is>
          <t>FALUN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4887-2024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45329</v>
      </c>
      <c r="E927" s="1" t="n">
        <v>46276</v>
      </c>
      <c r="F927" t="inlineStr">
        <is>
          <t>DALARNAS LÄN</t>
        </is>
      </c>
      <c r="G927" t="inlineStr">
        <is>
          <t>FALUN</t>
        </is>
      </c>
      <c r="I927" t="n">
        <v>9.699999999999999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10084-2026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46073</v>
      </c>
      <c r="E928" s="1" t="n">
        <v>46276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27885-2023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45098</v>
      </c>
      <c r="E929" s="1" t="n">
        <v>46276</v>
      </c>
      <c r="F929" t="inlineStr">
        <is>
          <t>DALARNAS LÄN</t>
        </is>
      </c>
      <c r="G929" t="inlineStr">
        <is>
          <t>FALUN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37061-2025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45874</v>
      </c>
      <c r="E930" s="1" t="n">
        <v>46276</v>
      </c>
      <c r="F930" t="inlineStr">
        <is>
          <t>DALARNAS LÄN</t>
        </is>
      </c>
      <c r="G930" t="inlineStr">
        <is>
          <t>FALUN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56642-2024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45625</v>
      </c>
      <c r="E931" s="1" t="n">
        <v>46276</v>
      </c>
      <c r="F931" t="inlineStr">
        <is>
          <t>DALARNAS LÄN</t>
        </is>
      </c>
      <c r="G931" t="inlineStr">
        <is>
          <t>FALUN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46024</v>
      </c>
      <c r="E932" s="1" t="n">
        <v>46276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53067-2024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45611</v>
      </c>
      <c r="E933" s="1" t="n">
        <v>46276</v>
      </c>
      <c r="F933" t="inlineStr">
        <is>
          <t>DALARNAS LÄN</t>
        </is>
      </c>
      <c r="G933" t="inlineStr">
        <is>
          <t>FALUN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2595-2026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46037</v>
      </c>
      <c r="E934" s="1" t="n">
        <v>46276</v>
      </c>
      <c r="F934" t="inlineStr">
        <is>
          <t>DALARNAS LÄN</t>
        </is>
      </c>
      <c r="G934" t="inlineStr">
        <is>
          <t>FALUN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20198-2026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46276</v>
      </c>
      <c r="F935" t="inlineStr">
        <is>
          <t>DALARNAS LÄN</t>
        </is>
      </c>
      <c r="G935" t="inlineStr">
        <is>
          <t>FALUN</t>
        </is>
      </c>
      <c r="I935" t="n">
        <v>3.7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23512-2025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45792</v>
      </c>
      <c r="E936" s="1" t="n">
        <v>46276</v>
      </c>
      <c r="F936" t="inlineStr">
        <is>
          <t>DALARNAS LÄN</t>
        </is>
      </c>
      <c r="G936" t="inlineStr">
        <is>
          <t>FALUN</t>
        </is>
      </c>
      <c r="H936" t="inlineStr">
        <is>
          <t>Bergvik skog väst AB</t>
        </is>
      </c>
      <c r="I936" t="n">
        <v>7.1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3444-2026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46042</v>
      </c>
      <c r="E937" s="1" t="n">
        <v>46276</v>
      </c>
      <c r="F937" t="inlineStr">
        <is>
          <t>DALARNAS LÄN</t>
        </is>
      </c>
      <c r="G937" t="inlineStr">
        <is>
          <t>FALUN</t>
        </is>
      </c>
      <c r="I937" t="n">
        <v>6.6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1422-2026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46031</v>
      </c>
      <c r="E938" s="1" t="n">
        <v>46276</v>
      </c>
      <c r="F938" t="inlineStr">
        <is>
          <t>DALARNAS LÄN</t>
        </is>
      </c>
      <c r="G938" t="inlineStr">
        <is>
          <t>FALUN</t>
        </is>
      </c>
      <c r="I938" t="n">
        <v>25.5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36652-2024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45537</v>
      </c>
      <c r="E939" s="1" t="n">
        <v>46276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46561-2023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45198</v>
      </c>
      <c r="E940" s="1" t="n">
        <v>46276</v>
      </c>
      <c r="F940" t="inlineStr">
        <is>
          <t>DALARNAS LÄN</t>
        </is>
      </c>
      <c r="G940" t="inlineStr">
        <is>
          <t>FALUN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7948-2026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46063</v>
      </c>
      <c r="E941" s="1" t="n">
        <v>46276</v>
      </c>
      <c r="F941" t="inlineStr">
        <is>
          <t>DALARNAS LÄN</t>
        </is>
      </c>
      <c r="G941" t="inlineStr">
        <is>
          <t>FALUN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46050</v>
      </c>
      <c r="E942" s="1" t="n">
        <v>46276</v>
      </c>
      <c r="F942" t="inlineStr">
        <is>
          <t>DALARNAS LÄN</t>
        </is>
      </c>
      <c r="G942" t="inlineStr">
        <is>
          <t>FALUN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2213-2026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46036</v>
      </c>
      <c r="E943" s="1" t="n">
        <v>46276</v>
      </c>
      <c r="F943" t="inlineStr">
        <is>
          <t>DALARNAS LÄN</t>
        </is>
      </c>
      <c r="G943" t="inlineStr">
        <is>
          <t>FALUN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42952-2023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45182</v>
      </c>
      <c r="E944" s="1" t="n">
        <v>46276</v>
      </c>
      <c r="F944" t="inlineStr">
        <is>
          <t>DALARNAS LÄN</t>
        </is>
      </c>
      <c r="G944" t="inlineStr">
        <is>
          <t>FALUN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33534-2023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45131</v>
      </c>
      <c r="E945" s="1" t="n">
        <v>46276</v>
      </c>
      <c r="F945" t="inlineStr">
        <is>
          <t>DALARNAS LÄN</t>
        </is>
      </c>
      <c r="G945" t="inlineStr">
        <is>
          <t>FALUN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33539-2023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45131</v>
      </c>
      <c r="E946" s="1" t="n">
        <v>46276</v>
      </c>
      <c r="F946" t="inlineStr">
        <is>
          <t>DALARNAS LÄN</t>
        </is>
      </c>
      <c r="G946" t="inlineStr">
        <is>
          <t>FALUN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33543-2023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45131</v>
      </c>
      <c r="E947" s="1" t="n">
        <v>46276</v>
      </c>
      <c r="F947" t="inlineStr">
        <is>
          <t>DALARNAS LÄN</t>
        </is>
      </c>
      <c r="G947" t="inlineStr">
        <is>
          <t>FALUN</t>
        </is>
      </c>
      <c r="I947" t="n">
        <v>1.8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4012-2026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46044</v>
      </c>
      <c r="E948" s="1" t="n">
        <v>46276</v>
      </c>
      <c r="F948" t="inlineStr">
        <is>
          <t>DALARNAS LÄN</t>
        </is>
      </c>
      <c r="G948" t="inlineStr">
        <is>
          <t>FALUN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5767-2026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46051</v>
      </c>
      <c r="E949" s="1" t="n">
        <v>46276</v>
      </c>
      <c r="F949" t="inlineStr">
        <is>
          <t>DALARNAS LÄN</t>
        </is>
      </c>
      <c r="G949" t="inlineStr">
        <is>
          <t>FALUN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52271-2025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45953</v>
      </c>
      <c r="E950" s="1" t="n">
        <v>46276</v>
      </c>
      <c r="F950" t="inlineStr">
        <is>
          <t>DALARNAS LÄN</t>
        </is>
      </c>
      <c r="G950" t="inlineStr">
        <is>
          <t>FALUN</t>
        </is>
      </c>
      <c r="I950" t="n">
        <v>7.9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4915-2026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46045</v>
      </c>
      <c r="E951" s="1" t="n">
        <v>46276</v>
      </c>
      <c r="F951" t="inlineStr">
        <is>
          <t>DALARNAS LÄN</t>
        </is>
      </c>
      <c r="G951" t="inlineStr">
        <is>
          <t>FALUN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21288-2024</t>
        </is>
      </c>
      <c r="B952" t="inlineStr">
        <is>
          <t>avverkningsanmälan</t>
        </is>
      </c>
      <c r="C952" t="inlineStr">
        <is>
          <t>Avverkning för att bevara och utveckla /försöksver</t>
        </is>
      </c>
      <c r="D952" s="1" t="n">
        <v>45440</v>
      </c>
      <c r="E952" s="1" t="n">
        <v>46276</v>
      </c>
      <c r="F952" t="inlineStr">
        <is>
          <t>DALARNAS LÄN</t>
        </is>
      </c>
      <c r="G952" t="inlineStr">
        <is>
          <t>FALUN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2600-2026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46037</v>
      </c>
      <c r="E953" s="1" t="n">
        <v>46276</v>
      </c>
      <c r="F953" t="inlineStr">
        <is>
          <t>DALARNAS LÄN</t>
        </is>
      </c>
      <c r="G953" t="inlineStr">
        <is>
          <t>FALUN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61387-2024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45646</v>
      </c>
      <c r="E954" s="1" t="n">
        <v>46276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16.6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15610-2024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45401</v>
      </c>
      <c r="E955" s="1" t="n">
        <v>46276</v>
      </c>
      <c r="F955" t="inlineStr">
        <is>
          <t>DALARNAS LÄN</t>
        </is>
      </c>
      <c r="G955" t="inlineStr">
        <is>
          <t>FALUN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17905-2026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46122</v>
      </c>
      <c r="E956" s="1" t="n">
        <v>46276</v>
      </c>
      <c r="F956" t="inlineStr">
        <is>
          <t>DALARNAS LÄN</t>
        </is>
      </c>
      <c r="G956" t="inlineStr">
        <is>
          <t>FALUN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43236-2024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45567</v>
      </c>
      <c r="E957" s="1" t="n">
        <v>46276</v>
      </c>
      <c r="F957" t="inlineStr">
        <is>
          <t>DALARNAS LÄN</t>
        </is>
      </c>
      <c r="G957" t="inlineStr">
        <is>
          <t>FALUN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9611-2026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46072</v>
      </c>
      <c r="E958" s="1" t="n">
        <v>46276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24.9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12100-2026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46086</v>
      </c>
      <c r="E959" s="1" t="n">
        <v>46276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30804-2025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45831</v>
      </c>
      <c r="E960" s="1" t="n">
        <v>46276</v>
      </c>
      <c r="F960" t="inlineStr">
        <is>
          <t>DALARNAS LÄN</t>
        </is>
      </c>
      <c r="G960" t="inlineStr">
        <is>
          <t>FALUN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40308-2025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45895</v>
      </c>
      <c r="E961" s="1" t="n">
        <v>46276</v>
      </c>
      <c r="F961" t="inlineStr">
        <is>
          <t>DALARNAS LÄN</t>
        </is>
      </c>
      <c r="G961" t="inlineStr">
        <is>
          <t>FALUN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2464-2026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46037</v>
      </c>
      <c r="E962" s="1" t="n">
        <v>46276</v>
      </c>
      <c r="F962" t="inlineStr">
        <is>
          <t>DALARNAS LÄN</t>
        </is>
      </c>
      <c r="G962" t="inlineStr">
        <is>
          <t>FALUN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20384-2026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46139</v>
      </c>
      <c r="E963" s="1" t="n">
        <v>46276</v>
      </c>
      <c r="F963" t="inlineStr">
        <is>
          <t>DALARNAS LÄN</t>
        </is>
      </c>
      <c r="G963" t="inlineStr">
        <is>
          <t>FALUN</t>
        </is>
      </c>
      <c r="H963" t="inlineStr">
        <is>
          <t>Bergvik skog väst AB</t>
        </is>
      </c>
      <c r="I963" t="n">
        <v>5.1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11316-2026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46080</v>
      </c>
      <c r="E964" s="1" t="n">
        <v>46276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40585-2025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45896</v>
      </c>
      <c r="E965" s="1" t="n">
        <v>46276</v>
      </c>
      <c r="F965" t="inlineStr">
        <is>
          <t>DALARNAS LÄN</t>
        </is>
      </c>
      <c r="G965" t="inlineStr">
        <is>
          <t>FALUN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19976-2026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46136</v>
      </c>
      <c r="E966" s="1" t="n">
        <v>46276</v>
      </c>
      <c r="F966" t="inlineStr">
        <is>
          <t>DALARNAS LÄN</t>
        </is>
      </c>
      <c r="G966" t="inlineStr">
        <is>
          <t>FALUN</t>
        </is>
      </c>
      <c r="I966" t="n">
        <v>40.2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19031-2026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46131</v>
      </c>
      <c r="E967" s="1" t="n">
        <v>46276</v>
      </c>
      <c r="F967" t="inlineStr">
        <is>
          <t>DALARNAS LÄN</t>
        </is>
      </c>
      <c r="G967" t="inlineStr">
        <is>
          <t>FALUN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46024</v>
      </c>
      <c r="E968" s="1" t="n">
        <v>46276</v>
      </c>
      <c r="F968" t="inlineStr">
        <is>
          <t>DALARNAS LÄN</t>
        </is>
      </c>
      <c r="G968" t="inlineStr">
        <is>
          <t>FALUN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63723-2023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45276</v>
      </c>
      <c r="E969" s="1" t="n">
        <v>46276</v>
      </c>
      <c r="F969" t="inlineStr">
        <is>
          <t>DALARNAS LÄN</t>
        </is>
      </c>
      <c r="G969" t="inlineStr">
        <is>
          <t>FALUN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17349-2026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46119</v>
      </c>
      <c r="E970" s="1" t="n">
        <v>46276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4.9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43736-2024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45569</v>
      </c>
      <c r="E971" s="1" t="n">
        <v>46276</v>
      </c>
      <c r="F971" t="inlineStr">
        <is>
          <t>DALARNAS LÄN</t>
        </is>
      </c>
      <c r="G971" t="inlineStr">
        <is>
          <t>FALUN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8368-2026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46064</v>
      </c>
      <c r="E972" s="1" t="n">
        <v>46276</v>
      </c>
      <c r="F972" t="inlineStr">
        <is>
          <t>DALARNAS LÄN</t>
        </is>
      </c>
      <c r="G972" t="inlineStr">
        <is>
          <t>FALUN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53029-2024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45611</v>
      </c>
      <c r="E973" s="1" t="n">
        <v>46276</v>
      </c>
      <c r="F973" t="inlineStr">
        <is>
          <t>DALARNAS LÄN</t>
        </is>
      </c>
      <c r="G973" t="inlineStr">
        <is>
          <t>FALUN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46871-2023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45200</v>
      </c>
      <c r="E974" s="1" t="n">
        <v>46276</v>
      </c>
      <c r="F974" t="inlineStr">
        <is>
          <t>DALARNAS LÄN</t>
        </is>
      </c>
      <c r="G974" t="inlineStr">
        <is>
          <t>FALUN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14484-2024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45394</v>
      </c>
      <c r="E975" s="1" t="n">
        <v>46276</v>
      </c>
      <c r="F975" t="inlineStr">
        <is>
          <t>DALARNAS LÄN</t>
        </is>
      </c>
      <c r="G975" t="inlineStr">
        <is>
          <t>FALUN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46014</v>
      </c>
      <c r="E976" s="1" t="n">
        <v>46276</v>
      </c>
      <c r="F976" t="inlineStr">
        <is>
          <t>DALARNAS LÄN</t>
        </is>
      </c>
      <c r="G976" t="inlineStr">
        <is>
          <t>FALUN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20197-2026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46139</v>
      </c>
      <c r="E977" s="1" t="n">
        <v>46276</v>
      </c>
      <c r="F977" t="inlineStr">
        <is>
          <t>DALARNAS LÄN</t>
        </is>
      </c>
      <c r="G977" t="inlineStr">
        <is>
          <t>FALUN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6539-2026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46056</v>
      </c>
      <c r="E978" s="1" t="n">
        <v>46276</v>
      </c>
      <c r="F978" t="inlineStr">
        <is>
          <t>DALARNAS LÄN</t>
        </is>
      </c>
      <c r="G978" t="inlineStr">
        <is>
          <t>FALUN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16236-2026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46111</v>
      </c>
      <c r="E979" s="1" t="n">
        <v>46276</v>
      </c>
      <c r="F979" t="inlineStr">
        <is>
          <t>DALARNAS LÄN</t>
        </is>
      </c>
      <c r="G979" t="inlineStr">
        <is>
          <t>FALUN</t>
        </is>
      </c>
      <c r="I979" t="n">
        <v>14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1303-2026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46031</v>
      </c>
      <c r="E980" s="1" t="n">
        <v>46276</v>
      </c>
      <c r="F980" t="inlineStr">
        <is>
          <t>DALARNAS LÄN</t>
        </is>
      </c>
      <c r="G980" t="inlineStr">
        <is>
          <t>FALUN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9587-2026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46071</v>
      </c>
      <c r="E981" s="1" t="n">
        <v>46276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4.7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19579-2026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46276</v>
      </c>
      <c r="F982" t="inlineStr">
        <is>
          <t>DALARNAS LÄN</t>
        </is>
      </c>
      <c r="G982" t="inlineStr">
        <is>
          <t>FALUN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12366-2026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46089</v>
      </c>
      <c r="E983" s="1" t="n">
        <v>46276</v>
      </c>
      <c r="F983" t="inlineStr">
        <is>
          <t>DALARNAS LÄN</t>
        </is>
      </c>
      <c r="G983" t="inlineStr">
        <is>
          <t>FALUN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20356-2026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46139</v>
      </c>
      <c r="E984" s="1" t="n">
        <v>46276</v>
      </c>
      <c r="F984" t="inlineStr">
        <is>
          <t>DALARNAS LÄN</t>
        </is>
      </c>
      <c r="G984" t="inlineStr">
        <is>
          <t>FALUN</t>
        </is>
      </c>
      <c r="I984" t="n">
        <v>11.8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32753-2025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45838</v>
      </c>
      <c r="E985" s="1" t="n">
        <v>46276</v>
      </c>
      <c r="F985" t="inlineStr">
        <is>
          <t>DALARNAS LÄN</t>
        </is>
      </c>
      <c r="G985" t="inlineStr">
        <is>
          <t>FALUN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30593-2025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45831</v>
      </c>
      <c r="E986" s="1" t="n">
        <v>46276</v>
      </c>
      <c r="F986" t="inlineStr">
        <is>
          <t>DALARNAS LÄN</t>
        </is>
      </c>
      <c r="G986" t="inlineStr">
        <is>
          <t>FALUN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20633-2026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46141</v>
      </c>
      <c r="E987" s="1" t="n">
        <v>46276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20657-2026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46141</v>
      </c>
      <c r="E988" s="1" t="n">
        <v>46276</v>
      </c>
      <c r="F988" t="inlineStr">
        <is>
          <t>DALARNAS LÄN</t>
        </is>
      </c>
      <c r="G988" t="inlineStr">
        <is>
          <t>FALUN</t>
        </is>
      </c>
      <c r="I988" t="n">
        <v>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15672-2026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46106</v>
      </c>
      <c r="E989" s="1" t="n">
        <v>46276</v>
      </c>
      <c r="F989" t="inlineStr">
        <is>
          <t>DALARNAS LÄN</t>
        </is>
      </c>
      <c r="G989" t="inlineStr">
        <is>
          <t>FALUN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2288-2026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46036</v>
      </c>
      <c r="E990" s="1" t="n">
        <v>46276</v>
      </c>
      <c r="F990" t="inlineStr">
        <is>
          <t>DALARNAS LÄN</t>
        </is>
      </c>
      <c r="G990" t="inlineStr">
        <is>
          <t>FALUN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5762-2026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46051</v>
      </c>
      <c r="E991" s="1" t="n">
        <v>46276</v>
      </c>
      <c r="F991" t="inlineStr">
        <is>
          <t>DALARNAS LÄN</t>
        </is>
      </c>
      <c r="G991" t="inlineStr">
        <is>
          <t>FALUN</t>
        </is>
      </c>
      <c r="I991" t="n">
        <v>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64521-2023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45281</v>
      </c>
      <c r="E992" s="1" t="n">
        <v>46276</v>
      </c>
      <c r="F992" t="inlineStr">
        <is>
          <t>DALARNAS LÄN</t>
        </is>
      </c>
      <c r="G992" t="inlineStr">
        <is>
          <t>FALUN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4508-2026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46045</v>
      </c>
      <c r="E993" s="1" t="n">
        <v>46276</v>
      </c>
      <c r="F993" t="inlineStr">
        <is>
          <t>DALARNAS LÄN</t>
        </is>
      </c>
      <c r="G993" t="inlineStr">
        <is>
          <t>FALUN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63499-2023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45274</v>
      </c>
      <c r="E994" s="1" t="n">
        <v>46276</v>
      </c>
      <c r="F994" t="inlineStr">
        <is>
          <t>DALARNAS LÄN</t>
        </is>
      </c>
      <c r="G994" t="inlineStr">
        <is>
          <t>FALUN</t>
        </is>
      </c>
      <c r="I994" t="n">
        <v>8.5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13514-2026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46094</v>
      </c>
      <c r="E995" s="1" t="n">
        <v>46276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17.2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39187-2025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45888</v>
      </c>
      <c r="E996" s="1" t="n">
        <v>46276</v>
      </c>
      <c r="F996" t="inlineStr">
        <is>
          <t>DALARNAS LÄN</t>
        </is>
      </c>
      <c r="G996" t="inlineStr">
        <is>
          <t>FALUN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36398-2024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45535</v>
      </c>
      <c r="E997" s="1" t="n">
        <v>46276</v>
      </c>
      <c r="F997" t="inlineStr">
        <is>
          <t>DALARNAS LÄN</t>
        </is>
      </c>
      <c r="G997" t="inlineStr">
        <is>
          <t>FALUN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16542-2026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46112</v>
      </c>
      <c r="E998" s="1" t="n">
        <v>46276</v>
      </c>
      <c r="F998" t="inlineStr">
        <is>
          <t>DALARNAS LÄN</t>
        </is>
      </c>
      <c r="G998" t="inlineStr">
        <is>
          <t>FALUN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8590-2026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46065</v>
      </c>
      <c r="E999" s="1" t="n">
        <v>46276</v>
      </c>
      <c r="F999" t="inlineStr">
        <is>
          <t>DALARNAS LÄN</t>
        </is>
      </c>
      <c r="G999" t="inlineStr">
        <is>
          <t>FALUN</t>
        </is>
      </c>
      <c r="I999" t="n">
        <v>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46276</v>
      </c>
      <c r="F1000" t="inlineStr">
        <is>
          <t>DALARNAS LÄN</t>
        </is>
      </c>
      <c r="G1000" t="inlineStr">
        <is>
          <t>FALUN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15535-2023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45020</v>
      </c>
      <c r="E1001" s="1" t="n">
        <v>46276</v>
      </c>
      <c r="F1001" t="inlineStr">
        <is>
          <t>DALARNAS LÄN</t>
        </is>
      </c>
      <c r="G1001" t="inlineStr">
        <is>
          <t>FALUN</t>
        </is>
      </c>
      <c r="I1001" t="n">
        <v>3.6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10717-2026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46078</v>
      </c>
      <c r="E1002" s="1" t="n">
        <v>46276</v>
      </c>
      <c r="F1002" t="inlineStr">
        <is>
          <t>DALARNAS LÄN</t>
        </is>
      </c>
      <c r="G1002" t="inlineStr">
        <is>
          <t>FALUN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6541-2026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46056</v>
      </c>
      <c r="E1003" s="1" t="n">
        <v>46276</v>
      </c>
      <c r="F1003" t="inlineStr">
        <is>
          <t>DALARNAS LÄN</t>
        </is>
      </c>
      <c r="G1003" t="inlineStr">
        <is>
          <t>FALUN</t>
        </is>
      </c>
      <c r="I1003" t="n">
        <v>7.8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12232-2026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46087</v>
      </c>
      <c r="E1004" s="1" t="n">
        <v>46276</v>
      </c>
      <c r="F1004" t="inlineStr">
        <is>
          <t>DALARNAS LÄN</t>
        </is>
      </c>
      <c r="G1004" t="inlineStr">
        <is>
          <t>FALUN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15147-2026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46104</v>
      </c>
      <c r="E1005" s="1" t="n">
        <v>46276</v>
      </c>
      <c r="F1005" t="inlineStr">
        <is>
          <t>DALARNAS LÄN</t>
        </is>
      </c>
      <c r="G1005" t="inlineStr">
        <is>
          <t>FALUN</t>
        </is>
      </c>
      <c r="H1005" t="inlineStr">
        <is>
          <t>Allmännings- och besparingsskogar</t>
        </is>
      </c>
      <c r="I1005" t="n">
        <v>7.8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3589-2026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46042</v>
      </c>
      <c r="E1006" s="1" t="n">
        <v>46276</v>
      </c>
      <c r="F1006" t="inlineStr">
        <is>
          <t>DALARNAS LÄN</t>
        </is>
      </c>
      <c r="G1006" t="inlineStr">
        <is>
          <t>FALUN</t>
        </is>
      </c>
      <c r="I1006" t="n">
        <v>8.6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6889-2026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46057</v>
      </c>
      <c r="E1007" s="1" t="n">
        <v>46276</v>
      </c>
      <c r="F1007" t="inlineStr">
        <is>
          <t>DALARNAS LÄN</t>
        </is>
      </c>
      <c r="G1007" t="inlineStr">
        <is>
          <t>FALUN</t>
        </is>
      </c>
      <c r="I1007" t="n">
        <v>5.9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13103-2026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46093</v>
      </c>
      <c r="E1008" s="1" t="n">
        <v>46276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4904-2026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46048</v>
      </c>
      <c r="E1009" s="1" t="n">
        <v>46276</v>
      </c>
      <c r="F1009" t="inlineStr">
        <is>
          <t>DALARNAS LÄN</t>
        </is>
      </c>
      <c r="G1009" t="inlineStr">
        <is>
          <t>FALUN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8435-2025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45709</v>
      </c>
      <c r="E1010" s="1" t="n">
        <v>46276</v>
      </c>
      <c r="F1010" t="inlineStr">
        <is>
          <t>DALARNAS LÄN</t>
        </is>
      </c>
      <c r="G1010" t="inlineStr">
        <is>
          <t>FALUN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64077-2025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46021</v>
      </c>
      <c r="E1011" s="1" t="n">
        <v>46276</v>
      </c>
      <c r="F1011" t="inlineStr">
        <is>
          <t>DALARNAS LÄN</t>
        </is>
      </c>
      <c r="G1011" t="inlineStr">
        <is>
          <t>FALUN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46038</v>
      </c>
      <c r="E1012" s="1" t="n">
        <v>46276</v>
      </c>
      <c r="F1012" t="inlineStr">
        <is>
          <t>DALARNAS LÄN</t>
        </is>
      </c>
      <c r="G1012" t="inlineStr">
        <is>
          <t>FALUN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14009-2026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46098</v>
      </c>
      <c r="E1013" s="1" t="n">
        <v>46276</v>
      </c>
      <c r="F1013" t="inlineStr">
        <is>
          <t>DALARNAS LÄN</t>
        </is>
      </c>
      <c r="G1013" t="inlineStr">
        <is>
          <t>FALUN</t>
        </is>
      </c>
      <c r="I1013" t="n">
        <v>5.4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12740-2026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46091</v>
      </c>
      <c r="E1014" s="1" t="n">
        <v>46276</v>
      </c>
      <c r="F1014" t="inlineStr">
        <is>
          <t>DALARNAS LÄN</t>
        </is>
      </c>
      <c r="G1014" t="inlineStr">
        <is>
          <t>FALUN</t>
        </is>
      </c>
      <c r="I1014" t="n">
        <v>7.9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7754-2024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45349</v>
      </c>
      <c r="E1015" s="1" t="n">
        <v>46276</v>
      </c>
      <c r="F1015" t="inlineStr">
        <is>
          <t>DALARNAS LÄN</t>
        </is>
      </c>
      <c r="G1015" t="inlineStr">
        <is>
          <t>FALUN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5501-2026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46050</v>
      </c>
      <c r="E1016" s="1" t="n">
        <v>46276</v>
      </c>
      <c r="F1016" t="inlineStr">
        <is>
          <t>DALARNAS LÄN</t>
        </is>
      </c>
      <c r="G1016" t="inlineStr">
        <is>
          <t>FALUN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18666-2026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46128</v>
      </c>
      <c r="E1017" s="1" t="n">
        <v>46276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34103-2024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45523</v>
      </c>
      <c r="E1018" s="1" t="n">
        <v>46276</v>
      </c>
      <c r="F1018" t="inlineStr">
        <is>
          <t>DALARNAS LÄN</t>
        </is>
      </c>
      <c r="G1018" t="inlineStr">
        <is>
          <t>FALUN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17313-2026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46119</v>
      </c>
      <c r="E1019" s="1" t="n">
        <v>46276</v>
      </c>
      <c r="F1019" t="inlineStr">
        <is>
          <t>DALARNAS LÄN</t>
        </is>
      </c>
      <c r="G1019" t="inlineStr">
        <is>
          <t>FALUN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1627-2026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46276</v>
      </c>
      <c r="F1020" t="inlineStr">
        <is>
          <t>DALARNAS LÄN</t>
        </is>
      </c>
      <c r="G1020" t="inlineStr">
        <is>
          <t>FALUN</t>
        </is>
      </c>
      <c r="I1020" t="n">
        <v>11.6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1628-2026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46034</v>
      </c>
      <c r="E1021" s="1" t="n">
        <v>46276</v>
      </c>
      <c r="F1021" t="inlineStr">
        <is>
          <t>DALARNAS LÄN</t>
        </is>
      </c>
      <c r="G1021" t="inlineStr">
        <is>
          <t>FALUN</t>
        </is>
      </c>
      <c r="I1021" t="n">
        <v>11.6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2611-2026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46037</v>
      </c>
      <c r="E1022" s="1" t="n">
        <v>46276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26.2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2367-2026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46036</v>
      </c>
      <c r="E1023" s="1" t="n">
        <v>46276</v>
      </c>
      <c r="F1023" t="inlineStr">
        <is>
          <t>DALARNAS LÄN</t>
        </is>
      </c>
      <c r="G1023" t="inlineStr">
        <is>
          <t>FALUN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15330-2026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46105</v>
      </c>
      <c r="E1024" s="1" t="n">
        <v>46276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5.3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10462-2026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46077</v>
      </c>
      <c r="E1025" s="1" t="n">
        <v>46276</v>
      </c>
      <c r="F1025" t="inlineStr">
        <is>
          <t>DALARNAS LÄN</t>
        </is>
      </c>
      <c r="G1025" t="inlineStr">
        <is>
          <t>FALUN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20402-2026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46140</v>
      </c>
      <c r="E1026" s="1" t="n">
        <v>46276</v>
      </c>
      <c r="F1026" t="inlineStr">
        <is>
          <t>DALARNAS LÄN</t>
        </is>
      </c>
      <c r="G1026" t="inlineStr">
        <is>
          <t>FALUN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2284-2026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46036</v>
      </c>
      <c r="E1027" s="1" t="n">
        <v>46276</v>
      </c>
      <c r="F1027" t="inlineStr">
        <is>
          <t>DALARNAS LÄN</t>
        </is>
      </c>
      <c r="G1027" t="inlineStr">
        <is>
          <t>FALUN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2557-2026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46037</v>
      </c>
      <c r="E1028" s="1" t="n">
        <v>46276</v>
      </c>
      <c r="F1028" t="inlineStr">
        <is>
          <t>DALARNAS LÄN</t>
        </is>
      </c>
      <c r="G1028" t="inlineStr">
        <is>
          <t>FALUN</t>
        </is>
      </c>
      <c r="I1028" t="n">
        <v>17.4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33898-2024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45523</v>
      </c>
      <c r="E1029" s="1" t="n">
        <v>46276</v>
      </c>
      <c r="F1029" t="inlineStr">
        <is>
          <t>DALARNAS LÄN</t>
        </is>
      </c>
      <c r="G1029" t="inlineStr">
        <is>
          <t>FALUN</t>
        </is>
      </c>
      <c r="H1029" t="inlineStr">
        <is>
          <t>Allmännings- och besparingsskogar</t>
        </is>
      </c>
      <c r="I1029" t="n">
        <v>6.8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20223-2026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46276</v>
      </c>
      <c r="F1030" t="inlineStr">
        <is>
          <t>DALARNAS LÄN</t>
        </is>
      </c>
      <c r="G1030" t="inlineStr">
        <is>
          <t>FALUN</t>
        </is>
      </c>
      <c r="I1030" t="n">
        <v>58.1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4739-2026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46048</v>
      </c>
      <c r="E1031" s="1" t="n">
        <v>46276</v>
      </c>
      <c r="F1031" t="inlineStr">
        <is>
          <t>DALARNAS LÄN</t>
        </is>
      </c>
      <c r="G1031" t="inlineStr">
        <is>
          <t>FALUN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5546-2026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46050</v>
      </c>
      <c r="E1032" s="1" t="n">
        <v>46276</v>
      </c>
      <c r="F1032" t="inlineStr">
        <is>
          <t>DALARNAS LÄN</t>
        </is>
      </c>
      <c r="G1032" t="inlineStr">
        <is>
          <t>FALUN</t>
        </is>
      </c>
      <c r="I1032" t="n">
        <v>7.7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20403-2026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46140</v>
      </c>
      <c r="E1033" s="1" t="n">
        <v>46276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20765-2026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46141</v>
      </c>
      <c r="E1034" s="1" t="n">
        <v>46276</v>
      </c>
      <c r="F1034" t="inlineStr">
        <is>
          <t>DALARNAS LÄN</t>
        </is>
      </c>
      <c r="G1034" t="inlineStr">
        <is>
          <t>FALUN</t>
        </is>
      </c>
      <c r="H1034" t="inlineStr">
        <is>
          <t>Bergvik skog väst AB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8122-2026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46063</v>
      </c>
      <c r="E1035" s="1" t="n">
        <v>46276</v>
      </c>
      <c r="F1035" t="inlineStr">
        <is>
          <t>DALARNAS LÄN</t>
        </is>
      </c>
      <c r="G1035" t="inlineStr">
        <is>
          <t>FALUN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13073-2026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46093</v>
      </c>
      <c r="E1036" s="1" t="n">
        <v>46276</v>
      </c>
      <c r="F1036" t="inlineStr">
        <is>
          <t>DALARNAS LÄN</t>
        </is>
      </c>
      <c r="G1036" t="inlineStr">
        <is>
          <t>FALUN</t>
        </is>
      </c>
      <c r="H1036" t="inlineStr">
        <is>
          <t>Allmännings- och besparingsskogar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9037-2026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46069</v>
      </c>
      <c r="E1037" s="1" t="n">
        <v>46276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27.8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9131-2026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46069</v>
      </c>
      <c r="E1038" s="1" t="n">
        <v>46276</v>
      </c>
      <c r="F1038" t="inlineStr">
        <is>
          <t>DALARNAS LÄN</t>
        </is>
      </c>
      <c r="G1038" t="inlineStr">
        <is>
          <t>FALUN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12231-2026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46087</v>
      </c>
      <c r="E1039" s="1" t="n">
        <v>46276</v>
      </c>
      <c r="F1039" t="inlineStr">
        <is>
          <t>DALARNAS LÄN</t>
        </is>
      </c>
      <c r="G1039" t="inlineStr">
        <is>
          <t>FALUN</t>
        </is>
      </c>
      <c r="H1039" t="inlineStr">
        <is>
          <t>Bergvik skog väst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46276</v>
      </c>
      <c r="F1040" t="inlineStr">
        <is>
          <t>DALARNAS LÄN</t>
        </is>
      </c>
      <c r="G1040" t="inlineStr">
        <is>
          <t>FALUN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19917-2023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45054</v>
      </c>
      <c r="E1041" s="1" t="n">
        <v>46276</v>
      </c>
      <c r="F1041" t="inlineStr">
        <is>
          <t>DALARNAS LÄN</t>
        </is>
      </c>
      <c r="G1041" t="inlineStr">
        <is>
          <t>FALUN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46045</v>
      </c>
      <c r="E1042" s="1" t="n">
        <v>46276</v>
      </c>
      <c r="F1042" t="inlineStr">
        <is>
          <t>DALARNAS LÄN</t>
        </is>
      </c>
      <c r="G1042" t="inlineStr">
        <is>
          <t>FALUN</t>
        </is>
      </c>
      <c r="I1042" t="n">
        <v>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43300-2025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45910</v>
      </c>
      <c r="E1043" s="1" t="n">
        <v>46276</v>
      </c>
      <c r="F1043" t="inlineStr">
        <is>
          <t>DALARNAS LÄN</t>
        </is>
      </c>
      <c r="G1043" t="inlineStr">
        <is>
          <t>FALUN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6453-2026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46055</v>
      </c>
      <c r="E1044" s="1" t="n">
        <v>46276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20215-2026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46139</v>
      </c>
      <c r="E1045" s="1" t="n">
        <v>46276</v>
      </c>
      <c r="F1045" t="inlineStr">
        <is>
          <t>DALARNAS LÄN</t>
        </is>
      </c>
      <c r="G1045" t="inlineStr">
        <is>
          <t>FALUN</t>
        </is>
      </c>
      <c r="I1045" t="n">
        <v>5.9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17202-2023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45034</v>
      </c>
      <c r="E1046" s="1" t="n">
        <v>46276</v>
      </c>
      <c r="F1046" t="inlineStr">
        <is>
          <t>DALARNAS LÄN</t>
        </is>
      </c>
      <c r="G1046" t="inlineStr">
        <is>
          <t>FALUN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56557-2024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45625</v>
      </c>
      <c r="E1047" s="1" t="n">
        <v>46276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15.8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11681-2026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46084</v>
      </c>
      <c r="E1048" s="1" t="n">
        <v>46276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2936-2026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46037</v>
      </c>
      <c r="E1049" s="1" t="n">
        <v>46276</v>
      </c>
      <c r="F1049" t="inlineStr">
        <is>
          <t>DALARNAS LÄN</t>
        </is>
      </c>
      <c r="G1049" t="inlineStr">
        <is>
          <t>FALUN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64103-2025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46021</v>
      </c>
      <c r="E1050" s="1" t="n">
        <v>46276</v>
      </c>
      <c r="F1050" t="inlineStr">
        <is>
          <t>DALARNAS LÄN</t>
        </is>
      </c>
      <c r="G1050" t="inlineStr">
        <is>
          <t>FALUN</t>
        </is>
      </c>
      <c r="I1050" t="n">
        <v>4.9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20435-2026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46276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6794-2026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46057</v>
      </c>
      <c r="E1052" s="1" t="n">
        <v>46276</v>
      </c>
      <c r="F1052" t="inlineStr">
        <is>
          <t>DALARNAS LÄN</t>
        </is>
      </c>
      <c r="G1052" t="inlineStr">
        <is>
          <t>FALUN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20511-2026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46140</v>
      </c>
      <c r="E1053" s="1" t="n">
        <v>46276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47.3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7962-2026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46063</v>
      </c>
      <c r="E1054" s="1" t="n">
        <v>46276</v>
      </c>
      <c r="F1054" t="inlineStr">
        <is>
          <t>DALARNAS LÄN</t>
        </is>
      </c>
      <c r="G1054" t="inlineStr">
        <is>
          <t>FALUN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46052</v>
      </c>
      <c r="E1055" s="1" t="n">
        <v>46276</v>
      </c>
      <c r="F1055" t="inlineStr">
        <is>
          <t>DALARNAS LÄN</t>
        </is>
      </c>
      <c r="G1055" t="inlineStr">
        <is>
          <t>FALUN</t>
        </is>
      </c>
      <c r="I1055" t="n">
        <v>12.2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2588-2026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46037</v>
      </c>
      <c r="E1056" s="1" t="n">
        <v>46276</v>
      </c>
      <c r="F1056" t="inlineStr">
        <is>
          <t>DALARNAS LÄN</t>
        </is>
      </c>
      <c r="G1056" t="inlineStr">
        <is>
          <t>FALUN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6667-2026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46056</v>
      </c>
      <c r="E1057" s="1" t="n">
        <v>46276</v>
      </c>
      <c r="F1057" t="inlineStr">
        <is>
          <t>DALARNAS LÄN</t>
        </is>
      </c>
      <c r="G1057" t="inlineStr">
        <is>
          <t>FALUN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331-2026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46027</v>
      </c>
      <c r="E1058" s="1" t="n">
        <v>46276</v>
      </c>
      <c r="F1058" t="inlineStr">
        <is>
          <t>DALARNAS LÄN</t>
        </is>
      </c>
      <c r="G1058" t="inlineStr">
        <is>
          <t>FALUN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20444-2026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46140</v>
      </c>
      <c r="E1059" s="1" t="n">
        <v>46276</v>
      </c>
      <c r="F1059" t="inlineStr">
        <is>
          <t>DALARNAS LÄN</t>
        </is>
      </c>
      <c r="G1059" t="inlineStr">
        <is>
          <t>FALUN</t>
        </is>
      </c>
      <c r="I1059" t="n">
        <v>11.8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20830-2026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46142</v>
      </c>
      <c r="E1060" s="1" t="n">
        <v>46276</v>
      </c>
      <c r="F1060" t="inlineStr">
        <is>
          <t>DALARNAS LÄN</t>
        </is>
      </c>
      <c r="G1060" t="inlineStr">
        <is>
          <t>FALUN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20936-2026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46142</v>
      </c>
      <c r="E1061" s="1" t="n">
        <v>46276</v>
      </c>
      <c r="F1061" t="inlineStr">
        <is>
          <t>DALARNAS LÄN</t>
        </is>
      </c>
      <c r="G1061" t="inlineStr">
        <is>
          <t>FALUN</t>
        </is>
      </c>
      <c r="I1061" t="n">
        <v>45.9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20891-2026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46142</v>
      </c>
      <c r="E1062" s="1" t="n">
        <v>46276</v>
      </c>
      <c r="F1062" t="inlineStr">
        <is>
          <t>DALARNAS LÄN</t>
        </is>
      </c>
      <c r="G1062" t="inlineStr">
        <is>
          <t>FALUN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48702-2022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44859</v>
      </c>
      <c r="E1063" s="1" t="n">
        <v>46276</v>
      </c>
      <c r="F1063" t="inlineStr">
        <is>
          <t>DALARNAS LÄN</t>
        </is>
      </c>
      <c r="G1063" t="inlineStr">
        <is>
          <t>FALUN</t>
        </is>
      </c>
      <c r="I1063" t="n">
        <v>11.6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20890-2026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46142</v>
      </c>
      <c r="E1064" s="1" t="n">
        <v>46276</v>
      </c>
      <c r="F1064" t="inlineStr">
        <is>
          <t>DALARNAS LÄN</t>
        </is>
      </c>
      <c r="G1064" t="inlineStr">
        <is>
          <t>FALUN</t>
        </is>
      </c>
      <c r="I1064" t="n">
        <v>15.7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46959-2023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45201</v>
      </c>
      <c r="E1065" s="1" t="n">
        <v>46276</v>
      </c>
      <c r="F1065" t="inlineStr">
        <is>
          <t>DALARNAS LÄN</t>
        </is>
      </c>
      <c r="G1065" t="inlineStr">
        <is>
          <t>FALUN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20889-2026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46142</v>
      </c>
      <c r="E1066" s="1" t="n">
        <v>46276</v>
      </c>
      <c r="F1066" t="inlineStr">
        <is>
          <t>DALARNAS LÄN</t>
        </is>
      </c>
      <c r="G1066" t="inlineStr">
        <is>
          <t>FALUN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20960-2026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46142</v>
      </c>
      <c r="E1067" s="1" t="n">
        <v>46276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20961-2026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46142</v>
      </c>
      <c r="E1068" s="1" t="n">
        <v>46276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18708-2026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46128</v>
      </c>
      <c r="E1069" s="1" t="n">
        <v>46276</v>
      </c>
      <c r="F1069" t="inlineStr">
        <is>
          <t>DALARNAS LÄN</t>
        </is>
      </c>
      <c r="G1069" t="inlineStr">
        <is>
          <t>FALUN</t>
        </is>
      </c>
      <c r="I1069" t="n">
        <v>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24729-2023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45084</v>
      </c>
      <c r="E1070" s="1" t="n">
        <v>46276</v>
      </c>
      <c r="F1070" t="inlineStr">
        <is>
          <t>DALARNAS LÄN</t>
        </is>
      </c>
      <c r="G1070" t="inlineStr">
        <is>
          <t>FALUN</t>
        </is>
      </c>
      <c r="I1070" t="n">
        <v>0.3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20831-2026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46142</v>
      </c>
      <c r="E1071" s="1" t="n">
        <v>46276</v>
      </c>
      <c r="F1071" t="inlineStr">
        <is>
          <t>DALARNAS LÄN</t>
        </is>
      </c>
      <c r="G1071" t="inlineStr">
        <is>
          <t>FALUN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27679-2024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45475</v>
      </c>
      <c r="E1072" s="1" t="n">
        <v>46276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21129-2026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46276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21107-2026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46276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57.6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21121-2026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46276</v>
      </c>
      <c r="F1075" t="inlineStr">
        <is>
          <t>DALARNAS LÄN</t>
        </is>
      </c>
      <c r="G1075" t="inlineStr">
        <is>
          <t>FALUN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21124-2026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46276</v>
      </c>
      <c r="F1076" t="inlineStr">
        <is>
          <t>DALARNAS LÄN</t>
        </is>
      </c>
      <c r="G1076" t="inlineStr">
        <is>
          <t>FALUN</t>
        </is>
      </c>
      <c r="I1076" t="n">
        <v>11.6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21127-2026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46276</v>
      </c>
      <c r="F1077" t="inlineStr">
        <is>
          <t>DALARNAS LÄN</t>
        </is>
      </c>
      <c r="G1077" t="inlineStr">
        <is>
          <t>FALUN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46276</v>
      </c>
      <c r="F1078" t="inlineStr">
        <is>
          <t>DALARNAS LÄN</t>
        </is>
      </c>
      <c r="G1078" t="inlineStr">
        <is>
          <t>FALUN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8212-2026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46064</v>
      </c>
      <c r="E1079" s="1" t="n">
        <v>46276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2.7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12616-2026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46090</v>
      </c>
      <c r="E1080" s="1" t="n">
        <v>46276</v>
      </c>
      <c r="F1080" t="inlineStr">
        <is>
          <t>DALARNAS LÄN</t>
        </is>
      </c>
      <c r="G1080" t="inlineStr">
        <is>
          <t>FALUN</t>
        </is>
      </c>
      <c r="I1080" t="n">
        <v>2.9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21130-2026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46146</v>
      </c>
      <c r="E1081" s="1" t="n">
        <v>46276</v>
      </c>
      <c r="F1081" t="inlineStr">
        <is>
          <t>DALARNAS LÄN</t>
        </is>
      </c>
      <c r="G1081" t="inlineStr">
        <is>
          <t>FALUN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21346-2026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46147</v>
      </c>
      <c r="E1082" s="1" t="n">
        <v>46276</v>
      </c>
      <c r="F1082" t="inlineStr">
        <is>
          <t>DALARNAS LÄN</t>
        </is>
      </c>
      <c r="G1082" t="inlineStr">
        <is>
          <t>FALUN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6613-2026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46056</v>
      </c>
      <c r="E1083" s="1" t="n">
        <v>46276</v>
      </c>
      <c r="F1083" t="inlineStr">
        <is>
          <t>DALARNAS LÄN</t>
        </is>
      </c>
      <c r="G1083" t="inlineStr">
        <is>
          <t>FALUN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46023</v>
      </c>
      <c r="E1084" s="1" t="n">
        <v>46276</v>
      </c>
      <c r="F1084" t="inlineStr">
        <is>
          <t>DALARNAS LÄN</t>
        </is>
      </c>
      <c r="G1084" t="inlineStr">
        <is>
          <t>FALUN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2019-2026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46035</v>
      </c>
      <c r="E1085" s="1" t="n">
        <v>46276</v>
      </c>
      <c r="F1085" t="inlineStr">
        <is>
          <t>DALARNAS LÄN</t>
        </is>
      </c>
      <c r="G1085" t="inlineStr">
        <is>
          <t>FALUN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21110-2026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46146</v>
      </c>
      <c r="E1086" s="1" t="n">
        <v>46276</v>
      </c>
      <c r="F1086" t="inlineStr">
        <is>
          <t>DALARNAS LÄN</t>
        </is>
      </c>
      <c r="G1086" t="inlineStr">
        <is>
          <t>FALUN</t>
        </is>
      </c>
      <c r="I1086" t="n">
        <v>2.4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51920-2024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45607</v>
      </c>
      <c r="E1087" s="1" t="n">
        <v>46276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21306-2026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46147</v>
      </c>
      <c r="E1088" s="1" t="n">
        <v>46276</v>
      </c>
      <c r="F1088" t="inlineStr">
        <is>
          <t>DALARNAS LÄN</t>
        </is>
      </c>
      <c r="G1088" t="inlineStr">
        <is>
          <t>FALUN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21076-2026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46276</v>
      </c>
      <c r="F1089" t="inlineStr">
        <is>
          <t>DALARNAS LÄN</t>
        </is>
      </c>
      <c r="G1089" t="inlineStr">
        <is>
          <t>FALUN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21212-2026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46276</v>
      </c>
      <c r="F1090" t="inlineStr">
        <is>
          <t>DALARNAS LÄN</t>
        </is>
      </c>
      <c r="G1090" t="inlineStr">
        <is>
          <t>FALUN</t>
        </is>
      </c>
      <c r="I1090" t="n">
        <v>2.2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17932-2026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46122</v>
      </c>
      <c r="E1091" s="1" t="n">
        <v>46276</v>
      </c>
      <c r="F1091" t="inlineStr">
        <is>
          <t>DALARNAS LÄN</t>
        </is>
      </c>
      <c r="G1091" t="inlineStr">
        <is>
          <t>FALUN</t>
        </is>
      </c>
      <c r="H1091" t="inlineStr">
        <is>
          <t>Bergvik skog väst AB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3083-2026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46040</v>
      </c>
      <c r="E1092" s="1" t="n">
        <v>46276</v>
      </c>
      <c r="F1092" t="inlineStr">
        <is>
          <t>DALARNAS LÄN</t>
        </is>
      </c>
      <c r="G1092" t="inlineStr">
        <is>
          <t>FALUN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21041-2026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46276</v>
      </c>
      <c r="F1093" t="inlineStr">
        <is>
          <t>DALARNAS LÄN</t>
        </is>
      </c>
      <c r="G1093" t="inlineStr">
        <is>
          <t>FALUN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21077-2026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46276</v>
      </c>
      <c r="F1094" t="inlineStr">
        <is>
          <t>DALARNAS LÄN</t>
        </is>
      </c>
      <c r="G1094" t="inlineStr">
        <is>
          <t>FALUN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4980-2026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46049</v>
      </c>
      <c r="E1095" s="1" t="n">
        <v>46276</v>
      </c>
      <c r="F1095" t="inlineStr">
        <is>
          <t>DALARNAS LÄN</t>
        </is>
      </c>
      <c r="G1095" t="inlineStr">
        <is>
          <t>FALUN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19426-2025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45769</v>
      </c>
      <c r="E1096" s="1" t="n">
        <v>46276</v>
      </c>
      <c r="F1096" t="inlineStr">
        <is>
          <t>DALARNAS LÄN</t>
        </is>
      </c>
      <c r="G1096" t="inlineStr">
        <is>
          <t>FALUN</t>
        </is>
      </c>
      <c r="I1096" t="n">
        <v>0.1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46276</v>
      </c>
      <c r="F1097" t="inlineStr">
        <is>
          <t>DALARNAS LÄN</t>
        </is>
      </c>
      <c r="G1097" t="inlineStr">
        <is>
          <t>FALUN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21415-2026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46276</v>
      </c>
      <c r="F1098" t="inlineStr">
        <is>
          <t>DALARNAS LÄN</t>
        </is>
      </c>
      <c r="G1098" t="inlineStr">
        <is>
          <t>FALUN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21441-2026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46276</v>
      </c>
      <c r="F1099" t="inlineStr">
        <is>
          <t>DALARNAS LÄN</t>
        </is>
      </c>
      <c r="G1099" t="inlineStr">
        <is>
          <t>FALUN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21701-2026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46149</v>
      </c>
      <c r="E1100" s="1" t="n">
        <v>46276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21561-2026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46276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21516-2026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46148</v>
      </c>
      <c r="E1102" s="1" t="n">
        <v>46276</v>
      </c>
      <c r="F1102" t="inlineStr">
        <is>
          <t>DALARNAS LÄN</t>
        </is>
      </c>
      <c r="G1102" t="inlineStr">
        <is>
          <t>FALUN</t>
        </is>
      </c>
      <c r="I1102" t="n">
        <v>3.5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43187-2024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45567</v>
      </c>
      <c r="E1103" s="1" t="n">
        <v>46276</v>
      </c>
      <c r="F1103" t="inlineStr">
        <is>
          <t>DALARNAS LÄN</t>
        </is>
      </c>
      <c r="G1103" t="inlineStr">
        <is>
          <t>FALUN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21635-2026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46149</v>
      </c>
      <c r="E1104" s="1" t="n">
        <v>46276</v>
      </c>
      <c r="F1104" t="inlineStr">
        <is>
          <t>DALARNAS LÄN</t>
        </is>
      </c>
      <c r="G1104" t="inlineStr">
        <is>
          <t>FALUN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21414-2026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46148</v>
      </c>
      <c r="E1105" s="1" t="n">
        <v>46276</v>
      </c>
      <c r="F1105" t="inlineStr">
        <is>
          <t>DALARNAS LÄN</t>
        </is>
      </c>
      <c r="G1105" t="inlineStr">
        <is>
          <t>FALUN</t>
        </is>
      </c>
      <c r="I1105" t="n">
        <v>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21410-2026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46148</v>
      </c>
      <c r="E1106" s="1" t="n">
        <v>46276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6.9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21460-2026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46276</v>
      </c>
      <c r="F1107" t="inlineStr">
        <is>
          <t>DALARNAS LÄN</t>
        </is>
      </c>
      <c r="G1107" t="inlineStr">
        <is>
          <t>FALUN</t>
        </is>
      </c>
      <c r="I1107" t="n">
        <v>1.6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21636-2026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46149</v>
      </c>
      <c r="E1108" s="1" t="n">
        <v>46276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7.7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21824-2026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46150</v>
      </c>
      <c r="E1109" s="1" t="n">
        <v>46276</v>
      </c>
      <c r="F1109" t="inlineStr">
        <is>
          <t>DALARNAS LÄN</t>
        </is>
      </c>
      <c r="G1109" t="inlineStr">
        <is>
          <t>FALUN</t>
        </is>
      </c>
      <c r="I1109" t="n">
        <v>10.7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21825-2026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46150</v>
      </c>
      <c r="E1110" s="1" t="n">
        <v>46276</v>
      </c>
      <c r="F1110" t="inlineStr">
        <is>
          <t>DALARNAS LÄN</t>
        </is>
      </c>
      <c r="G1110" t="inlineStr">
        <is>
          <t>FALUN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10268-2024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45365</v>
      </c>
      <c r="E1111" s="1" t="n">
        <v>46276</v>
      </c>
      <c r="F1111" t="inlineStr">
        <is>
          <t>DALARNAS LÄN</t>
        </is>
      </c>
      <c r="G1111" t="inlineStr">
        <is>
          <t>FALUN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36411-2025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45868</v>
      </c>
      <c r="E1112" s="1" t="n">
        <v>46276</v>
      </c>
      <c r="F1112" t="inlineStr">
        <is>
          <t>DALARNAS LÄN</t>
        </is>
      </c>
      <c r="G1112" t="inlineStr">
        <is>
          <t>FALUN</t>
        </is>
      </c>
      <c r="I1112" t="n">
        <v>10.7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12260-2026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46087</v>
      </c>
      <c r="E1113" s="1" t="n">
        <v>46276</v>
      </c>
      <c r="F1113" t="inlineStr">
        <is>
          <t>DALARNAS LÄN</t>
        </is>
      </c>
      <c r="G1113" t="inlineStr">
        <is>
          <t>FALUN</t>
        </is>
      </c>
      <c r="I1113" t="n">
        <v>23.9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22114-2026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46153</v>
      </c>
      <c r="E1114" s="1" t="n">
        <v>46276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22069-2026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46153</v>
      </c>
      <c r="E1115" s="1" t="n">
        <v>46276</v>
      </c>
      <c r="F1115" t="inlineStr">
        <is>
          <t>DALARNAS LÄN</t>
        </is>
      </c>
      <c r="G1115" t="inlineStr">
        <is>
          <t>FALUN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17549-2026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46120</v>
      </c>
      <c r="E1116" s="1" t="n">
        <v>46276</v>
      </c>
      <c r="F1116" t="inlineStr">
        <is>
          <t>DALARNAS LÄN</t>
        </is>
      </c>
      <c r="G1116" t="inlineStr">
        <is>
          <t>FALUN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2502-2026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46037</v>
      </c>
      <c r="E1117" s="1" t="n">
        <v>46276</v>
      </c>
      <c r="F1117" t="inlineStr">
        <is>
          <t>DALARNAS LÄN</t>
        </is>
      </c>
      <c r="G1117" t="inlineStr">
        <is>
          <t>FALUN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21873-2026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46150</v>
      </c>
      <c r="E1118" s="1" t="n">
        <v>46276</v>
      </c>
      <c r="F1118" t="inlineStr">
        <is>
          <t>DALARNAS LÄN</t>
        </is>
      </c>
      <c r="G1118" t="inlineStr">
        <is>
          <t>FALUN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2028-2026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46035</v>
      </c>
      <c r="E1119" s="1" t="n">
        <v>46276</v>
      </c>
      <c r="F1119" t="inlineStr">
        <is>
          <t>DALARNAS LÄN</t>
        </is>
      </c>
      <c r="G1119" t="inlineStr">
        <is>
          <t>FALUN</t>
        </is>
      </c>
      <c r="I1119" t="n">
        <v>3.2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46276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1959-2026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46035</v>
      </c>
      <c r="E1121" s="1" t="n">
        <v>46276</v>
      </c>
      <c r="F1121" t="inlineStr">
        <is>
          <t>DALARNAS LÄN</t>
        </is>
      </c>
      <c r="G1121" t="inlineStr">
        <is>
          <t>FALUN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11295-2026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46080</v>
      </c>
      <c r="E1122" s="1" t="n">
        <v>46276</v>
      </c>
      <c r="F1122" t="inlineStr">
        <is>
          <t>DALARNAS LÄN</t>
        </is>
      </c>
      <c r="G1122" t="inlineStr">
        <is>
          <t>FALUN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10864-2026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46078</v>
      </c>
      <c r="E1123" s="1" t="n">
        <v>46276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6577-2026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46276</v>
      </c>
      <c r="F1124" t="inlineStr">
        <is>
          <t>DALARNAS LÄN</t>
        </is>
      </c>
      <c r="G1124" t="inlineStr">
        <is>
          <t>FALUN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21782-2026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46150</v>
      </c>
      <c r="E1125" s="1" t="n">
        <v>46276</v>
      </c>
      <c r="F1125" t="inlineStr">
        <is>
          <t>DALARNAS LÄN</t>
        </is>
      </c>
      <c r="G1125" t="inlineStr">
        <is>
          <t>FALUN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21822-2026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46276</v>
      </c>
      <c r="F1126" t="inlineStr">
        <is>
          <t>DALARNAS LÄN</t>
        </is>
      </c>
      <c r="G1126" t="inlineStr">
        <is>
          <t>FALUN</t>
        </is>
      </c>
      <c r="I1126" t="n">
        <v>0.4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2511-2026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46276</v>
      </c>
      <c r="F1127" t="inlineStr">
        <is>
          <t>DALARNAS LÄN</t>
        </is>
      </c>
      <c r="G1127" t="inlineStr">
        <is>
          <t>FALUN</t>
        </is>
      </c>
      <c r="I1127" t="n">
        <v>23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1135-2026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46030</v>
      </c>
      <c r="E1128" s="1" t="n">
        <v>46276</v>
      </c>
      <c r="F1128" t="inlineStr">
        <is>
          <t>DALARNAS LÄN</t>
        </is>
      </c>
      <c r="G1128" t="inlineStr">
        <is>
          <t>FALUN</t>
        </is>
      </c>
      <c r="I1128" t="n">
        <v>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1178-2026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46031</v>
      </c>
      <c r="E1129" s="1" t="n">
        <v>46276</v>
      </c>
      <c r="F1129" t="inlineStr">
        <is>
          <t>DALARNAS LÄN</t>
        </is>
      </c>
      <c r="G1129" t="inlineStr">
        <is>
          <t>FALUN</t>
        </is>
      </c>
      <c r="I1129" t="n">
        <v>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21896-2026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46150</v>
      </c>
      <c r="E1130" s="1" t="n">
        <v>46276</v>
      </c>
      <c r="F1130" t="inlineStr">
        <is>
          <t>DALARNAS LÄN</t>
        </is>
      </c>
      <c r="G1130" t="inlineStr">
        <is>
          <t>FALUN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12224-2022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44637</v>
      </c>
      <c r="E1131" s="1" t="n">
        <v>46276</v>
      </c>
      <c r="F1131" t="inlineStr">
        <is>
          <t>DALARNAS LÄN</t>
        </is>
      </c>
      <c r="G1131" t="inlineStr">
        <is>
          <t>FALUN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22204-2026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46153</v>
      </c>
      <c r="E1132" s="1" t="n">
        <v>46276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8588-2026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46065</v>
      </c>
      <c r="E1133" s="1" t="n">
        <v>46276</v>
      </c>
      <c r="F1133" t="inlineStr">
        <is>
          <t>DALARNAS LÄN</t>
        </is>
      </c>
      <c r="G1133" t="inlineStr">
        <is>
          <t>FALUN</t>
        </is>
      </c>
      <c r="H1133" t="inlineStr">
        <is>
          <t>Allmännings- och besparingsskogar</t>
        </is>
      </c>
      <c r="I1133" t="n">
        <v>17.4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8598-2026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46065</v>
      </c>
      <c r="E1134" s="1" t="n">
        <v>46276</v>
      </c>
      <c r="F1134" t="inlineStr">
        <is>
          <t>DALARNAS LÄN</t>
        </is>
      </c>
      <c r="G1134" t="inlineStr">
        <is>
          <t>FALUN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21895-2026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46150</v>
      </c>
      <c r="E1135" s="1" t="n">
        <v>46276</v>
      </c>
      <c r="F1135" t="inlineStr">
        <is>
          <t>DALARNAS LÄN</t>
        </is>
      </c>
      <c r="G1135" t="inlineStr">
        <is>
          <t>FALUN</t>
        </is>
      </c>
      <c r="I1135" t="n">
        <v>6.3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21936-2026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46276</v>
      </c>
      <c r="F1136" t="inlineStr">
        <is>
          <t>DALARNAS LÄN</t>
        </is>
      </c>
      <c r="G1136" t="inlineStr">
        <is>
          <t>FALUN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39872-2022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44819</v>
      </c>
      <c r="E1137" s="1" t="n">
        <v>46276</v>
      </c>
      <c r="F1137" t="inlineStr">
        <is>
          <t>DALARNAS LÄN</t>
        </is>
      </c>
      <c r="G1137" t="inlineStr">
        <is>
          <t>FALUN</t>
        </is>
      </c>
      <c r="I1137" t="n">
        <v>3.8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22174-2026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46153</v>
      </c>
      <c r="E1138" s="1" t="n">
        <v>46276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22188-2026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46153</v>
      </c>
      <c r="E1139" s="1" t="n">
        <v>46276</v>
      </c>
      <c r="F1139" t="inlineStr">
        <is>
          <t>DALARNAS LÄN</t>
        </is>
      </c>
      <c r="G1139" t="inlineStr">
        <is>
          <t>FALUN</t>
        </is>
      </c>
      <c r="H1139" t="inlineStr">
        <is>
          <t>Bergvik skog väst AB</t>
        </is>
      </c>
      <c r="I1139" t="n">
        <v>6.8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22056-2026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46153</v>
      </c>
      <c r="E1140" s="1" t="n">
        <v>46276</v>
      </c>
      <c r="F1140" t="inlineStr">
        <is>
          <t>DALARNAS LÄN</t>
        </is>
      </c>
      <c r="G1140" t="inlineStr">
        <is>
          <t>FALUN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21970-2026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46153</v>
      </c>
      <c r="E1141" s="1" t="n">
        <v>46276</v>
      </c>
      <c r="F1141" t="inlineStr">
        <is>
          <t>DALARNAS LÄN</t>
        </is>
      </c>
      <c r="G1141" t="inlineStr">
        <is>
          <t>FALUN</t>
        </is>
      </c>
      <c r="I1141" t="n">
        <v>3.3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6953-2026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46056</v>
      </c>
      <c r="E1142" s="1" t="n">
        <v>46276</v>
      </c>
      <c r="F1142" t="inlineStr">
        <is>
          <t>DALARNAS LÄN</t>
        </is>
      </c>
      <c r="G1142" t="inlineStr">
        <is>
          <t>FALUN</t>
        </is>
      </c>
      <c r="H1142" t="inlineStr">
        <is>
          <t>Allmännings- och besparingsskogar</t>
        </is>
      </c>
      <c r="I1142" t="n">
        <v>2.4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16655-2026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46112</v>
      </c>
      <c r="E1143" s="1" t="n">
        <v>46276</v>
      </c>
      <c r="F1143" t="inlineStr">
        <is>
          <t>DALARNAS LÄN</t>
        </is>
      </c>
      <c r="G1143" t="inlineStr">
        <is>
          <t>FALUN</t>
        </is>
      </c>
      <c r="I1143" t="n">
        <v>4.7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46027</v>
      </c>
      <c r="E1144" s="1" t="n">
        <v>46276</v>
      </c>
      <c r="F1144" t="inlineStr">
        <is>
          <t>DALARNAS LÄN</t>
        </is>
      </c>
      <c r="G1144" t="inlineStr">
        <is>
          <t>FALUN</t>
        </is>
      </c>
      <c r="I1144" t="n">
        <v>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1436-2026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46032</v>
      </c>
      <c r="E1145" s="1" t="n">
        <v>46276</v>
      </c>
      <c r="F1145" t="inlineStr">
        <is>
          <t>DALARNAS LÄN</t>
        </is>
      </c>
      <c r="G1145" t="inlineStr">
        <is>
          <t>FALUN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3585-2026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46042</v>
      </c>
      <c r="E1146" s="1" t="n">
        <v>46276</v>
      </c>
      <c r="F1146" t="inlineStr">
        <is>
          <t>DALARNAS LÄN</t>
        </is>
      </c>
      <c r="G1146" t="inlineStr">
        <is>
          <t>FALUN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3651-2026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46043</v>
      </c>
      <c r="E1147" s="1" t="n">
        <v>46276</v>
      </c>
      <c r="F1147" t="inlineStr">
        <is>
          <t>DALARNAS LÄN</t>
        </is>
      </c>
      <c r="G1147" t="inlineStr">
        <is>
          <t>FALUN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52856-2023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45226</v>
      </c>
      <c r="E1148" s="1" t="n">
        <v>46276</v>
      </c>
      <c r="F1148" t="inlineStr">
        <is>
          <t>DALARNAS LÄN</t>
        </is>
      </c>
      <c r="G1148" t="inlineStr">
        <is>
          <t>FALUN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21829-2026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46150</v>
      </c>
      <c r="E1149" s="1" t="n">
        <v>46276</v>
      </c>
      <c r="F1149" t="inlineStr">
        <is>
          <t>DALARNAS LÄN</t>
        </is>
      </c>
      <c r="G1149" t="inlineStr">
        <is>
          <t>FALUN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21830-2026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46150</v>
      </c>
      <c r="E1150" s="1" t="n">
        <v>46276</v>
      </c>
      <c r="F1150" t="inlineStr">
        <is>
          <t>DALARNAS LÄN</t>
        </is>
      </c>
      <c r="G1150" t="inlineStr">
        <is>
          <t>FALUN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9774-2026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46072</v>
      </c>
      <c r="E1151" s="1" t="n">
        <v>46276</v>
      </c>
      <c r="F1151" t="inlineStr">
        <is>
          <t>DALARNAS LÄN</t>
        </is>
      </c>
      <c r="G1151" t="inlineStr">
        <is>
          <t>FALUN</t>
        </is>
      </c>
      <c r="I1151" t="n">
        <v>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9841-2026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46072</v>
      </c>
      <c r="E1152" s="1" t="n">
        <v>46276</v>
      </c>
      <c r="F1152" t="inlineStr">
        <is>
          <t>DALARNAS LÄN</t>
        </is>
      </c>
      <c r="G1152" t="inlineStr">
        <is>
          <t>FALUN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14411-2026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46100</v>
      </c>
      <c r="E1153" s="1" t="n">
        <v>46276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14.5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13812-2026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46098</v>
      </c>
      <c r="E1154" s="1" t="n">
        <v>46276</v>
      </c>
      <c r="F1154" t="inlineStr">
        <is>
          <t>DALARNAS LÄN</t>
        </is>
      </c>
      <c r="G1154" t="inlineStr">
        <is>
          <t>FALUN</t>
        </is>
      </c>
      <c r="I1154" t="n">
        <v>4.8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13237-2026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46093</v>
      </c>
      <c r="E1155" s="1" t="n">
        <v>46276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21837-2026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46150</v>
      </c>
      <c r="E1156" s="1" t="n">
        <v>46276</v>
      </c>
      <c r="F1156" t="inlineStr">
        <is>
          <t>DALARNAS LÄN</t>
        </is>
      </c>
      <c r="G1156" t="inlineStr">
        <is>
          <t>FALUN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21823-2026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46150</v>
      </c>
      <c r="E1157" s="1" t="n">
        <v>46276</v>
      </c>
      <c r="F1157" t="inlineStr">
        <is>
          <t>DALARNAS LÄN</t>
        </is>
      </c>
      <c r="G1157" t="inlineStr">
        <is>
          <t>FALUN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21834-2026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46150</v>
      </c>
      <c r="E1158" s="1" t="n">
        <v>46276</v>
      </c>
      <c r="F1158" t="inlineStr">
        <is>
          <t>DALARNAS LÄN</t>
        </is>
      </c>
      <c r="G1158" t="inlineStr">
        <is>
          <t>FALUN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2463-2024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45313</v>
      </c>
      <c r="E1159" s="1" t="n">
        <v>46276</v>
      </c>
      <c r="F1159" t="inlineStr">
        <is>
          <t>DALARNAS LÄN</t>
        </is>
      </c>
      <c r="G1159" t="inlineStr">
        <is>
          <t>FALUN</t>
        </is>
      </c>
      <c r="I1159" t="n">
        <v>4.4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63312-2023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45274</v>
      </c>
      <c r="E1160" s="1" t="n">
        <v>46276</v>
      </c>
      <c r="F1160" t="inlineStr">
        <is>
          <t>DALARNAS LÄN</t>
        </is>
      </c>
      <c r="G1160" t="inlineStr">
        <is>
          <t>FALUN</t>
        </is>
      </c>
      <c r="I1160" t="n">
        <v>16.2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21972-2026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46153</v>
      </c>
      <c r="E1161" s="1" t="n">
        <v>46276</v>
      </c>
      <c r="F1161" t="inlineStr">
        <is>
          <t>DALARNAS LÄN</t>
        </is>
      </c>
      <c r="G1161" t="inlineStr">
        <is>
          <t>FALUN</t>
        </is>
      </c>
      <c r="I1161" t="n">
        <v>13.9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2235-2026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46276</v>
      </c>
      <c r="F1162" t="inlineStr">
        <is>
          <t>DALARNAS LÄN</t>
        </is>
      </c>
      <c r="G1162" t="inlineStr">
        <is>
          <t>FALUN</t>
        </is>
      </c>
      <c r="I1162" t="n">
        <v>3.6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46048</v>
      </c>
      <c r="E1163" s="1" t="n">
        <v>46276</v>
      </c>
      <c r="F1163" t="inlineStr">
        <is>
          <t>DALARNAS LÄN</t>
        </is>
      </c>
      <c r="G1163" t="inlineStr">
        <is>
          <t>FALUN</t>
        </is>
      </c>
      <c r="I1163" t="n">
        <v>2.9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22505-2026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46155</v>
      </c>
      <c r="E1164" s="1" t="n">
        <v>46276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22565-2026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46155</v>
      </c>
      <c r="E1165" s="1" t="n">
        <v>46276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22365-2026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46276</v>
      </c>
      <c r="F1166" t="inlineStr">
        <is>
          <t>DALARNAS LÄN</t>
        </is>
      </c>
      <c r="G1166" t="inlineStr">
        <is>
          <t>FALUN</t>
        </is>
      </c>
      <c r="I1166" t="n">
        <v>5.3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22374-2026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46154</v>
      </c>
      <c r="E1167" s="1" t="n">
        <v>46276</v>
      </c>
      <c r="F1167" t="inlineStr">
        <is>
          <t>DALARNAS LÄN</t>
        </is>
      </c>
      <c r="G1167" t="inlineStr">
        <is>
          <t>FALUN</t>
        </is>
      </c>
      <c r="I1167" t="n">
        <v>3.4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17132-2026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46114</v>
      </c>
      <c r="E1168" s="1" t="n">
        <v>46276</v>
      </c>
      <c r="F1168" t="inlineStr">
        <is>
          <t>DALARNAS LÄN</t>
        </is>
      </c>
      <c r="G1168" t="inlineStr">
        <is>
          <t>FALUN</t>
        </is>
      </c>
      <c r="I1168" t="n">
        <v>20.1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17213-2026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46119</v>
      </c>
      <c r="E1169" s="1" t="n">
        <v>46276</v>
      </c>
      <c r="F1169" t="inlineStr">
        <is>
          <t>DALARNAS LÄN</t>
        </is>
      </c>
      <c r="G1169" t="inlineStr">
        <is>
          <t>FALUN</t>
        </is>
      </c>
      <c r="I1169" t="n">
        <v>4.9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22634-2026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46155</v>
      </c>
      <c r="E1170" s="1" t="n">
        <v>46276</v>
      </c>
      <c r="F1170" t="inlineStr">
        <is>
          <t>DALARNAS LÄN</t>
        </is>
      </c>
      <c r="G1170" t="inlineStr">
        <is>
          <t>FALUN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22527-2026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46155</v>
      </c>
      <c r="E1171" s="1" t="n">
        <v>46276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6.7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53640-2024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45614</v>
      </c>
      <c r="E1172" s="1" t="n">
        <v>46276</v>
      </c>
      <c r="F1172" t="inlineStr">
        <is>
          <t>DALARNAS LÄN</t>
        </is>
      </c>
      <c r="G1172" t="inlineStr">
        <is>
          <t>FALUN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3209-2022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44582</v>
      </c>
      <c r="E1173" s="1" t="n">
        <v>46276</v>
      </c>
      <c r="F1173" t="inlineStr">
        <is>
          <t>DALARNAS LÄN</t>
        </is>
      </c>
      <c r="G1173" t="inlineStr">
        <is>
          <t>FALUN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22382-2026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46154</v>
      </c>
      <c r="E1174" s="1" t="n">
        <v>46276</v>
      </c>
      <c r="F1174" t="inlineStr">
        <is>
          <t>DALARNAS LÄN</t>
        </is>
      </c>
      <c r="G1174" t="inlineStr">
        <is>
          <t>FALUN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2711-2026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46037</v>
      </c>
      <c r="E1175" s="1" t="n">
        <v>46276</v>
      </c>
      <c r="F1175" t="inlineStr">
        <is>
          <t>DALARNAS LÄN</t>
        </is>
      </c>
      <c r="G1175" t="inlineStr">
        <is>
          <t>FALUN</t>
        </is>
      </c>
      <c r="I1175" t="n">
        <v>1.8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22658-2026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46155</v>
      </c>
      <c r="E1176" s="1" t="n">
        <v>46276</v>
      </c>
      <c r="F1176" t="inlineStr">
        <is>
          <t>DALARNAS LÄN</t>
        </is>
      </c>
      <c r="G1176" t="inlineStr">
        <is>
          <t>FALUN</t>
        </is>
      </c>
      <c r="I1176" t="n">
        <v>10.2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19717-2026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46134</v>
      </c>
      <c r="E1177" s="1" t="n">
        <v>46276</v>
      </c>
      <c r="F1177" t="inlineStr">
        <is>
          <t>DALARNAS LÄN</t>
        </is>
      </c>
      <c r="G1177" t="inlineStr">
        <is>
          <t>FALUN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3078-2026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46040</v>
      </c>
      <c r="E1178" s="1" t="n">
        <v>46276</v>
      </c>
      <c r="F1178" t="inlineStr">
        <is>
          <t>DALARNAS LÄN</t>
        </is>
      </c>
      <c r="G1178" t="inlineStr">
        <is>
          <t>FALUN</t>
        </is>
      </c>
      <c r="I1178" t="n">
        <v>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22477-2026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46155</v>
      </c>
      <c r="E1179" s="1" t="n">
        <v>46276</v>
      </c>
      <c r="F1179" t="inlineStr">
        <is>
          <t>DALARNAS LÄN</t>
        </is>
      </c>
      <c r="G1179" t="inlineStr">
        <is>
          <t>FALUN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1467-2026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46033</v>
      </c>
      <c r="E1180" s="1" t="n">
        <v>46276</v>
      </c>
      <c r="F1180" t="inlineStr">
        <is>
          <t>DALARNAS LÄN</t>
        </is>
      </c>
      <c r="G1180" t="inlineStr">
        <is>
          <t>FALUN</t>
        </is>
      </c>
      <c r="I1180" t="n">
        <v>1.1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22397-2026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46154</v>
      </c>
      <c r="E1181" s="1" t="n">
        <v>46276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22614-2026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46155</v>
      </c>
      <c r="E1182" s="1" t="n">
        <v>46276</v>
      </c>
      <c r="F1182" t="inlineStr">
        <is>
          <t>DALARNAS LÄN</t>
        </is>
      </c>
      <c r="G1182" t="inlineStr">
        <is>
          <t>FALUN</t>
        </is>
      </c>
      <c r="I1182" t="n">
        <v>4.1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22617-2026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46155</v>
      </c>
      <c r="E1183" s="1" t="n">
        <v>46276</v>
      </c>
      <c r="F1183" t="inlineStr">
        <is>
          <t>DALARNAS LÄN</t>
        </is>
      </c>
      <c r="G1183" t="inlineStr">
        <is>
          <t>FALUN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22622-2026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46155</v>
      </c>
      <c r="E1184" s="1" t="n">
        <v>46276</v>
      </c>
      <c r="F1184" t="inlineStr">
        <is>
          <t>DALARNAS LÄN</t>
        </is>
      </c>
      <c r="G1184" t="inlineStr">
        <is>
          <t>FALUN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10318-2024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45365</v>
      </c>
      <c r="E1185" s="1" t="n">
        <v>46276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22295-2026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46154</v>
      </c>
      <c r="E1186" s="1" t="n">
        <v>46276</v>
      </c>
      <c r="F1186" t="inlineStr">
        <is>
          <t>DALARNAS LÄN</t>
        </is>
      </c>
      <c r="G1186" t="inlineStr">
        <is>
          <t>FALUN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22368-2026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46154</v>
      </c>
      <c r="E1187" s="1" t="n">
        <v>46276</v>
      </c>
      <c r="F1187" t="inlineStr">
        <is>
          <t>DALARNAS LÄN</t>
        </is>
      </c>
      <c r="G1187" t="inlineStr">
        <is>
          <t>FALUN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22616-2026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46155</v>
      </c>
      <c r="E1188" s="1" t="n">
        <v>46276</v>
      </c>
      <c r="F1188" t="inlineStr">
        <is>
          <t>DALARNAS LÄN</t>
        </is>
      </c>
      <c r="G1188" t="inlineStr">
        <is>
          <t>FALUN</t>
        </is>
      </c>
      <c r="I1188" t="n">
        <v>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22430-2026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46276</v>
      </c>
      <c r="F1189" t="inlineStr">
        <is>
          <t>DALARNAS LÄN</t>
        </is>
      </c>
      <c r="G1189" t="inlineStr">
        <is>
          <t>FALUN</t>
        </is>
      </c>
      <c r="I1189" t="n">
        <v>1.2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17888-2026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46122</v>
      </c>
      <c r="E1190" s="1" t="n">
        <v>46276</v>
      </c>
      <c r="F1190" t="inlineStr">
        <is>
          <t>DALARNAS LÄN</t>
        </is>
      </c>
      <c r="G1190" t="inlineStr">
        <is>
          <t>FALUN</t>
        </is>
      </c>
      <c r="I1190" t="n">
        <v>6.3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11579-2024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45373</v>
      </c>
      <c r="E1191" s="1" t="n">
        <v>46276</v>
      </c>
      <c r="F1191" t="inlineStr">
        <is>
          <t>DALARNAS LÄN</t>
        </is>
      </c>
      <c r="G1191" t="inlineStr">
        <is>
          <t>FALUN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11584-2024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45373</v>
      </c>
      <c r="E1192" s="1" t="n">
        <v>46276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2.3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56136-2024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45624</v>
      </c>
      <c r="E1193" s="1" t="n">
        <v>46276</v>
      </c>
      <c r="F1193" t="inlineStr">
        <is>
          <t>DALARNAS LÄN</t>
        </is>
      </c>
      <c r="G1193" t="inlineStr">
        <is>
          <t>FALUN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56141-2024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45624</v>
      </c>
      <c r="E1194" s="1" t="n">
        <v>46276</v>
      </c>
      <c r="F1194" t="inlineStr">
        <is>
          <t>DALARNAS LÄN</t>
        </is>
      </c>
      <c r="G1194" t="inlineStr">
        <is>
          <t>FALUN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14658-2026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46101</v>
      </c>
      <c r="E1195" s="1" t="n">
        <v>46276</v>
      </c>
      <c r="F1195" t="inlineStr">
        <is>
          <t>DALARNAS LÄN</t>
        </is>
      </c>
      <c r="G1195" t="inlineStr">
        <is>
          <t>FALUN</t>
        </is>
      </c>
      <c r="I1195" t="n">
        <v>4.1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6789-2026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46057</v>
      </c>
      <c r="E1196" s="1" t="n">
        <v>46276</v>
      </c>
      <c r="F1196" t="inlineStr">
        <is>
          <t>DALARNAS LÄN</t>
        </is>
      </c>
      <c r="G1196" t="inlineStr">
        <is>
          <t>FALUN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16454-2026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46112</v>
      </c>
      <c r="E1197" s="1" t="n">
        <v>46276</v>
      </c>
      <c r="F1197" t="inlineStr">
        <is>
          <t>DALARNAS LÄN</t>
        </is>
      </c>
      <c r="G1197" t="inlineStr">
        <is>
          <t>FALUN</t>
        </is>
      </c>
      <c r="I1197" t="n">
        <v>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22624-2026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46155</v>
      </c>
      <c r="E1198" s="1" t="n">
        <v>46276</v>
      </c>
      <c r="F1198" t="inlineStr">
        <is>
          <t>DALARNAS LÄN</t>
        </is>
      </c>
      <c r="G1198" t="inlineStr">
        <is>
          <t>FALUN</t>
        </is>
      </c>
      <c r="I1198" t="n">
        <v>1.1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22299-2026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46154</v>
      </c>
      <c r="E1199" s="1" t="n">
        <v>46276</v>
      </c>
      <c r="F1199" t="inlineStr">
        <is>
          <t>DALARNAS LÄN</t>
        </is>
      </c>
      <c r="G1199" t="inlineStr">
        <is>
          <t>FALUN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22322-2026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46154</v>
      </c>
      <c r="E1200" s="1" t="n">
        <v>46276</v>
      </c>
      <c r="F1200" t="inlineStr">
        <is>
          <t>DALARNAS LÄN</t>
        </is>
      </c>
      <c r="G1200" t="inlineStr">
        <is>
          <t>FALUN</t>
        </is>
      </c>
      <c r="I1200" t="n">
        <v>7.1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14511-2026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46100</v>
      </c>
      <c r="E1201" s="1" t="n">
        <v>46276</v>
      </c>
      <c r="F1201" t="inlineStr">
        <is>
          <t>DALARNAS LÄN</t>
        </is>
      </c>
      <c r="G1201" t="inlineStr">
        <is>
          <t>FALUN</t>
        </is>
      </c>
      <c r="I1201" t="n">
        <v>3.7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15714-2026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46107</v>
      </c>
      <c r="E1202" s="1" t="n">
        <v>46276</v>
      </c>
      <c r="F1202" t="inlineStr">
        <is>
          <t>DALARNAS LÄN</t>
        </is>
      </c>
      <c r="G1202" t="inlineStr">
        <is>
          <t>FALUN</t>
        </is>
      </c>
      <c r="I1202" t="n">
        <v>6.3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7755-2024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45349</v>
      </c>
      <c r="E1203" s="1" t="n">
        <v>46276</v>
      </c>
      <c r="F1203" t="inlineStr">
        <is>
          <t>DALARNAS LÄN</t>
        </is>
      </c>
      <c r="G1203" t="inlineStr">
        <is>
          <t>FALUN</t>
        </is>
      </c>
      <c r="I1203" t="n">
        <v>0.3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18714-2026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46128</v>
      </c>
      <c r="E1204" s="1" t="n">
        <v>46276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22694-2026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46156</v>
      </c>
      <c r="E1205" s="1" t="n">
        <v>46276</v>
      </c>
      <c r="F1205" t="inlineStr">
        <is>
          <t>DALARNAS LÄN</t>
        </is>
      </c>
      <c r="G1205" t="inlineStr">
        <is>
          <t>FALUN</t>
        </is>
      </c>
      <c r="I1205" t="n">
        <v>10.2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22715-2026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46156</v>
      </c>
      <c r="E1206" s="1" t="n">
        <v>46276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22696-2026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46156</v>
      </c>
      <c r="E1207" s="1" t="n">
        <v>46276</v>
      </c>
      <c r="F1207" t="inlineStr">
        <is>
          <t>DALARNAS LÄN</t>
        </is>
      </c>
      <c r="G1207" t="inlineStr">
        <is>
          <t>FALUN</t>
        </is>
      </c>
      <c r="I1207" t="n">
        <v>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22907-2026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46160</v>
      </c>
      <c r="E1208" s="1" t="n">
        <v>46276</v>
      </c>
      <c r="F1208" t="inlineStr">
        <is>
          <t>DALARNAS LÄN</t>
        </is>
      </c>
      <c r="G1208" t="inlineStr">
        <is>
          <t>FALUN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12926-2025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45734</v>
      </c>
      <c r="E1209" s="1" t="n">
        <v>46276</v>
      </c>
      <c r="F1209" t="inlineStr">
        <is>
          <t>DALARNAS LÄN</t>
        </is>
      </c>
      <c r="G1209" t="inlineStr">
        <is>
          <t>FALUN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6747-2026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46056</v>
      </c>
      <c r="E1210" s="1" t="n">
        <v>46276</v>
      </c>
      <c r="F1210" t="inlineStr">
        <is>
          <t>DALARNAS LÄN</t>
        </is>
      </c>
      <c r="G1210" t="inlineStr">
        <is>
          <t>FALUN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11712-2026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46084</v>
      </c>
      <c r="E1211" s="1" t="n">
        <v>46276</v>
      </c>
      <c r="F1211" t="inlineStr">
        <is>
          <t>DALARNAS LÄN</t>
        </is>
      </c>
      <c r="G1211" t="inlineStr">
        <is>
          <t>FALUN</t>
        </is>
      </c>
      <c r="H1211" t="inlineStr">
        <is>
          <t>Bergvik skog väst AB</t>
        </is>
      </c>
      <c r="I1211" t="n">
        <v>5.9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23156-2026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46161</v>
      </c>
      <c r="E1212" s="1" t="n">
        <v>46276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8.1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23158-2026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46161</v>
      </c>
      <c r="E1213" s="1" t="n">
        <v>46276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23159-2026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46161</v>
      </c>
      <c r="E1214" s="1" t="n">
        <v>46276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2.9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22967-2026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46160</v>
      </c>
      <c r="E1215" s="1" t="n">
        <v>46276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5311-2025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45692</v>
      </c>
      <c r="E1216" s="1" t="n">
        <v>46276</v>
      </c>
      <c r="F1216" t="inlineStr">
        <is>
          <t>DALARNAS LÄN</t>
        </is>
      </c>
      <c r="G1216" t="inlineStr">
        <is>
          <t>FALUN</t>
        </is>
      </c>
      <c r="I1216" t="n">
        <v>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23044-2026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46161</v>
      </c>
      <c r="E1217" s="1" t="n">
        <v>46276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22881-2026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46160</v>
      </c>
      <c r="E1218" s="1" t="n">
        <v>46276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47328-2023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45202</v>
      </c>
      <c r="E1219" s="1" t="n">
        <v>46276</v>
      </c>
      <c r="F1219" t="inlineStr">
        <is>
          <t>DALARNAS LÄN</t>
        </is>
      </c>
      <c r="G1219" t="inlineStr">
        <is>
          <t>FALUN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22927-2026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46160</v>
      </c>
      <c r="E1220" s="1" t="n">
        <v>46276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22857-2026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46276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20448-2026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46140</v>
      </c>
      <c r="E1222" s="1" t="n">
        <v>46276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22820-2026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46160</v>
      </c>
      <c r="E1223" s="1" t="n">
        <v>46276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22961-2026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46160</v>
      </c>
      <c r="E1224" s="1" t="n">
        <v>46276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23475-2026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46163</v>
      </c>
      <c r="E1225" s="1" t="n">
        <v>46276</v>
      </c>
      <c r="F1225" t="inlineStr">
        <is>
          <t>DALARNAS LÄN</t>
        </is>
      </c>
      <c r="G1225" t="inlineStr">
        <is>
          <t>FALUN</t>
        </is>
      </c>
      <c r="I1225" t="n">
        <v>3.7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23219-2026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46162</v>
      </c>
      <c r="E1226" s="1" t="n">
        <v>46276</v>
      </c>
      <c r="F1226" t="inlineStr">
        <is>
          <t>DALARNAS LÄN</t>
        </is>
      </c>
      <c r="G1226" t="inlineStr">
        <is>
          <t>FALUN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23271-2026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46162</v>
      </c>
      <c r="E1227" s="1" t="n">
        <v>46276</v>
      </c>
      <c r="F1227" t="inlineStr">
        <is>
          <t>DALARNAS LÄN</t>
        </is>
      </c>
      <c r="G1227" t="inlineStr">
        <is>
          <t>FALUN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23511-2026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46163</v>
      </c>
      <c r="E1228" s="1" t="n">
        <v>46276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16.9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23521-2026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46163</v>
      </c>
      <c r="E1229" s="1" t="n">
        <v>46276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2.2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23604-2026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46163</v>
      </c>
      <c r="E1230" s="1" t="n">
        <v>46276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23227-2026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46162</v>
      </c>
      <c r="E1231" s="1" t="n">
        <v>46276</v>
      </c>
      <c r="F1231" t="inlineStr">
        <is>
          <t>DALARNAS LÄN</t>
        </is>
      </c>
      <c r="G1231" t="inlineStr">
        <is>
          <t>FALUN</t>
        </is>
      </c>
      <c r="H1231" t="inlineStr">
        <is>
          <t>Bergvik skog väst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47767-2024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45588</v>
      </c>
      <c r="E1232" s="1" t="n">
        <v>46276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3.8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23600-2026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46163</v>
      </c>
      <c r="E1233" s="1" t="n">
        <v>46276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15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23592-2026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46163</v>
      </c>
      <c r="E1234" s="1" t="n">
        <v>46276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23593-2026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46163</v>
      </c>
      <c r="E1235" s="1" t="n">
        <v>46276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48589-2024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45593</v>
      </c>
      <c r="E1236" s="1" t="n">
        <v>46276</v>
      </c>
      <c r="F1236" t="inlineStr">
        <is>
          <t>DALARNAS LÄN</t>
        </is>
      </c>
      <c r="G1236" t="inlineStr">
        <is>
          <t>FALUN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23597-2026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46163</v>
      </c>
      <c r="E1237" s="1" t="n">
        <v>46276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9.199999999999999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23210-2026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46162</v>
      </c>
      <c r="E1238" s="1" t="n">
        <v>46276</v>
      </c>
      <c r="F1238" t="inlineStr">
        <is>
          <t>DALARNAS LÄN</t>
        </is>
      </c>
      <c r="G1238" t="inlineStr">
        <is>
          <t>FALUN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23611-2026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46163</v>
      </c>
      <c r="E1239" s="1" t="n">
        <v>46276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50123-2024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45600</v>
      </c>
      <c r="E1240" s="1" t="n">
        <v>46276</v>
      </c>
      <c r="F1240" t="inlineStr">
        <is>
          <t>DALARNAS LÄN</t>
        </is>
      </c>
      <c r="G1240" t="inlineStr">
        <is>
          <t>FALUN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16888-2024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45411</v>
      </c>
      <c r="E1241" s="1" t="n">
        <v>46276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6.1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50266-2024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45600</v>
      </c>
      <c r="E1242" s="1" t="n">
        <v>46276</v>
      </c>
      <c r="F1242" t="inlineStr">
        <is>
          <t>DALARNAS LÄN</t>
        </is>
      </c>
      <c r="G1242" t="inlineStr">
        <is>
          <t>FALUN</t>
        </is>
      </c>
      <c r="I1242" t="n">
        <v>5.4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23211-2026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46162</v>
      </c>
      <c r="E1243" s="1" t="n">
        <v>46276</v>
      </c>
      <c r="F1243" t="inlineStr">
        <is>
          <t>DALARNAS LÄN</t>
        </is>
      </c>
      <c r="G1243" t="inlineStr">
        <is>
          <t>FALUN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23282-2026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46162</v>
      </c>
      <c r="E1244" s="1" t="n">
        <v>46276</v>
      </c>
      <c r="F1244" t="inlineStr">
        <is>
          <t>DALARNAS LÄN</t>
        </is>
      </c>
      <c r="G1244" t="inlineStr">
        <is>
          <t>FALUN</t>
        </is>
      </c>
      <c r="I1244" t="n">
        <v>2.1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1466-2023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44937</v>
      </c>
      <c r="E1245" s="1" t="n">
        <v>46276</v>
      </c>
      <c r="F1245" t="inlineStr">
        <is>
          <t>DALARNAS LÄN</t>
        </is>
      </c>
      <c r="G1245" t="inlineStr">
        <is>
          <t>FALUN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23650-2026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46164</v>
      </c>
      <c r="E1246" s="1" t="n">
        <v>46276</v>
      </c>
      <c r="F1246" t="inlineStr">
        <is>
          <t>DALARNAS LÄN</t>
        </is>
      </c>
      <c r="G1246" t="inlineStr">
        <is>
          <t>FALUN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23680-2026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46164</v>
      </c>
      <c r="E1247" s="1" t="n">
        <v>46276</v>
      </c>
      <c r="F1247" t="inlineStr">
        <is>
          <t>DALARNAS LÄN</t>
        </is>
      </c>
      <c r="G1247" t="inlineStr">
        <is>
          <t>FALUN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23694-2026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46164</v>
      </c>
      <c r="E1248" s="1" t="n">
        <v>46276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24020-2026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46167</v>
      </c>
      <c r="E1249" s="1" t="n">
        <v>46276</v>
      </c>
      <c r="F1249" t="inlineStr">
        <is>
          <t>DALARNAS LÄN</t>
        </is>
      </c>
      <c r="G1249" t="inlineStr">
        <is>
          <t>FALUN</t>
        </is>
      </c>
      <c r="I1249" t="n">
        <v>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54082-2023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45232</v>
      </c>
      <c r="E1250" s="1" t="n">
        <v>46276</v>
      </c>
      <c r="F1250" t="inlineStr">
        <is>
          <t>DALARNAS LÄN</t>
        </is>
      </c>
      <c r="G1250" t="inlineStr">
        <is>
          <t>FALUN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23842-2026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46167</v>
      </c>
      <c r="E1251" s="1" t="n">
        <v>46276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23660-2026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46164</v>
      </c>
      <c r="E1252" s="1" t="n">
        <v>46276</v>
      </c>
      <c r="F1252" t="inlineStr">
        <is>
          <t>DALARNAS LÄN</t>
        </is>
      </c>
      <c r="G1252" t="inlineStr">
        <is>
          <t>FALUN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24016-2026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46167</v>
      </c>
      <c r="E1253" s="1" t="n">
        <v>46276</v>
      </c>
      <c r="F1253" t="inlineStr">
        <is>
          <t>DALARNAS LÄN</t>
        </is>
      </c>
      <c r="G1253" t="inlineStr">
        <is>
          <t>FALUN</t>
        </is>
      </c>
      <c r="I1253" t="n">
        <v>9.9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24023-2026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46167</v>
      </c>
      <c r="E1254" s="1" t="n">
        <v>46276</v>
      </c>
      <c r="F1254" t="inlineStr">
        <is>
          <t>DALARNAS LÄN</t>
        </is>
      </c>
      <c r="G1254" t="inlineStr">
        <is>
          <t>FALUN</t>
        </is>
      </c>
      <c r="H1254" t="inlineStr">
        <is>
          <t>Bergvik skog väst AB</t>
        </is>
      </c>
      <c r="I1254" t="n">
        <v>10.6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55542-2023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45238</v>
      </c>
      <c r="E1255" s="1" t="n">
        <v>46276</v>
      </c>
      <c r="F1255" t="inlineStr">
        <is>
          <t>DALARNAS LÄN</t>
        </is>
      </c>
      <c r="G1255" t="inlineStr">
        <is>
          <t>FALUN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23696-2026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46164</v>
      </c>
      <c r="E1256" s="1" t="n">
        <v>46276</v>
      </c>
      <c r="F1256" t="inlineStr">
        <is>
          <t>DALARNAS LÄN</t>
        </is>
      </c>
      <c r="G1256" t="inlineStr">
        <is>
          <t>FALUN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24694-2023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45084</v>
      </c>
      <c r="E1257" s="1" t="n">
        <v>46276</v>
      </c>
      <c r="F1257" t="inlineStr">
        <is>
          <t>DALARNAS LÄN</t>
        </is>
      </c>
      <c r="G1257" t="inlineStr">
        <is>
          <t>FALUN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23706-2026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46164</v>
      </c>
      <c r="E1258" s="1" t="n">
        <v>46276</v>
      </c>
      <c r="F1258" t="inlineStr">
        <is>
          <t>DALARNAS LÄN</t>
        </is>
      </c>
      <c r="G1258" t="inlineStr">
        <is>
          <t>FALUN</t>
        </is>
      </c>
      <c r="I1258" t="n">
        <v>1.6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20350-2026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46139</v>
      </c>
      <c r="E1259" s="1" t="n">
        <v>46276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58.4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24004-2026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46167</v>
      </c>
      <c r="E1260" s="1" t="n">
        <v>46276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9.5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24186-2026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46168</v>
      </c>
      <c r="E1261" s="1" t="n">
        <v>46276</v>
      </c>
      <c r="F1261" t="inlineStr">
        <is>
          <t>DALARNAS LÄN</t>
        </is>
      </c>
      <c r="G1261" t="inlineStr">
        <is>
          <t>FALUN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24130-2026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46168</v>
      </c>
      <c r="E1262" s="1" t="n">
        <v>46276</v>
      </c>
      <c r="F1262" t="inlineStr">
        <is>
          <t>DALARNAS LÄN</t>
        </is>
      </c>
      <c r="G1262" t="inlineStr">
        <is>
          <t>FALUN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24169-2026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46168</v>
      </c>
      <c r="E1263" s="1" t="n">
        <v>46276</v>
      </c>
      <c r="F1263" t="inlineStr">
        <is>
          <t>DALARNAS LÄN</t>
        </is>
      </c>
      <c r="G1263" t="inlineStr">
        <is>
          <t>FALUN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24268-2026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46169</v>
      </c>
      <c r="E1264" s="1" t="n">
        <v>46276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10482-2026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46077</v>
      </c>
      <c r="E1265" s="1" t="n">
        <v>46276</v>
      </c>
      <c r="F1265" t="inlineStr">
        <is>
          <t>DALARNAS LÄN</t>
        </is>
      </c>
      <c r="G1265" t="inlineStr">
        <is>
          <t>FALUN</t>
        </is>
      </c>
      <c r="H1265" t="inlineStr">
        <is>
          <t>Kyrkan</t>
        </is>
      </c>
      <c r="I1265" t="n">
        <v>5.1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24358-2026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46169</v>
      </c>
      <c r="E1266" s="1" t="n">
        <v>46276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11724-2026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46084</v>
      </c>
      <c r="E1267" s="1" t="n">
        <v>46276</v>
      </c>
      <c r="F1267" t="inlineStr">
        <is>
          <t>DALARNAS LÄN</t>
        </is>
      </c>
      <c r="G1267" t="inlineStr">
        <is>
          <t>FALUN</t>
        </is>
      </c>
      <c r="I1267" t="n">
        <v>4.2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58508-2022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44902</v>
      </c>
      <c r="E1268" s="1" t="n">
        <v>46276</v>
      </c>
      <c r="F1268" t="inlineStr">
        <is>
          <t>DALARNAS LÄN</t>
        </is>
      </c>
      <c r="G1268" t="inlineStr">
        <is>
          <t>FALUN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24046-2026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46168</v>
      </c>
      <c r="E1269" s="1" t="n">
        <v>46276</v>
      </c>
      <c r="F1269" t="inlineStr">
        <is>
          <t>DALARNAS LÄN</t>
        </is>
      </c>
      <c r="G1269" t="inlineStr">
        <is>
          <t>FALUN</t>
        </is>
      </c>
      <c r="H1269" t="inlineStr">
        <is>
          <t>Bergvik skog väst AB</t>
        </is>
      </c>
      <c r="I1269" t="n">
        <v>2.7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22941-2023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45072</v>
      </c>
      <c r="E1270" s="1" t="n">
        <v>46276</v>
      </c>
      <c r="F1270" t="inlineStr">
        <is>
          <t>DALARNAS LÄN</t>
        </is>
      </c>
      <c r="G1270" t="inlineStr">
        <is>
          <t>FALUN</t>
        </is>
      </c>
      <c r="I1270" t="n">
        <v>0.8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24226-2026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46168</v>
      </c>
      <c r="E1271" s="1" t="n">
        <v>46276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14.6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24095-2026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46168</v>
      </c>
      <c r="E1272" s="1" t="n">
        <v>46276</v>
      </c>
      <c r="F1272" t="inlineStr">
        <is>
          <t>DALARNAS LÄN</t>
        </is>
      </c>
      <c r="G1272" t="inlineStr">
        <is>
          <t>FALUN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4294-2025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45685</v>
      </c>
      <c r="E1273" s="1" t="n">
        <v>46276</v>
      </c>
      <c r="F1273" t="inlineStr">
        <is>
          <t>DALARNAS LÄN</t>
        </is>
      </c>
      <c r="G1273" t="inlineStr">
        <is>
          <t>FALUN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24192-2026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46168</v>
      </c>
      <c r="E1274" s="1" t="n">
        <v>46276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5225-2026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46049</v>
      </c>
      <c r="E1275" s="1" t="n">
        <v>46276</v>
      </c>
      <c r="F1275" t="inlineStr">
        <is>
          <t>DALARNAS LÄN</t>
        </is>
      </c>
      <c r="G1275" t="inlineStr">
        <is>
          <t>FALUN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24364-2026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46169</v>
      </c>
      <c r="E1276" s="1" t="n">
        <v>46276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51.1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2333-2026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46036</v>
      </c>
      <c r="E1277" s="1" t="n">
        <v>46276</v>
      </c>
      <c r="F1277" t="inlineStr">
        <is>
          <t>DALARNAS LÄN</t>
        </is>
      </c>
      <c r="G1277" t="inlineStr">
        <is>
          <t>FALUN</t>
        </is>
      </c>
      <c r="I1277" t="n">
        <v>2.9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4020-2026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46044</v>
      </c>
      <c r="E1278" s="1" t="n">
        <v>46276</v>
      </c>
      <c r="F1278" t="inlineStr">
        <is>
          <t>DALARNAS LÄN</t>
        </is>
      </c>
      <c r="G1278" t="inlineStr">
        <is>
          <t>FALUN</t>
        </is>
      </c>
      <c r="H1278" t="inlineStr">
        <is>
          <t>Kyrkan</t>
        </is>
      </c>
      <c r="I1278" t="n">
        <v>21.5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24316-2026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46169</v>
      </c>
      <c r="E1279" s="1" t="n">
        <v>46276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4.5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12781-2026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46091</v>
      </c>
      <c r="E1280" s="1" t="n">
        <v>46276</v>
      </c>
      <c r="F1280" t="inlineStr">
        <is>
          <t>DALARNAS LÄN</t>
        </is>
      </c>
      <c r="G1280" t="inlineStr">
        <is>
          <t>FALUN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53540-2022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44879</v>
      </c>
      <c r="E1281" s="1" t="n">
        <v>46276</v>
      </c>
      <c r="F1281" t="inlineStr">
        <is>
          <t>DALARNAS LÄN</t>
        </is>
      </c>
      <c r="G1281" t="inlineStr">
        <is>
          <t>FALUN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41370-2025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45900</v>
      </c>
      <c r="E1282" s="1" t="n">
        <v>46276</v>
      </c>
      <c r="F1282" t="inlineStr">
        <is>
          <t>DALARNAS LÄN</t>
        </is>
      </c>
      <c r="G1282" t="inlineStr">
        <is>
          <t>FALUN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10834-2023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44991</v>
      </c>
      <c r="E1283" s="1" t="n">
        <v>46276</v>
      </c>
      <c r="F1283" t="inlineStr">
        <is>
          <t>DALARNAS LÄN</t>
        </is>
      </c>
      <c r="G1283" t="inlineStr">
        <is>
          <t>FALUN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1015-2026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46030</v>
      </c>
      <c r="E1284" s="1" t="n">
        <v>46276</v>
      </c>
      <c r="F1284" t="inlineStr">
        <is>
          <t>DALARNAS LÄN</t>
        </is>
      </c>
      <c r="G1284" t="inlineStr">
        <is>
          <t>FALUN</t>
        </is>
      </c>
      <c r="I1284" t="n">
        <v>3.6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24025-2026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46276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4.5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46276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24589-2026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46170</v>
      </c>
      <c r="E1287" s="1" t="n">
        <v>46276</v>
      </c>
      <c r="F1287" t="inlineStr">
        <is>
          <t>DALARNAS LÄN</t>
        </is>
      </c>
      <c r="G1287" t="inlineStr">
        <is>
          <t>FALUN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24507-2026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46170</v>
      </c>
      <c r="E1288" s="1" t="n">
        <v>46276</v>
      </c>
      <c r="F1288" t="inlineStr">
        <is>
          <t>DALARNAS LÄN</t>
        </is>
      </c>
      <c r="G1288" t="inlineStr">
        <is>
          <t>FALUN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35981-2022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44802</v>
      </c>
      <c r="E1289" s="1" t="n">
        <v>46276</v>
      </c>
      <c r="F1289" t="inlineStr">
        <is>
          <t>DALARNAS LÄN</t>
        </is>
      </c>
      <c r="G1289" t="inlineStr">
        <is>
          <t>FALUN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41933-2024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45561</v>
      </c>
      <c r="E1290" s="1" t="n">
        <v>46276</v>
      </c>
      <c r="F1290" t="inlineStr">
        <is>
          <t>DALARNAS LÄN</t>
        </is>
      </c>
      <c r="G1290" t="inlineStr">
        <is>
          <t>FALUN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44531-2024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45574</v>
      </c>
      <c r="E1291" s="1" t="n">
        <v>46276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45665-2024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45579</v>
      </c>
      <c r="E1292" s="1" t="n">
        <v>46276</v>
      </c>
      <c r="F1292" t="inlineStr">
        <is>
          <t>DALARNAS LÄN</t>
        </is>
      </c>
      <c r="G1292" t="inlineStr">
        <is>
          <t>FALUN</t>
        </is>
      </c>
      <c r="I1292" t="n">
        <v>0.3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12847-2025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45733</v>
      </c>
      <c r="E1293" s="1" t="n">
        <v>46276</v>
      </c>
      <c r="F1293" t="inlineStr">
        <is>
          <t>DALARNAS LÄN</t>
        </is>
      </c>
      <c r="G1293" t="inlineStr">
        <is>
          <t>FALUN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24653-2026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46171</v>
      </c>
      <c r="E1294" s="1" t="n">
        <v>46276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4.9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24675-2026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46171</v>
      </c>
      <c r="E1295" s="1" t="n">
        <v>46276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3185-2026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46041</v>
      </c>
      <c r="E1296" s="1" t="n">
        <v>46276</v>
      </c>
      <c r="F1296" t="inlineStr">
        <is>
          <t>DALARNAS LÄN</t>
        </is>
      </c>
      <c r="G1296" t="inlineStr">
        <is>
          <t>FALUN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24766-2026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46171</v>
      </c>
      <c r="E1297" s="1" t="n">
        <v>46276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13567-2024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45389</v>
      </c>
      <c r="E1298" s="1" t="n">
        <v>46276</v>
      </c>
      <c r="F1298" t="inlineStr">
        <is>
          <t>DALARNAS LÄN</t>
        </is>
      </c>
      <c r="G1298" t="inlineStr">
        <is>
          <t>FALUN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49642-2024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45596</v>
      </c>
      <c r="E1299" s="1" t="n">
        <v>46276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49663-2024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45596</v>
      </c>
      <c r="E1300" s="1" t="n">
        <v>46276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24978-2026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46174</v>
      </c>
      <c r="E1301" s="1" t="n">
        <v>46276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23217-2026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46162</v>
      </c>
      <c r="E1302" s="1" t="n">
        <v>46276</v>
      </c>
      <c r="F1302" t="inlineStr">
        <is>
          <t>DALARNAS LÄN</t>
        </is>
      </c>
      <c r="G1302" t="inlineStr">
        <is>
          <t>FALUN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33548-2022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44789</v>
      </c>
      <c r="E1303" s="1" t="n">
        <v>46276</v>
      </c>
      <c r="F1303" t="inlineStr">
        <is>
          <t>DALARNAS LÄN</t>
        </is>
      </c>
      <c r="G1303" t="inlineStr">
        <is>
          <t>FALUN</t>
        </is>
      </c>
      <c r="I1303" t="n">
        <v>4.7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24935-2026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46174</v>
      </c>
      <c r="E1304" s="1" t="n">
        <v>46276</v>
      </c>
      <c r="F1304" t="inlineStr">
        <is>
          <t>DALARNAS LÄN</t>
        </is>
      </c>
      <c r="G1304" t="inlineStr">
        <is>
          <t>FALUN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1306-2026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46031</v>
      </c>
      <c r="E1305" s="1" t="n">
        <v>46276</v>
      </c>
      <c r="F1305" t="inlineStr">
        <is>
          <t>DALARNAS LÄN</t>
        </is>
      </c>
      <c r="G1305" t="inlineStr">
        <is>
          <t>FALUN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24789-2026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46171</v>
      </c>
      <c r="E1306" s="1" t="n">
        <v>46276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0.7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24797-2026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46171</v>
      </c>
      <c r="E1307" s="1" t="n">
        <v>46276</v>
      </c>
      <c r="F1307" t="inlineStr">
        <is>
          <t>DALARNAS LÄN</t>
        </is>
      </c>
      <c r="G1307" t="inlineStr">
        <is>
          <t>FALUN</t>
        </is>
      </c>
      <c r="I1307" t="n">
        <v>4.8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39135-2022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44817</v>
      </c>
      <c r="E1308" s="1" t="n">
        <v>46276</v>
      </c>
      <c r="F1308" t="inlineStr">
        <is>
          <t>DALARNAS LÄN</t>
        </is>
      </c>
      <c r="G1308" t="inlineStr">
        <is>
          <t>FALUN</t>
        </is>
      </c>
      <c r="I1308" t="n">
        <v>3.4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25032-2026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46174</v>
      </c>
      <c r="E1309" s="1" t="n">
        <v>46276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4.7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24934-2026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46174</v>
      </c>
      <c r="E1310" s="1" t="n">
        <v>46276</v>
      </c>
      <c r="F1310" t="inlineStr">
        <is>
          <t>DALARNAS LÄN</t>
        </is>
      </c>
      <c r="G1310" t="inlineStr">
        <is>
          <t>FALUN</t>
        </is>
      </c>
      <c r="I1310" t="n">
        <v>1.4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33912-2024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45523</v>
      </c>
      <c r="E1311" s="1" t="n">
        <v>46276</v>
      </c>
      <c r="F1311" t="inlineStr">
        <is>
          <t>DALARNAS LÄN</t>
        </is>
      </c>
      <c r="G1311" t="inlineStr">
        <is>
          <t>FALUN</t>
        </is>
      </c>
      <c r="H1311" t="inlineStr">
        <is>
          <t>Allmännings- och besparingsskogar</t>
        </is>
      </c>
      <c r="I1311" t="n">
        <v>3.6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58343-2023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45250</v>
      </c>
      <c r="E1312" s="1" t="n">
        <v>46276</v>
      </c>
      <c r="F1312" t="inlineStr">
        <is>
          <t>DALARNAS LÄN</t>
        </is>
      </c>
      <c r="G1312" t="inlineStr">
        <is>
          <t>FALUN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58388-2023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45250</v>
      </c>
      <c r="E1313" s="1" t="n">
        <v>46276</v>
      </c>
      <c r="F1313" t="inlineStr">
        <is>
          <t>DALARNAS LÄN</t>
        </is>
      </c>
      <c r="G1313" t="inlineStr">
        <is>
          <t>FALUN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24662-2026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46171</v>
      </c>
      <c r="E1314" s="1" t="n">
        <v>46276</v>
      </c>
      <c r="F1314" t="inlineStr">
        <is>
          <t>DALARNAS LÄN</t>
        </is>
      </c>
      <c r="G1314" t="inlineStr">
        <is>
          <t>FALUN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24671-2026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46171</v>
      </c>
      <c r="E1315" s="1" t="n">
        <v>46276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4.3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24779-2026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46171</v>
      </c>
      <c r="E1316" s="1" t="n">
        <v>46276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10523-2023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44987</v>
      </c>
      <c r="E1317" s="1" t="n">
        <v>46276</v>
      </c>
      <c r="F1317" t="inlineStr">
        <is>
          <t>DALARNAS LÄN</t>
        </is>
      </c>
      <c r="G1317" t="inlineStr">
        <is>
          <t>FALUN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26770-2024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45470</v>
      </c>
      <c r="E1318" s="1" t="n">
        <v>46276</v>
      </c>
      <c r="F1318" t="inlineStr">
        <is>
          <t>DALARNAS LÄN</t>
        </is>
      </c>
      <c r="G1318" t="inlineStr">
        <is>
          <t>FALUN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25307-2026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46176</v>
      </c>
      <c r="E1319" s="1" t="n">
        <v>46276</v>
      </c>
      <c r="F1319" t="inlineStr">
        <is>
          <t>DALARNAS LÄN</t>
        </is>
      </c>
      <c r="G1319" t="inlineStr">
        <is>
          <t>FALUN</t>
        </is>
      </c>
      <c r="H1319" t="inlineStr">
        <is>
          <t>Sveaskog</t>
        </is>
      </c>
      <c r="I1319" t="n">
        <v>4.1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29084-2023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45105</v>
      </c>
      <c r="E1320" s="1" t="n">
        <v>46276</v>
      </c>
      <c r="F1320" t="inlineStr">
        <is>
          <t>DALARNAS LÄN</t>
        </is>
      </c>
      <c r="G1320" t="inlineStr">
        <is>
          <t>FALUN</t>
        </is>
      </c>
      <c r="I1320" t="n">
        <v>1.7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25344-2026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46176</v>
      </c>
      <c r="E1321" s="1" t="n">
        <v>46276</v>
      </c>
      <c r="F1321" t="inlineStr">
        <is>
          <t>DALARNAS LÄN</t>
        </is>
      </c>
      <c r="G1321" t="inlineStr">
        <is>
          <t>FALUN</t>
        </is>
      </c>
      <c r="I1321" t="n">
        <v>2.2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25550-2026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46177</v>
      </c>
      <c r="E1322" s="1" t="n">
        <v>46276</v>
      </c>
      <c r="F1322" t="inlineStr">
        <is>
          <t>DALARNAS LÄN</t>
        </is>
      </c>
      <c r="G1322" t="inlineStr">
        <is>
          <t>FALUN</t>
        </is>
      </c>
      <c r="I1322" t="n">
        <v>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25358-2026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46176</v>
      </c>
      <c r="E1323" s="1" t="n">
        <v>46276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31084-2023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45113</v>
      </c>
      <c r="E1324" s="1" t="n">
        <v>46276</v>
      </c>
      <c r="F1324" t="inlineStr">
        <is>
          <t>DALARNAS LÄN</t>
        </is>
      </c>
      <c r="G1324" t="inlineStr">
        <is>
          <t>FALUN</t>
        </is>
      </c>
      <c r="I1324" t="n">
        <v>1.4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25217-2026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46175</v>
      </c>
      <c r="E1325" s="1" t="n">
        <v>46276</v>
      </c>
      <c r="F1325" t="inlineStr">
        <is>
          <t>DALARNAS LÄN</t>
        </is>
      </c>
      <c r="G1325" t="inlineStr">
        <is>
          <t>FALUN</t>
        </is>
      </c>
      <c r="I1325" t="n">
        <v>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25893-2026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46178</v>
      </c>
      <c r="E1326" s="1" t="n">
        <v>46276</v>
      </c>
      <c r="F1326" t="inlineStr">
        <is>
          <t>DALARNAS LÄN</t>
        </is>
      </c>
      <c r="G1326" t="inlineStr">
        <is>
          <t>FALUN</t>
        </is>
      </c>
      <c r="I1326" t="n">
        <v>6.7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25668-2026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46178</v>
      </c>
      <c r="E1327" s="1" t="n">
        <v>46276</v>
      </c>
      <c r="F1327" t="inlineStr">
        <is>
          <t>DALARNAS LÄN</t>
        </is>
      </c>
      <c r="G1327" t="inlineStr">
        <is>
          <t>FALUN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25673-2026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46178</v>
      </c>
      <c r="E1328" s="1" t="n">
        <v>46276</v>
      </c>
      <c r="F1328" t="inlineStr">
        <is>
          <t>DALARNAS LÄN</t>
        </is>
      </c>
      <c r="G1328" t="inlineStr">
        <is>
          <t>FALUN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17751-2026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46276</v>
      </c>
      <c r="F1329" t="inlineStr">
        <is>
          <t>DALARNAS LÄN</t>
        </is>
      </c>
      <c r="G1329" t="inlineStr">
        <is>
          <t>FALUN</t>
        </is>
      </c>
      <c r="I1329" t="n">
        <v>7.5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25689-2026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46178</v>
      </c>
      <c r="E1330" s="1" t="n">
        <v>46276</v>
      </c>
      <c r="F1330" t="inlineStr">
        <is>
          <t>DALARNAS LÄN</t>
        </is>
      </c>
      <c r="G1330" t="inlineStr">
        <is>
          <t>FALUN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25799-2026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46178</v>
      </c>
      <c r="E1331" s="1" t="n">
        <v>46276</v>
      </c>
      <c r="F1331" t="inlineStr">
        <is>
          <t>DALARNAS LÄN</t>
        </is>
      </c>
      <c r="G1331" t="inlineStr">
        <is>
          <t>FALUN</t>
        </is>
      </c>
      <c r="I1331" t="n">
        <v>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25811-2026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46178</v>
      </c>
      <c r="E1332" s="1" t="n">
        <v>46276</v>
      </c>
      <c r="F1332" t="inlineStr">
        <is>
          <t>DALARNAS LÄN</t>
        </is>
      </c>
      <c r="G1332" t="inlineStr">
        <is>
          <t>FALUN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22526-2026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46155</v>
      </c>
      <c r="E1333" s="1" t="n">
        <v>46276</v>
      </c>
      <c r="F1333" t="inlineStr">
        <is>
          <t>DALARNAS LÄN</t>
        </is>
      </c>
      <c r="G1333" t="inlineStr">
        <is>
          <t>FALUN</t>
        </is>
      </c>
      <c r="I1333" t="n">
        <v>4.5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21416-2026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46148</v>
      </c>
      <c r="E1334" s="1" t="n">
        <v>46276</v>
      </c>
      <c r="F1334" t="inlineStr">
        <is>
          <t>DALARNAS LÄN</t>
        </is>
      </c>
      <c r="G1334" t="inlineStr">
        <is>
          <t>FALUN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6304-2026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46055</v>
      </c>
      <c r="E1335" s="1" t="n">
        <v>46276</v>
      </c>
      <c r="F1335" t="inlineStr">
        <is>
          <t>DALARNAS LÄN</t>
        </is>
      </c>
      <c r="G1335" t="inlineStr">
        <is>
          <t>FALUN</t>
        </is>
      </c>
      <c r="I1335" t="n">
        <v>0.7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25823-2026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46178</v>
      </c>
      <c r="E1336" s="1" t="n">
        <v>46276</v>
      </c>
      <c r="F1336" t="inlineStr">
        <is>
          <t>DALARNAS LÄN</t>
        </is>
      </c>
      <c r="G1336" t="inlineStr">
        <is>
          <t>FALUN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25809-2026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46276</v>
      </c>
      <c r="F1337" t="inlineStr">
        <is>
          <t>DALARNAS LÄN</t>
        </is>
      </c>
      <c r="G1337" t="inlineStr">
        <is>
          <t>FALUN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21289-2026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46147</v>
      </c>
      <c r="E1338" s="1" t="n">
        <v>46276</v>
      </c>
      <c r="F1338" t="inlineStr">
        <is>
          <t>DALARNAS LÄN</t>
        </is>
      </c>
      <c r="G1338" t="inlineStr">
        <is>
          <t>FALUN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6302-2026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46055</v>
      </c>
      <c r="E1339" s="1" t="n">
        <v>46276</v>
      </c>
      <c r="F1339" t="inlineStr">
        <is>
          <t>DALARNAS LÄN</t>
        </is>
      </c>
      <c r="G1339" t="inlineStr">
        <is>
          <t>FALUN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59200-2025</t>
        </is>
      </c>
      <c r="B1340" t="inlineStr">
        <is>
          <t>avverkningsanmälan</t>
        </is>
      </c>
      <c r="C1340" t="inlineStr">
        <is>
          <t>Avverkning för annat ändamål</t>
        </is>
      </c>
      <c r="D1340" s="1" t="n">
        <v>45988</v>
      </c>
      <c r="E1340" s="1" t="n">
        <v>46276</v>
      </c>
      <c r="F1340" t="inlineStr">
        <is>
          <t>DALARNAS LÄN</t>
        </is>
      </c>
      <c r="G1340" t="inlineStr">
        <is>
          <t>FALUN</t>
        </is>
      </c>
      <c r="I1340" t="n">
        <v>3.6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21653-2026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46149</v>
      </c>
      <c r="E1341" s="1" t="n">
        <v>46276</v>
      </c>
      <c r="F1341" t="inlineStr">
        <is>
          <t>DALARNAS LÄN</t>
        </is>
      </c>
      <c r="G1341" t="inlineStr">
        <is>
          <t>FALUN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25517-2026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46177</v>
      </c>
      <c r="E1342" s="1" t="n">
        <v>46276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6.4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25542-2026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46177</v>
      </c>
      <c r="E1343" s="1" t="n">
        <v>46276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25667-2026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46276</v>
      </c>
      <c r="F1344" t="inlineStr">
        <is>
          <t>DALARNAS LÄN</t>
        </is>
      </c>
      <c r="G1344" t="inlineStr">
        <is>
          <t>FALUN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25810-2026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46178</v>
      </c>
      <c r="E1345" s="1" t="n">
        <v>46276</v>
      </c>
      <c r="F1345" t="inlineStr">
        <is>
          <t>DALARNAS LÄN</t>
        </is>
      </c>
      <c r="G1345" t="inlineStr">
        <is>
          <t>FALUN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20873-2026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46142</v>
      </c>
      <c r="E1346" s="1" t="n">
        <v>46276</v>
      </c>
      <c r="F1346" t="inlineStr">
        <is>
          <t>DALARNAS LÄN</t>
        </is>
      </c>
      <c r="G1346" t="inlineStr">
        <is>
          <t>FALUN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25563-2026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46177</v>
      </c>
      <c r="E1347" s="1" t="n">
        <v>46276</v>
      </c>
      <c r="F1347" t="inlineStr">
        <is>
          <t>DALARNAS LÄN</t>
        </is>
      </c>
      <c r="G1347" t="inlineStr">
        <is>
          <t>FALUN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61377-2021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44500</v>
      </c>
      <c r="E1348" s="1" t="n">
        <v>46276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25601-2026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46177</v>
      </c>
      <c r="E1349" s="1" t="n">
        <v>46276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25739-2026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46178</v>
      </c>
      <c r="E1350" s="1" t="n">
        <v>46276</v>
      </c>
      <c r="F1350" t="inlineStr">
        <is>
          <t>DALARNAS LÄN</t>
        </is>
      </c>
      <c r="G1350" t="inlineStr">
        <is>
          <t>FALUN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48296-2024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45590</v>
      </c>
      <c r="E1351" s="1" t="n">
        <v>46276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3.3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25705-2026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46178</v>
      </c>
      <c r="E1352" s="1" t="n">
        <v>46276</v>
      </c>
      <c r="F1352" t="inlineStr">
        <is>
          <t>DALARNAS LÄN</t>
        </is>
      </c>
      <c r="G1352" t="inlineStr">
        <is>
          <t>FALUN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19903-2022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44697</v>
      </c>
      <c r="E1353" s="1" t="n">
        <v>46276</v>
      </c>
      <c r="F1353" t="inlineStr">
        <is>
          <t>DALARNAS LÄN</t>
        </is>
      </c>
      <c r="G1353" t="inlineStr">
        <is>
          <t>FALUN</t>
        </is>
      </c>
      <c r="I1353" t="n">
        <v>3.2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25755-2026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46178</v>
      </c>
      <c r="E1354" s="1" t="n">
        <v>46276</v>
      </c>
      <c r="F1354" t="inlineStr">
        <is>
          <t>DALARNAS LÄN</t>
        </is>
      </c>
      <c r="G1354" t="inlineStr">
        <is>
          <t>FALUN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25757-2026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46178</v>
      </c>
      <c r="E1355" s="1" t="n">
        <v>46276</v>
      </c>
      <c r="F1355" t="inlineStr">
        <is>
          <t>DALARNAS LÄN</t>
        </is>
      </c>
      <c r="G1355" t="inlineStr">
        <is>
          <t>FALUN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30537-2024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45492</v>
      </c>
      <c r="E1356" s="1" t="n">
        <v>46276</v>
      </c>
      <c r="F1356" t="inlineStr">
        <is>
          <t>DALARNAS LÄN</t>
        </is>
      </c>
      <c r="G1356" t="inlineStr">
        <is>
          <t>FALUN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19783-2026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46135</v>
      </c>
      <c r="E1357" s="1" t="n">
        <v>46276</v>
      </c>
      <c r="F1357" t="inlineStr">
        <is>
          <t>DALARNAS LÄN</t>
        </is>
      </c>
      <c r="G1357" t="inlineStr">
        <is>
          <t>FALUN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21584-2026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46149</v>
      </c>
      <c r="E1358" s="1" t="n">
        <v>46276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8.699999999999999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21116-2026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46146</v>
      </c>
      <c r="E1359" s="1" t="n">
        <v>46276</v>
      </c>
      <c r="F1359" t="inlineStr">
        <is>
          <t>DALARNAS LÄN</t>
        </is>
      </c>
      <c r="G1359" t="inlineStr">
        <is>
          <t>FALUN</t>
        </is>
      </c>
      <c r="I1359" t="n">
        <v>2.3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13116-2026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46093</v>
      </c>
      <c r="E1360" s="1" t="n">
        <v>46276</v>
      </c>
      <c r="F1360" t="inlineStr">
        <is>
          <t>DALARNAS LÄN</t>
        </is>
      </c>
      <c r="G1360" t="inlineStr">
        <is>
          <t>FALUN</t>
        </is>
      </c>
      <c r="H1360" t="inlineStr">
        <is>
          <t>Allmännings- och besparingsskogar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8579-2026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46065</v>
      </c>
      <c r="E1361" s="1" t="n">
        <v>46276</v>
      </c>
      <c r="F1361" t="inlineStr">
        <is>
          <t>DALARNAS LÄN</t>
        </is>
      </c>
      <c r="G1361" t="inlineStr">
        <is>
          <t>FALUN</t>
        </is>
      </c>
      <c r="I1361" t="n">
        <v>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8586-2026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46065</v>
      </c>
      <c r="E1362" s="1" t="n">
        <v>46276</v>
      </c>
      <c r="F1362" t="inlineStr">
        <is>
          <t>DALARNAS LÄN</t>
        </is>
      </c>
      <c r="G1362" t="inlineStr">
        <is>
          <t>FALUN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25967-2026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46181</v>
      </c>
      <c r="E1363" s="1" t="n">
        <v>46276</v>
      </c>
      <c r="F1363" t="inlineStr">
        <is>
          <t>DALARNAS LÄN</t>
        </is>
      </c>
      <c r="G1363" t="inlineStr">
        <is>
          <t>FALUN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8578-2026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46065</v>
      </c>
      <c r="E1364" s="1" t="n">
        <v>46276</v>
      </c>
      <c r="F1364" t="inlineStr">
        <is>
          <t>DALARNAS LÄN</t>
        </is>
      </c>
      <c r="G1364" t="inlineStr">
        <is>
          <t>FALUN</t>
        </is>
      </c>
      <c r="I1364" t="n">
        <v>6.4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8585-2026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46065</v>
      </c>
      <c r="E1365" s="1" t="n">
        <v>46276</v>
      </c>
      <c r="F1365" t="inlineStr">
        <is>
          <t>DALARNAS LÄN</t>
        </is>
      </c>
      <c r="G1365" t="inlineStr">
        <is>
          <t>FALUN</t>
        </is>
      </c>
      <c r="I1365" t="n">
        <v>6.9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18950-2026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46129</v>
      </c>
      <c r="E1366" s="1" t="n">
        <v>46276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4.5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17282-2026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46119</v>
      </c>
      <c r="E1367" s="1" t="n">
        <v>46276</v>
      </c>
      <c r="F1367" t="inlineStr">
        <is>
          <t>DALARNAS LÄN</t>
        </is>
      </c>
      <c r="G1367" t="inlineStr">
        <is>
          <t>FALUN</t>
        </is>
      </c>
      <c r="I1367" t="n">
        <v>1.5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17890-2026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46122</v>
      </c>
      <c r="E1368" s="1" t="n">
        <v>46276</v>
      </c>
      <c r="F1368" t="inlineStr">
        <is>
          <t>DALARNAS LÄN</t>
        </is>
      </c>
      <c r="G1368" t="inlineStr">
        <is>
          <t>FALUN</t>
        </is>
      </c>
      <c r="I1368" t="n">
        <v>16.3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8584-2026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46065</v>
      </c>
      <c r="E1369" s="1" t="n">
        <v>46276</v>
      </c>
      <c r="F1369" t="inlineStr">
        <is>
          <t>DALARNAS LÄN</t>
        </is>
      </c>
      <c r="G1369" t="inlineStr">
        <is>
          <t>FALUN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16933-2026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46113</v>
      </c>
      <c r="E1370" s="1" t="n">
        <v>46276</v>
      </c>
      <c r="F1370" t="inlineStr">
        <is>
          <t>DALARNAS LÄN</t>
        </is>
      </c>
      <c r="G1370" t="inlineStr">
        <is>
          <t>FALUN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22925-2023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45072</v>
      </c>
      <c r="E1371" s="1" t="n">
        <v>46276</v>
      </c>
      <c r="F1371" t="inlineStr">
        <is>
          <t>DALARNAS LÄN</t>
        </is>
      </c>
      <c r="G1371" t="inlineStr">
        <is>
          <t>FALUN</t>
        </is>
      </c>
      <c r="I1371" t="n">
        <v>2.4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26346-2026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46182</v>
      </c>
      <c r="E1372" s="1" t="n">
        <v>46276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16375-2026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46111</v>
      </c>
      <c r="E1373" s="1" t="n">
        <v>46276</v>
      </c>
      <c r="F1373" t="inlineStr">
        <is>
          <t>DALARNAS LÄN</t>
        </is>
      </c>
      <c r="G1373" t="inlineStr">
        <is>
          <t>FALUN</t>
        </is>
      </c>
      <c r="I1373" t="n">
        <v>3.4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15278-2026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46105</v>
      </c>
      <c r="E1374" s="1" t="n">
        <v>46276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34.4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26120-2026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46181</v>
      </c>
      <c r="E1375" s="1" t="n">
        <v>46276</v>
      </c>
      <c r="F1375" t="inlineStr">
        <is>
          <t>DALARNAS LÄN</t>
        </is>
      </c>
      <c r="G1375" t="inlineStr">
        <is>
          <t>FALUN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24640-2024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45460</v>
      </c>
      <c r="E1376" s="1" t="n">
        <v>46276</v>
      </c>
      <c r="F1376" t="inlineStr">
        <is>
          <t>DALARNAS LÄN</t>
        </is>
      </c>
      <c r="G1376" t="inlineStr">
        <is>
          <t>FALUN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18251-2026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46126</v>
      </c>
      <c r="E1377" s="1" t="n">
        <v>46276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21.8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26546-2026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46183</v>
      </c>
      <c r="E1378" s="1" t="n">
        <v>46276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5.2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4923-2024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45329</v>
      </c>
      <c r="E1379" s="1" t="n">
        <v>46276</v>
      </c>
      <c r="F1379" t="inlineStr">
        <is>
          <t>DALARNAS LÄN</t>
        </is>
      </c>
      <c r="G1379" t="inlineStr">
        <is>
          <t>FALUN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26380-2026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46183</v>
      </c>
      <c r="E1380" s="1" t="n">
        <v>46276</v>
      </c>
      <c r="F1380" t="inlineStr">
        <is>
          <t>DALARNAS LÄN</t>
        </is>
      </c>
      <c r="G1380" t="inlineStr">
        <is>
          <t>FALUN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27163-2026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46188</v>
      </c>
      <c r="E1381" s="1" t="n">
        <v>46276</v>
      </c>
      <c r="F1381" t="inlineStr">
        <is>
          <t>DALARNAS LÄN</t>
        </is>
      </c>
      <c r="G1381" t="inlineStr">
        <is>
          <t>FALUN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27265-2026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46188</v>
      </c>
      <c r="E1382" s="1" t="n">
        <v>46276</v>
      </c>
      <c r="F1382" t="inlineStr">
        <is>
          <t>DALARNAS LÄN</t>
        </is>
      </c>
      <c r="G1382" t="inlineStr">
        <is>
          <t>FALUN</t>
        </is>
      </c>
      <c r="I1382" t="n">
        <v>2.5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27313-2026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46188</v>
      </c>
      <c r="E1383" s="1" t="n">
        <v>46276</v>
      </c>
      <c r="F1383" t="inlineStr">
        <is>
          <t>DALARNAS LÄN</t>
        </is>
      </c>
      <c r="G1383" t="inlineStr">
        <is>
          <t>FALUN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5229-2026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46049</v>
      </c>
      <c r="E1384" s="1" t="n">
        <v>46276</v>
      </c>
      <c r="F1384" t="inlineStr">
        <is>
          <t>DALARNAS LÄN</t>
        </is>
      </c>
      <c r="G1384" t="inlineStr">
        <is>
          <t>FALUN</t>
        </is>
      </c>
      <c r="I1384" t="n">
        <v>5.9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26965-2026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46185</v>
      </c>
      <c r="E1385" s="1" t="n">
        <v>46276</v>
      </c>
      <c r="F1385" t="inlineStr">
        <is>
          <t>DALARNAS LÄN</t>
        </is>
      </c>
      <c r="G1385" t="inlineStr">
        <is>
          <t>FALUN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26968-2026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46185</v>
      </c>
      <c r="E1386" s="1" t="n">
        <v>46276</v>
      </c>
      <c r="F1386" t="inlineStr">
        <is>
          <t>DALARNAS LÄN</t>
        </is>
      </c>
      <c r="G1386" t="inlineStr">
        <is>
          <t>FALUN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20006-2023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45054</v>
      </c>
      <c r="E1387" s="1" t="n">
        <v>46276</v>
      </c>
      <c r="F1387" t="inlineStr">
        <is>
          <t>DALARNAS LÄN</t>
        </is>
      </c>
      <c r="G1387" t="inlineStr">
        <is>
          <t>FALUN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27152-2026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46188</v>
      </c>
      <c r="E1388" s="1" t="n">
        <v>46276</v>
      </c>
      <c r="F1388" t="inlineStr">
        <is>
          <t>DALARNAS LÄN</t>
        </is>
      </c>
      <c r="G1388" t="inlineStr">
        <is>
          <t>FALUN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22646-2024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45447</v>
      </c>
      <c r="E1389" s="1" t="n">
        <v>46276</v>
      </c>
      <c r="F1389" t="inlineStr">
        <is>
          <t>DALARNAS LÄN</t>
        </is>
      </c>
      <c r="G1389" t="inlineStr">
        <is>
          <t>FALUN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48246-2023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45205</v>
      </c>
      <c r="E1390" s="1" t="n">
        <v>46276</v>
      </c>
      <c r="F1390" t="inlineStr">
        <is>
          <t>DALARNAS LÄN</t>
        </is>
      </c>
      <c r="G1390" t="inlineStr">
        <is>
          <t>FALUN</t>
        </is>
      </c>
      <c r="I1390" t="n">
        <v>4.5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26830-2026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46185</v>
      </c>
      <c r="E1391" s="1" t="n">
        <v>46276</v>
      </c>
      <c r="F1391" t="inlineStr">
        <is>
          <t>DALARNAS LÄN</t>
        </is>
      </c>
      <c r="G1391" t="inlineStr">
        <is>
          <t>FALUN</t>
        </is>
      </c>
      <c r="I1391" t="n">
        <v>0.4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26969-2026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46185</v>
      </c>
      <c r="E1392" s="1" t="n">
        <v>46276</v>
      </c>
      <c r="F1392" t="inlineStr">
        <is>
          <t>DALARNAS LÄN</t>
        </is>
      </c>
      <c r="G1392" t="inlineStr">
        <is>
          <t>FALUN</t>
        </is>
      </c>
      <c r="I1392" t="n">
        <v>2.9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27267-2026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46188</v>
      </c>
      <c r="E1393" s="1" t="n">
        <v>46276</v>
      </c>
      <c r="F1393" t="inlineStr">
        <is>
          <t>DALARNAS LÄN</t>
        </is>
      </c>
      <c r="G1393" t="inlineStr">
        <is>
          <t>FALUN</t>
        </is>
      </c>
      <c r="I1393" t="n">
        <v>4.8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27335-2026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46188</v>
      </c>
      <c r="E1394" s="1" t="n">
        <v>46276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53008-2024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45611</v>
      </c>
      <c r="E1395" s="1" t="n">
        <v>46276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26828-2026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46185</v>
      </c>
      <c r="E1396" s="1" t="n">
        <v>46276</v>
      </c>
      <c r="F1396" t="inlineStr">
        <is>
          <t>DALARNAS LÄN</t>
        </is>
      </c>
      <c r="G1396" t="inlineStr">
        <is>
          <t>FALUN</t>
        </is>
      </c>
      <c r="I1396" t="n">
        <v>0.8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26832-2026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46185</v>
      </c>
      <c r="E1397" s="1" t="n">
        <v>46276</v>
      </c>
      <c r="F1397" t="inlineStr">
        <is>
          <t>DALARNAS LÄN</t>
        </is>
      </c>
      <c r="G1397" t="inlineStr">
        <is>
          <t>FALUN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27145-2026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46276</v>
      </c>
      <c r="F1398" t="inlineStr">
        <is>
          <t>DALARNAS LÄN</t>
        </is>
      </c>
      <c r="G1398" t="inlineStr">
        <is>
          <t>FALUN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1465-2026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46033</v>
      </c>
      <c r="E1399" s="1" t="n">
        <v>46276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27626-2026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46190</v>
      </c>
      <c r="E1400" s="1" t="n">
        <v>46276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6.4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27628-2026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46190</v>
      </c>
      <c r="E1401" s="1" t="n">
        <v>46276</v>
      </c>
      <c r="F1401" t="inlineStr">
        <is>
          <t>DALARNAS LÄN</t>
        </is>
      </c>
      <c r="G1401" t="inlineStr">
        <is>
          <t>FALUN</t>
        </is>
      </c>
      <c r="H1401" t="inlineStr">
        <is>
          <t>Bergvik skog väst AB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46023</v>
      </c>
      <c r="E1402" s="1" t="n">
        <v>46276</v>
      </c>
      <c r="F1402" t="inlineStr">
        <is>
          <t>DALARNAS LÄN</t>
        </is>
      </c>
      <c r="G1402" t="inlineStr">
        <is>
          <t>FALUN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27649-2026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46190</v>
      </c>
      <c r="E1403" s="1" t="n">
        <v>46276</v>
      </c>
      <c r="F1403" t="inlineStr">
        <is>
          <t>DALARNAS LÄN</t>
        </is>
      </c>
      <c r="G1403" t="inlineStr">
        <is>
          <t>FALUN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18623-2026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46127</v>
      </c>
      <c r="E1404" s="1" t="n">
        <v>46276</v>
      </c>
      <c r="F1404" t="inlineStr">
        <is>
          <t>DALARNAS LÄN</t>
        </is>
      </c>
      <c r="G1404" t="inlineStr">
        <is>
          <t>FALUN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21174-2026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46146</v>
      </c>
      <c r="E1405" s="1" t="n">
        <v>46276</v>
      </c>
      <c r="F1405" t="inlineStr">
        <is>
          <t>DALARNAS LÄN</t>
        </is>
      </c>
      <c r="G1405" t="inlineStr">
        <is>
          <t>FALUN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2293-2026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46036</v>
      </c>
      <c r="E1406" s="1" t="n">
        <v>46276</v>
      </c>
      <c r="F1406" t="inlineStr">
        <is>
          <t>DALARNAS LÄN</t>
        </is>
      </c>
      <c r="G1406" t="inlineStr">
        <is>
          <t>FALUN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26598-2023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45092</v>
      </c>
      <c r="E1407" s="1" t="n">
        <v>46276</v>
      </c>
      <c r="F1407" t="inlineStr">
        <is>
          <t>DALARNAS LÄN</t>
        </is>
      </c>
      <c r="G1407" t="inlineStr">
        <is>
          <t>FALUN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9659-2025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45716</v>
      </c>
      <c r="E1408" s="1" t="n">
        <v>46276</v>
      </c>
      <c r="F1408" t="inlineStr">
        <is>
          <t>DALARNAS LÄN</t>
        </is>
      </c>
      <c r="G1408" t="inlineStr">
        <is>
          <t>FALUN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27821-2026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46191</v>
      </c>
      <c r="E1409" s="1" t="n">
        <v>46276</v>
      </c>
      <c r="F1409" t="inlineStr">
        <is>
          <t>DALARNAS LÄN</t>
        </is>
      </c>
      <c r="G1409" t="inlineStr">
        <is>
          <t>FALUN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27822-2026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46191</v>
      </c>
      <c r="E1410" s="1" t="n">
        <v>46276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27834-2026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46191</v>
      </c>
      <c r="E1411" s="1" t="n">
        <v>46276</v>
      </c>
      <c r="F1411" t="inlineStr">
        <is>
          <t>DALARNAS LÄN</t>
        </is>
      </c>
      <c r="G1411" t="inlineStr">
        <is>
          <t>FALUN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27850-2026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46191</v>
      </c>
      <c r="E1412" s="1" t="n">
        <v>46276</v>
      </c>
      <c r="F1412" t="inlineStr">
        <is>
          <t>DALARNAS LÄN</t>
        </is>
      </c>
      <c r="G1412" t="inlineStr">
        <is>
          <t>FALUN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27896-2026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46191</v>
      </c>
      <c r="E1413" s="1" t="n">
        <v>46276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6.9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15085-2025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45744</v>
      </c>
      <c r="E1414" s="1" t="n">
        <v>46276</v>
      </c>
      <c r="F1414" t="inlineStr">
        <is>
          <t>DALARNAS LÄN</t>
        </is>
      </c>
      <c r="G1414" t="inlineStr">
        <is>
          <t>FALUN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41538-2024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45560</v>
      </c>
      <c r="E1415" s="1" t="n">
        <v>46276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27847-2026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46191</v>
      </c>
      <c r="E1416" s="1" t="n">
        <v>46276</v>
      </c>
      <c r="F1416" t="inlineStr">
        <is>
          <t>DALARNAS LÄN</t>
        </is>
      </c>
      <c r="G1416" t="inlineStr">
        <is>
          <t>FALUN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27800-2026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46191</v>
      </c>
      <c r="E1417" s="1" t="n">
        <v>46276</v>
      </c>
      <c r="F1417" t="inlineStr">
        <is>
          <t>DALARNAS LÄN</t>
        </is>
      </c>
      <c r="G1417" t="inlineStr">
        <is>
          <t>FALUN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19916-2026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46136</v>
      </c>
      <c r="E1418" s="1" t="n">
        <v>46276</v>
      </c>
      <c r="F1418" t="inlineStr">
        <is>
          <t>DALARNAS LÄN</t>
        </is>
      </c>
      <c r="G1418" t="inlineStr">
        <is>
          <t>FALUN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27832-2026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46276</v>
      </c>
      <c r="F1419" t="inlineStr">
        <is>
          <t>DALARNAS LÄN</t>
        </is>
      </c>
      <c r="G1419" t="inlineStr">
        <is>
          <t>FALUN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27924-2026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46191</v>
      </c>
      <c r="E1420" s="1" t="n">
        <v>46276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7.5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17403-2026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46120</v>
      </c>
      <c r="E1421" s="1" t="n">
        <v>46276</v>
      </c>
      <c r="F1421" t="inlineStr">
        <is>
          <t>DALARNAS LÄN</t>
        </is>
      </c>
      <c r="G1421" t="inlineStr">
        <is>
          <t>FALUN</t>
        </is>
      </c>
      <c r="I1421" t="n">
        <v>2.6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28817-2026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46195</v>
      </c>
      <c r="E1422" s="1" t="n">
        <v>46276</v>
      </c>
      <c r="F1422" t="inlineStr">
        <is>
          <t>DALARNAS LÄN</t>
        </is>
      </c>
      <c r="G1422" t="inlineStr">
        <is>
          <t>FALUN</t>
        </is>
      </c>
      <c r="H1422" t="inlineStr">
        <is>
          <t>Allmännings- och besparingsskogar</t>
        </is>
      </c>
      <c r="I1422" t="n">
        <v>14.2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28306-2026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46196</v>
      </c>
      <c r="E1423" s="1" t="n">
        <v>46276</v>
      </c>
      <c r="F1423" t="inlineStr">
        <is>
          <t>DALARNAS LÄN</t>
        </is>
      </c>
      <c r="G1423" t="inlineStr">
        <is>
          <t>FALUN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27998-2026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46195</v>
      </c>
      <c r="E1424" s="1" t="n">
        <v>46276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7.2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50772-2024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45602</v>
      </c>
      <c r="E1425" s="1" t="n">
        <v>46276</v>
      </c>
      <c r="F1425" t="inlineStr">
        <is>
          <t>DALARNAS LÄN</t>
        </is>
      </c>
      <c r="G1425" t="inlineStr">
        <is>
          <t>FALUN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27969-2026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46195</v>
      </c>
      <c r="E1426" s="1" t="n">
        <v>46276</v>
      </c>
      <c r="F1426" t="inlineStr">
        <is>
          <t>DALARNAS LÄN</t>
        </is>
      </c>
      <c r="G1426" t="inlineStr">
        <is>
          <t>FALUN</t>
        </is>
      </c>
      <c r="I1426" t="n">
        <v>2.4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58864-2023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45252</v>
      </c>
      <c r="E1427" s="1" t="n">
        <v>46276</v>
      </c>
      <c r="F1427" t="inlineStr">
        <is>
          <t>DALARNAS LÄN</t>
        </is>
      </c>
      <c r="G1427" t="inlineStr">
        <is>
          <t>FALUN</t>
        </is>
      </c>
      <c r="I1427" t="n">
        <v>0.3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58713-2024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45635</v>
      </c>
      <c r="E1428" s="1" t="n">
        <v>46276</v>
      </c>
      <c r="F1428" t="inlineStr">
        <is>
          <t>DALARNAS LÄN</t>
        </is>
      </c>
      <c r="G1428" t="inlineStr">
        <is>
          <t>FALUN</t>
        </is>
      </c>
      <c r="H1428" t="inlineStr">
        <is>
          <t>Bergvik skog väst AB</t>
        </is>
      </c>
      <c r="I1428" t="n">
        <v>0.3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28252-2026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46196</v>
      </c>
      <c r="E1429" s="1" t="n">
        <v>46276</v>
      </c>
      <c r="F1429" t="inlineStr">
        <is>
          <t>DALARNAS LÄN</t>
        </is>
      </c>
      <c r="G1429" t="inlineStr">
        <is>
          <t>FALUN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28117-2026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46195</v>
      </c>
      <c r="E1430" s="1" t="n">
        <v>46276</v>
      </c>
      <c r="F1430" t="inlineStr">
        <is>
          <t>DALARNAS LÄN</t>
        </is>
      </c>
      <c r="G1430" t="inlineStr">
        <is>
          <t>FALUN</t>
        </is>
      </c>
      <c r="I1430" t="n">
        <v>10.2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27970-2026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46195</v>
      </c>
      <c r="E1431" s="1" t="n">
        <v>46276</v>
      </c>
      <c r="F1431" t="inlineStr">
        <is>
          <t>DALARNAS LÄN</t>
        </is>
      </c>
      <c r="G1431" t="inlineStr">
        <is>
          <t>FALUN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28085-2026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46195</v>
      </c>
      <c r="E1432" s="1" t="n">
        <v>46276</v>
      </c>
      <c r="F1432" t="inlineStr">
        <is>
          <t>DALARNAS LÄN</t>
        </is>
      </c>
      <c r="G1432" t="inlineStr">
        <is>
          <t>FALUN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28092-2026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46195</v>
      </c>
      <c r="E1433" s="1" t="n">
        <v>46276</v>
      </c>
      <c r="F1433" t="inlineStr">
        <is>
          <t>DALARNAS LÄN</t>
        </is>
      </c>
      <c r="G1433" t="inlineStr">
        <is>
          <t>FALUN</t>
        </is>
      </c>
      <c r="I1433" t="n">
        <v>6.8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28189-2026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46195</v>
      </c>
      <c r="E1434" s="1" t="n">
        <v>46276</v>
      </c>
      <c r="F1434" t="inlineStr">
        <is>
          <t>DALARNAS LÄN</t>
        </is>
      </c>
      <c r="G1434" t="inlineStr">
        <is>
          <t>FALUN</t>
        </is>
      </c>
      <c r="I1434" t="n">
        <v>7.3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59673-2024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45639</v>
      </c>
      <c r="E1435" s="1" t="n">
        <v>46276</v>
      </c>
      <c r="F1435" t="inlineStr">
        <is>
          <t>DALARNAS LÄN</t>
        </is>
      </c>
      <c r="G1435" t="inlineStr">
        <is>
          <t>FALUN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52116-2022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44873</v>
      </c>
      <c r="E1436" s="1" t="n">
        <v>46276</v>
      </c>
      <c r="F1436" t="inlineStr">
        <is>
          <t>DALARNAS LÄN</t>
        </is>
      </c>
      <c r="G1436" t="inlineStr">
        <is>
          <t>FALUN</t>
        </is>
      </c>
      <c r="I1436" t="n">
        <v>3.3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32772-2026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46241</v>
      </c>
      <c r="E1437" s="1" t="n">
        <v>46276</v>
      </c>
      <c r="F1437" t="inlineStr">
        <is>
          <t>DALARNAS LÄN</t>
        </is>
      </c>
      <c r="G1437" t="inlineStr">
        <is>
          <t>FALUN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5679-2023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44960</v>
      </c>
      <c r="E1438" s="1" t="n">
        <v>46276</v>
      </c>
      <c r="F1438" t="inlineStr">
        <is>
          <t>DALARNAS LÄN</t>
        </is>
      </c>
      <c r="G1438" t="inlineStr">
        <is>
          <t>FALUN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9835-2024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45363</v>
      </c>
      <c r="E1439" s="1" t="n">
        <v>46276</v>
      </c>
      <c r="F1439" t="inlineStr">
        <is>
          <t>DALARNAS LÄN</t>
        </is>
      </c>
      <c r="G1439" t="inlineStr">
        <is>
          <t>FALUN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28663-2026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46198</v>
      </c>
      <c r="E1440" s="1" t="n">
        <v>46276</v>
      </c>
      <c r="F1440" t="inlineStr">
        <is>
          <t>DALARNAS LÄN</t>
        </is>
      </c>
      <c r="G1440" t="inlineStr">
        <is>
          <t>FALUN</t>
        </is>
      </c>
      <c r="I1440" t="n">
        <v>7.5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16929-2023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45033</v>
      </c>
      <c r="E1441" s="1" t="n">
        <v>46276</v>
      </c>
      <c r="F1441" t="inlineStr">
        <is>
          <t>DALARNAS LÄN</t>
        </is>
      </c>
      <c r="G1441" t="inlineStr">
        <is>
          <t>FALUN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49683-2024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45596</v>
      </c>
      <c r="E1442" s="1" t="n">
        <v>46276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4.4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32390-2026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46238</v>
      </c>
      <c r="E1443" s="1" t="n">
        <v>46276</v>
      </c>
      <c r="F1443" t="inlineStr">
        <is>
          <t>DALARNAS LÄN</t>
        </is>
      </c>
      <c r="G1443" t="inlineStr">
        <is>
          <t>FALUN</t>
        </is>
      </c>
      <c r="I1443" t="n">
        <v>13.1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16004-2024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45405</v>
      </c>
      <c r="E1444" s="1" t="n">
        <v>46276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29210-2026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46202</v>
      </c>
      <c r="E1445" s="1" t="n">
        <v>46276</v>
      </c>
      <c r="F1445" t="inlineStr">
        <is>
          <t>DALARNAS LÄN</t>
        </is>
      </c>
      <c r="G1445" t="inlineStr">
        <is>
          <t>FALUN</t>
        </is>
      </c>
      <c r="H1445" t="inlineStr">
        <is>
          <t>Bergvik skog väst AB</t>
        </is>
      </c>
      <c r="I1445" t="n">
        <v>1.4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41275-2023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45174</v>
      </c>
      <c r="E1446" s="1" t="n">
        <v>46276</v>
      </c>
      <c r="F1446" t="inlineStr">
        <is>
          <t>DALARNAS LÄN</t>
        </is>
      </c>
      <c r="G1446" t="inlineStr">
        <is>
          <t>FALUN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29217-2026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46202</v>
      </c>
      <c r="E1447" s="1" t="n">
        <v>46276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28911-2026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46199</v>
      </c>
      <c r="E1448" s="1" t="n">
        <v>46276</v>
      </c>
      <c r="F1448" t="inlineStr">
        <is>
          <t>DALARNAS LÄN</t>
        </is>
      </c>
      <c r="G1448" t="inlineStr">
        <is>
          <t>FALUN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28884-2026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46199</v>
      </c>
      <c r="E1449" s="1" t="n">
        <v>46276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29218-2026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46202</v>
      </c>
      <c r="E1450" s="1" t="n">
        <v>46276</v>
      </c>
      <c r="F1450" t="inlineStr">
        <is>
          <t>DALARNAS LÄN</t>
        </is>
      </c>
      <c r="G1450" t="inlineStr">
        <is>
          <t>FALUN</t>
        </is>
      </c>
      <c r="I1450" t="n">
        <v>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16916-2025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45755</v>
      </c>
      <c r="E1451" s="1" t="n">
        <v>46276</v>
      </c>
      <c r="F1451" t="inlineStr">
        <is>
          <t>DALARNAS LÄN</t>
        </is>
      </c>
      <c r="G1451" t="inlineStr">
        <is>
          <t>FALUN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4057-2024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45323</v>
      </c>
      <c r="E1452" s="1" t="n">
        <v>46276</v>
      </c>
      <c r="F1452" t="inlineStr">
        <is>
          <t>DALARNAS LÄN</t>
        </is>
      </c>
      <c r="G1452" t="inlineStr">
        <is>
          <t>FALUN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29295-2026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46202</v>
      </c>
      <c r="E1453" s="1" t="n">
        <v>46276</v>
      </c>
      <c r="F1453" t="inlineStr">
        <is>
          <t>DALARNAS LÄN</t>
        </is>
      </c>
      <c r="G1453" t="inlineStr">
        <is>
          <t>FALUN</t>
        </is>
      </c>
      <c r="I1453" t="n">
        <v>2.1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40832-2024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45558</v>
      </c>
      <c r="E1454" s="1" t="n">
        <v>46276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56587-2024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45625</v>
      </c>
      <c r="E1455" s="1" t="n">
        <v>46276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8823-2023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44978</v>
      </c>
      <c r="E1456" s="1" t="n">
        <v>46276</v>
      </c>
      <c r="F1456" t="inlineStr">
        <is>
          <t>DALARNAS LÄN</t>
        </is>
      </c>
      <c r="G1456" t="inlineStr">
        <is>
          <t>FALUN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15100-2026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46105</v>
      </c>
      <c r="E1457" s="1" t="n">
        <v>46276</v>
      </c>
      <c r="F1457" t="inlineStr">
        <is>
          <t>DALARNAS LÄN</t>
        </is>
      </c>
      <c r="G1457" t="inlineStr">
        <is>
          <t>FALUN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35943-2023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45148</v>
      </c>
      <c r="E1458" s="1" t="n">
        <v>46276</v>
      </c>
      <c r="F1458" t="inlineStr">
        <is>
          <t>DALARNAS LÄN</t>
        </is>
      </c>
      <c r="G1458" t="inlineStr">
        <is>
          <t>FALUN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55390-2022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44887</v>
      </c>
      <c r="E1459" s="1" t="n">
        <v>46276</v>
      </c>
      <c r="F1459" t="inlineStr">
        <is>
          <t>DALARNAS LÄN</t>
        </is>
      </c>
      <c r="G1459" t="inlineStr">
        <is>
          <t>FALUN</t>
        </is>
      </c>
      <c r="I1459" t="n">
        <v>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33299-2026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46246</v>
      </c>
      <c r="E1460" s="1" t="n">
        <v>46276</v>
      </c>
      <c r="F1460" t="inlineStr">
        <is>
          <t>DALARNAS LÄN</t>
        </is>
      </c>
      <c r="G1460" t="inlineStr">
        <is>
          <t>FALUN</t>
        </is>
      </c>
      <c r="H1460" t="inlineStr">
        <is>
          <t>Bergvik skog väst AB</t>
        </is>
      </c>
      <c r="I1460" t="n">
        <v>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17336-2025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45756</v>
      </c>
      <c r="E1461" s="1" t="n">
        <v>46276</v>
      </c>
      <c r="F1461" t="inlineStr">
        <is>
          <t>DALARNAS LÄN</t>
        </is>
      </c>
      <c r="G1461" t="inlineStr">
        <is>
          <t>FALUN</t>
        </is>
      </c>
      <c r="I1461" t="n">
        <v>3.2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53864-2023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45231</v>
      </c>
      <c r="E1462" s="1" t="n">
        <v>46276</v>
      </c>
      <c r="F1462" t="inlineStr">
        <is>
          <t>DALARNAS LÄN</t>
        </is>
      </c>
      <c r="G1462" t="inlineStr">
        <is>
          <t>FALUN</t>
        </is>
      </c>
      <c r="I1462" t="n">
        <v>2.2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18042-2025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45761</v>
      </c>
      <c r="E1463" s="1" t="n">
        <v>46276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5.1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18051-2025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45761</v>
      </c>
      <c r="E1464" s="1" t="n">
        <v>46276</v>
      </c>
      <c r="F1464" t="inlineStr">
        <is>
          <t>DALARNAS LÄN</t>
        </is>
      </c>
      <c r="G1464" t="inlineStr">
        <is>
          <t>FALUN</t>
        </is>
      </c>
      <c r="H1464" t="inlineStr">
        <is>
          <t>Bergvik skog väst AB</t>
        </is>
      </c>
      <c r="I1464" t="n">
        <v>5.1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33596-2026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46248</v>
      </c>
      <c r="E1465" s="1" t="n">
        <v>46276</v>
      </c>
      <c r="F1465" t="inlineStr">
        <is>
          <t>DALARNAS LÄN</t>
        </is>
      </c>
      <c r="G1465" t="inlineStr">
        <is>
          <t>FALUN</t>
        </is>
      </c>
      <c r="I1465" t="n">
        <v>3.4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43238-2024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45567</v>
      </c>
      <c r="E1466" s="1" t="n">
        <v>46276</v>
      </c>
      <c r="F1466" t="inlineStr">
        <is>
          <t>DALARNAS LÄN</t>
        </is>
      </c>
      <c r="G1466" t="inlineStr">
        <is>
          <t>FALUN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29884-2026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46205</v>
      </c>
      <c r="E1467" s="1" t="n">
        <v>46276</v>
      </c>
      <c r="F1467" t="inlineStr">
        <is>
          <t>DALARNAS LÄN</t>
        </is>
      </c>
      <c r="G1467" t="inlineStr">
        <is>
          <t>FALUN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33815-2026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46251</v>
      </c>
      <c r="E1468" s="1" t="n">
        <v>46276</v>
      </c>
      <c r="F1468" t="inlineStr">
        <is>
          <t>DALARNAS LÄN</t>
        </is>
      </c>
      <c r="G1468" t="inlineStr">
        <is>
          <t>FALUN</t>
        </is>
      </c>
      <c r="I1468" t="n">
        <v>1.3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35063-2022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44797</v>
      </c>
      <c r="E1469" s="1" t="n">
        <v>46276</v>
      </c>
      <c r="F1469" t="inlineStr">
        <is>
          <t>DALARNAS LÄN</t>
        </is>
      </c>
      <c r="G1469" t="inlineStr">
        <is>
          <t>FALUN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33820-2026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46251</v>
      </c>
      <c r="E1470" s="1" t="n">
        <v>46276</v>
      </c>
      <c r="F1470" t="inlineStr">
        <is>
          <t>DALARNAS LÄN</t>
        </is>
      </c>
      <c r="G1470" t="inlineStr">
        <is>
          <t>FALUN</t>
        </is>
      </c>
      <c r="I1470" t="n">
        <v>2.7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40635-2022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44824</v>
      </c>
      <c r="E1471" s="1" t="n">
        <v>46276</v>
      </c>
      <c r="F1471" t="inlineStr">
        <is>
          <t>DALARNAS LÄN</t>
        </is>
      </c>
      <c r="G1471" t="inlineStr">
        <is>
          <t>FALUN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42455-2022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44831</v>
      </c>
      <c r="E1472" s="1" t="n">
        <v>46276</v>
      </c>
      <c r="F1472" t="inlineStr">
        <is>
          <t>DALARNAS LÄN</t>
        </is>
      </c>
      <c r="G1472" t="inlineStr">
        <is>
          <t>FALUN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44593-2023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45189</v>
      </c>
      <c r="E1473" s="1" t="n">
        <v>46276</v>
      </c>
      <c r="F1473" t="inlineStr">
        <is>
          <t>DALARNAS LÄN</t>
        </is>
      </c>
      <c r="G1473" t="inlineStr">
        <is>
          <t>FALUN</t>
        </is>
      </c>
      <c r="I1473" t="n">
        <v>0.2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30448-2026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46209</v>
      </c>
      <c r="E1474" s="1" t="n">
        <v>46276</v>
      </c>
      <c r="F1474" t="inlineStr">
        <is>
          <t>DALARNAS LÄN</t>
        </is>
      </c>
      <c r="G1474" t="inlineStr">
        <is>
          <t>FALUN</t>
        </is>
      </c>
      <c r="I1474" t="n">
        <v>2.7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5973-2024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45336</v>
      </c>
      <c r="E1475" s="1" t="n">
        <v>46276</v>
      </c>
      <c r="F1475" t="inlineStr">
        <is>
          <t>DALARNAS LÄN</t>
        </is>
      </c>
      <c r="G1475" t="inlineStr">
        <is>
          <t>FALUN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3360-2023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44949</v>
      </c>
      <c r="E1476" s="1" t="n">
        <v>46276</v>
      </c>
      <c r="F1476" t="inlineStr">
        <is>
          <t>DALARNAS LÄN</t>
        </is>
      </c>
      <c r="G1476" t="inlineStr">
        <is>
          <t>FALUN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29508-2024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45484</v>
      </c>
      <c r="E1477" s="1" t="n">
        <v>46276</v>
      </c>
      <c r="F1477" t="inlineStr">
        <is>
          <t>DALARNAS LÄN</t>
        </is>
      </c>
      <c r="G1477" t="inlineStr">
        <is>
          <t>FALUN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34090-2026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46252</v>
      </c>
      <c r="E1478" s="1" t="n">
        <v>46276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30463-2026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46209</v>
      </c>
      <c r="E1479" s="1" t="n">
        <v>46276</v>
      </c>
      <c r="F1479" t="inlineStr">
        <is>
          <t>DALARNAS LÄN</t>
        </is>
      </c>
      <c r="G1479" t="inlineStr">
        <is>
          <t>FALUN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34279-2026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46253</v>
      </c>
      <c r="E1480" s="1" t="n">
        <v>46276</v>
      </c>
      <c r="F1480" t="inlineStr">
        <is>
          <t>DALARNAS LÄN</t>
        </is>
      </c>
      <c r="G1480" t="inlineStr">
        <is>
          <t>FALUN</t>
        </is>
      </c>
      <c r="I1480" t="n">
        <v>4.3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33762-2026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46251</v>
      </c>
      <c r="E1481" s="1" t="n">
        <v>46276</v>
      </c>
      <c r="F1481" t="inlineStr">
        <is>
          <t>DALARNAS LÄN</t>
        </is>
      </c>
      <c r="G1481" t="inlineStr">
        <is>
          <t>FALUN</t>
        </is>
      </c>
      <c r="I1481" t="n">
        <v>5.6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4928-2024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45329</v>
      </c>
      <c r="E1482" s="1" t="n">
        <v>46276</v>
      </c>
      <c r="F1482" t="inlineStr">
        <is>
          <t>DALARNAS LÄN</t>
        </is>
      </c>
      <c r="G1482" t="inlineStr">
        <is>
          <t>FALUN</t>
        </is>
      </c>
      <c r="I1482" t="n">
        <v>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34327-2026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46254</v>
      </c>
      <c r="E1483" s="1" t="n">
        <v>46276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33972-2023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45134</v>
      </c>
      <c r="E1484" s="1" t="n">
        <v>46276</v>
      </c>
      <c r="F1484" t="inlineStr">
        <is>
          <t>DALARNAS LÄN</t>
        </is>
      </c>
      <c r="G1484" t="inlineStr">
        <is>
          <t>FALUN</t>
        </is>
      </c>
      <c r="I1484" t="n">
        <v>2.7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34324-2026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46254</v>
      </c>
      <c r="E1485" s="1" t="n">
        <v>46276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32.9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1758-2024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45307</v>
      </c>
      <c r="E1486" s="1" t="n">
        <v>46276</v>
      </c>
      <c r="F1486" t="inlineStr">
        <is>
          <t>DALARNAS LÄN</t>
        </is>
      </c>
      <c r="G1486" t="inlineStr">
        <is>
          <t>FALUN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34524-2026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46255</v>
      </c>
      <c r="E1487" s="1" t="n">
        <v>46276</v>
      </c>
      <c r="F1487" t="inlineStr">
        <is>
          <t>DALARNAS LÄN</t>
        </is>
      </c>
      <c r="G1487" t="inlineStr">
        <is>
          <t>FALUN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34201-2026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46253</v>
      </c>
      <c r="E1488" s="1" t="n">
        <v>46276</v>
      </c>
      <c r="F1488" t="inlineStr">
        <is>
          <t>DALARNAS LÄN</t>
        </is>
      </c>
      <c r="G1488" t="inlineStr">
        <is>
          <t>FALUN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34490-2026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46254</v>
      </c>
      <c r="E1489" s="1" t="n">
        <v>46276</v>
      </c>
      <c r="F1489" t="inlineStr">
        <is>
          <t>DALARNAS LÄN</t>
        </is>
      </c>
      <c r="G1489" t="inlineStr">
        <is>
          <t>FALUN</t>
        </is>
      </c>
      <c r="H1489" t="inlineStr">
        <is>
          <t>Allmännings- och besparingsskogar</t>
        </is>
      </c>
      <c r="I1489" t="n">
        <v>9.300000000000001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17883-2025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45758</v>
      </c>
      <c r="E1490" s="1" t="n">
        <v>46276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12512-2026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46090</v>
      </c>
      <c r="E1491" s="1" t="n">
        <v>46276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2.8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41611-2024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45560</v>
      </c>
      <c r="E1492" s="1" t="n">
        <v>46276</v>
      </c>
      <c r="F1492" t="inlineStr">
        <is>
          <t>DALARNAS LÄN</t>
        </is>
      </c>
      <c r="G1492" t="inlineStr">
        <is>
          <t>FALUN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31095-2026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46216</v>
      </c>
      <c r="E1493" s="1" t="n">
        <v>46276</v>
      </c>
      <c r="F1493" t="inlineStr">
        <is>
          <t>DALARNAS LÄN</t>
        </is>
      </c>
      <c r="G1493" t="inlineStr">
        <is>
          <t>FALUN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50757-2024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45602</v>
      </c>
      <c r="E1494" s="1" t="n">
        <v>46276</v>
      </c>
      <c r="F1494" t="inlineStr">
        <is>
          <t>DALARNAS LÄN</t>
        </is>
      </c>
      <c r="G1494" t="inlineStr">
        <is>
          <t>FALUN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14459-2025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45741</v>
      </c>
      <c r="E1495" s="1" t="n">
        <v>46276</v>
      </c>
      <c r="F1495" t="inlineStr">
        <is>
          <t>DALARNAS LÄN</t>
        </is>
      </c>
      <c r="G1495" t="inlineStr">
        <is>
          <t>FALUN</t>
        </is>
      </c>
      <c r="I1495" t="n">
        <v>2.5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44315-2023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45188</v>
      </c>
      <c r="E1496" s="1" t="n">
        <v>46276</v>
      </c>
      <c r="F1496" t="inlineStr">
        <is>
          <t>DALARNAS LÄN</t>
        </is>
      </c>
      <c r="G1496" t="inlineStr">
        <is>
          <t>FALUN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36212-2024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45534</v>
      </c>
      <c r="E1497" s="1" t="n">
        <v>46276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11897-2023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44995</v>
      </c>
      <c r="E1498" s="1" t="n">
        <v>46276</v>
      </c>
      <c r="F1498" t="inlineStr">
        <is>
          <t>DALARNAS LÄN</t>
        </is>
      </c>
      <c r="G1498" t="inlineStr">
        <is>
          <t>FALUN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35109-2026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46260</v>
      </c>
      <c r="E1499" s="1" t="n">
        <v>46276</v>
      </c>
      <c r="F1499" t="inlineStr">
        <is>
          <t>DALARNAS LÄN</t>
        </is>
      </c>
      <c r="G1499" t="inlineStr">
        <is>
          <t>FALUN</t>
        </is>
      </c>
      <c r="I1499" t="n">
        <v>6.7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22843-2022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44715</v>
      </c>
      <c r="E1500" s="1" t="n">
        <v>46276</v>
      </c>
      <c r="F1500" t="inlineStr">
        <is>
          <t>DALARNAS LÄN</t>
        </is>
      </c>
      <c r="G1500" t="inlineStr">
        <is>
          <t>FALUN</t>
        </is>
      </c>
      <c r="I1500" t="n">
        <v>1.4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31271-2026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46218</v>
      </c>
      <c r="E1501" s="1" t="n">
        <v>46276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2.3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56768-2024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45628</v>
      </c>
      <c r="E1502" s="1" t="n">
        <v>46276</v>
      </c>
      <c r="F1502" t="inlineStr">
        <is>
          <t>DALARNAS LÄN</t>
        </is>
      </c>
      <c r="G1502" t="inlineStr">
        <is>
          <t>FALUN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13220-2025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45735</v>
      </c>
      <c r="E1503" s="1" t="n">
        <v>46276</v>
      </c>
      <c r="F1503" t="inlineStr">
        <is>
          <t>DALARNAS LÄN</t>
        </is>
      </c>
      <c r="G1503" t="inlineStr">
        <is>
          <t>FALUN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50241-2024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45600</v>
      </c>
      <c r="E1504" s="1" t="n">
        <v>46276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31265-2026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46218</v>
      </c>
      <c r="E1505" s="1" t="n">
        <v>46276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1.8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35210-2026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46260</v>
      </c>
      <c r="E1506" s="1" t="n">
        <v>46276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31383-2026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46220</v>
      </c>
      <c r="E1507" s="1" t="n">
        <v>46276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54909-2024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45618</v>
      </c>
      <c r="E1508" s="1" t="n">
        <v>46276</v>
      </c>
      <c r="F1508" t="inlineStr">
        <is>
          <t>DALARNAS LÄN</t>
        </is>
      </c>
      <c r="G1508" t="inlineStr">
        <is>
          <t>FALUN</t>
        </is>
      </c>
      <c r="I1508" t="n">
        <v>2.3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35836-2026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46265</v>
      </c>
      <c r="E1509" s="1" t="n">
        <v>46276</v>
      </c>
      <c r="F1509" t="inlineStr">
        <is>
          <t>DALARNAS LÄN</t>
        </is>
      </c>
      <c r="G1509" t="inlineStr">
        <is>
          <t>FALUN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22663-2023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45071</v>
      </c>
      <c r="E1510" s="1" t="n">
        <v>46276</v>
      </c>
      <c r="F1510" t="inlineStr">
        <is>
          <t>DALARNAS LÄN</t>
        </is>
      </c>
      <c r="G1510" t="inlineStr">
        <is>
          <t>FALUN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20954-2025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45777</v>
      </c>
      <c r="E1511" s="1" t="n">
        <v>46276</v>
      </c>
      <c r="F1511" t="inlineStr">
        <is>
          <t>DALARNAS LÄN</t>
        </is>
      </c>
      <c r="G1511" t="inlineStr">
        <is>
          <t>FALUN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20680-2025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45776</v>
      </c>
      <c r="E1512" s="1" t="n">
        <v>46276</v>
      </c>
      <c r="F1512" t="inlineStr">
        <is>
          <t>DALARNAS LÄN</t>
        </is>
      </c>
      <c r="G1512" t="inlineStr">
        <is>
          <t>FALUN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20684-2025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45776</v>
      </c>
      <c r="E1513" s="1" t="n">
        <v>46276</v>
      </c>
      <c r="F1513" t="inlineStr">
        <is>
          <t>DALARNAS LÄN</t>
        </is>
      </c>
      <c r="G1513" t="inlineStr">
        <is>
          <t>FALUN</t>
        </is>
      </c>
      <c r="I1513" t="n">
        <v>0.4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31348-2026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46219</v>
      </c>
      <c r="E1514" s="1" t="n">
        <v>46276</v>
      </c>
      <c r="F1514" t="inlineStr">
        <is>
          <t>DALARNAS LÄN</t>
        </is>
      </c>
      <c r="G1514" t="inlineStr">
        <is>
          <t>FALUN</t>
        </is>
      </c>
      <c r="I1514" t="n">
        <v>4.7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35721-2026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46265</v>
      </c>
      <c r="E1515" s="1" t="n">
        <v>46276</v>
      </c>
      <c r="F1515" t="inlineStr">
        <is>
          <t>DALARNAS LÄN</t>
        </is>
      </c>
      <c r="G1515" t="inlineStr">
        <is>
          <t>FALUN</t>
        </is>
      </c>
      <c r="I1515" t="n">
        <v>1.9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35426-2026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46261</v>
      </c>
      <c r="E1516" s="1" t="n">
        <v>46276</v>
      </c>
      <c r="F1516" t="inlineStr">
        <is>
          <t>DALARNAS LÄN</t>
        </is>
      </c>
      <c r="G1516" t="inlineStr">
        <is>
          <t>FALUN</t>
        </is>
      </c>
      <c r="I1516" t="n">
        <v>0.7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44183-2024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45572</v>
      </c>
      <c r="E1517" s="1" t="n">
        <v>46276</v>
      </c>
      <c r="F1517" t="inlineStr">
        <is>
          <t>DALARNAS LÄN</t>
        </is>
      </c>
      <c r="G1517" t="inlineStr">
        <is>
          <t>FALUN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22343-2026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46154</v>
      </c>
      <c r="E1518" s="1" t="n">
        <v>46276</v>
      </c>
      <c r="F1518" t="inlineStr">
        <is>
          <t>DALARNAS LÄN</t>
        </is>
      </c>
      <c r="G1518" t="inlineStr">
        <is>
          <t>FALUN</t>
        </is>
      </c>
      <c r="I1518" t="n">
        <v>1.3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29880-2024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45486</v>
      </c>
      <c r="E1519" s="1" t="n">
        <v>46276</v>
      </c>
      <c r="F1519" t="inlineStr">
        <is>
          <t>DALARNAS LÄN</t>
        </is>
      </c>
      <c r="G1519" t="inlineStr">
        <is>
          <t>FALUN</t>
        </is>
      </c>
      <c r="I1519" t="n">
        <v>1.6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26773-2024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45470</v>
      </c>
      <c r="E1520" s="1" t="n">
        <v>46276</v>
      </c>
      <c r="F1520" t="inlineStr">
        <is>
          <t>DALARNAS LÄN</t>
        </is>
      </c>
      <c r="G1520" t="inlineStr">
        <is>
          <t>FALUN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43755-2023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45187</v>
      </c>
      <c r="E1521" s="1" t="n">
        <v>46276</v>
      </c>
      <c r="F1521" t="inlineStr">
        <is>
          <t>DALARNAS LÄN</t>
        </is>
      </c>
      <c r="G1521" t="inlineStr">
        <is>
          <t>FALUN</t>
        </is>
      </c>
      <c r="I1521" t="n">
        <v>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35559-2026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46262</v>
      </c>
      <c r="E1522" s="1" t="n">
        <v>46276</v>
      </c>
      <c r="F1522" t="inlineStr">
        <is>
          <t>DALARNAS LÄN</t>
        </is>
      </c>
      <c r="G1522" t="inlineStr">
        <is>
          <t>FALUN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24625-2024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45460</v>
      </c>
      <c r="E1523" s="1" t="n">
        <v>46276</v>
      </c>
      <c r="F1523" t="inlineStr">
        <is>
          <t>DALARNAS LÄN</t>
        </is>
      </c>
      <c r="G1523" t="inlineStr">
        <is>
          <t>FALUN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28123-2024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45476</v>
      </c>
      <c r="E1524" s="1" t="n">
        <v>46276</v>
      </c>
      <c r="F1524" t="inlineStr">
        <is>
          <t>DALARNAS LÄN</t>
        </is>
      </c>
      <c r="G1524" t="inlineStr">
        <is>
          <t>FALUN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28724-2024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45478</v>
      </c>
      <c r="E1525" s="1" t="n">
        <v>46276</v>
      </c>
      <c r="F1525" t="inlineStr">
        <is>
          <t>DALARNAS LÄN</t>
        </is>
      </c>
      <c r="G1525" t="inlineStr">
        <is>
          <t>FALUN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15790-2024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45404</v>
      </c>
      <c r="E1526" s="1" t="n">
        <v>46276</v>
      </c>
      <c r="F1526" t="inlineStr">
        <is>
          <t>DALARNAS LÄN</t>
        </is>
      </c>
      <c r="G1526" t="inlineStr">
        <is>
          <t>FALUN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41006-2025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45898</v>
      </c>
      <c r="E1527" s="1" t="n">
        <v>46276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11109-2024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45371</v>
      </c>
      <c r="E1528" s="1" t="n">
        <v>46276</v>
      </c>
      <c r="F1528" t="inlineStr">
        <is>
          <t>DALARNAS LÄN</t>
        </is>
      </c>
      <c r="G1528" t="inlineStr">
        <is>
          <t>FALUN</t>
        </is>
      </c>
      <c r="I1528" t="n">
        <v>2.6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31496-2026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46223</v>
      </c>
      <c r="E1529" s="1" t="n">
        <v>46276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35936-2026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46266</v>
      </c>
      <c r="E1530" s="1" t="n">
        <v>46276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22608-2026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46155</v>
      </c>
      <c r="E1531" s="1" t="n">
        <v>46276</v>
      </c>
      <c r="F1531" t="inlineStr">
        <is>
          <t>DALARNAS LÄN</t>
        </is>
      </c>
      <c r="G1531" t="inlineStr">
        <is>
          <t>FALUN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31513-2026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46223</v>
      </c>
      <c r="E1532" s="1" t="n">
        <v>46276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31587-2026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46224</v>
      </c>
      <c r="E1533" s="1" t="n">
        <v>46276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35894-2024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45533</v>
      </c>
      <c r="E1534" s="1" t="n">
        <v>46276</v>
      </c>
      <c r="F1534" t="inlineStr">
        <is>
          <t>DALARNAS LÄN</t>
        </is>
      </c>
      <c r="G1534" t="inlineStr">
        <is>
          <t>FALUN</t>
        </is>
      </c>
      <c r="I1534" t="n">
        <v>8.800000000000001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35530-2024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45531</v>
      </c>
      <c r="E1535" s="1" t="n">
        <v>46276</v>
      </c>
      <c r="F1535" t="inlineStr">
        <is>
          <t>DALARNAS LÄN</t>
        </is>
      </c>
      <c r="G1535" t="inlineStr">
        <is>
          <t>FALUN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5818-2024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45335</v>
      </c>
      <c r="E1536" s="1" t="n">
        <v>46276</v>
      </c>
      <c r="F1536" t="inlineStr">
        <is>
          <t>DALARNAS LÄN</t>
        </is>
      </c>
      <c r="G1536" t="inlineStr">
        <is>
          <t>FALUN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7902-2024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45350</v>
      </c>
      <c r="E1537" s="1" t="n">
        <v>46276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5169-2024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45330</v>
      </c>
      <c r="E1538" s="1" t="n">
        <v>46276</v>
      </c>
      <c r="F1538" t="inlineStr">
        <is>
          <t>DALARNAS LÄN</t>
        </is>
      </c>
      <c r="G1538" t="inlineStr">
        <is>
          <t>FALUN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36155-2026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46267</v>
      </c>
      <c r="E1539" s="1" t="n">
        <v>46276</v>
      </c>
      <c r="F1539" t="inlineStr">
        <is>
          <t>DALARNAS LÄN</t>
        </is>
      </c>
      <c r="G1539" t="inlineStr">
        <is>
          <t>FALUN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35890-2024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45533</v>
      </c>
      <c r="E1540" s="1" t="n">
        <v>46276</v>
      </c>
      <c r="F1540" t="inlineStr">
        <is>
          <t>DALARNAS LÄN</t>
        </is>
      </c>
      <c r="G1540" t="inlineStr">
        <is>
          <t>FALUN</t>
        </is>
      </c>
      <c r="I1540" t="n">
        <v>2.9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50512-2024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45601</v>
      </c>
      <c r="E1541" s="1" t="n">
        <v>46276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31701-2026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46226</v>
      </c>
      <c r="E1542" s="1" t="n">
        <v>46276</v>
      </c>
      <c r="F1542" t="inlineStr">
        <is>
          <t>DALARNAS LÄN</t>
        </is>
      </c>
      <c r="G1542" t="inlineStr">
        <is>
          <t>FALUN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38216-2024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45545</v>
      </c>
      <c r="E1543" s="1" t="n">
        <v>46276</v>
      </c>
      <c r="F1543" t="inlineStr">
        <is>
          <t>DALARNAS LÄN</t>
        </is>
      </c>
      <c r="G1543" t="inlineStr">
        <is>
          <t>FALUN</t>
        </is>
      </c>
      <c r="H1543" t="inlineStr">
        <is>
          <t>Bergvik skog väst AB</t>
        </is>
      </c>
      <c r="I1543" t="n">
        <v>9.699999999999999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36495-2026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46269</v>
      </c>
      <c r="E1544" s="1" t="n">
        <v>46276</v>
      </c>
      <c r="F1544" t="inlineStr">
        <is>
          <t>DALARNAS LÄN</t>
        </is>
      </c>
      <c r="G1544" t="inlineStr">
        <is>
          <t>FALUN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22782-2024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45448</v>
      </c>
      <c r="E1545" s="1" t="n">
        <v>46276</v>
      </c>
      <c r="F1545" t="inlineStr">
        <is>
          <t>DALARNAS LÄN</t>
        </is>
      </c>
      <c r="G1545" t="inlineStr">
        <is>
          <t>FALUN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36397-2024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45535</v>
      </c>
      <c r="E1546" s="1" t="n">
        <v>46276</v>
      </c>
      <c r="F1546" t="inlineStr">
        <is>
          <t>DALARNAS LÄN</t>
        </is>
      </c>
      <c r="G1546" t="inlineStr">
        <is>
          <t>FALUN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36795-2026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46272</v>
      </c>
      <c r="E1547" s="1" t="n">
        <v>46276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35070-2024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45527</v>
      </c>
      <c r="E1548" s="1" t="n">
        <v>46276</v>
      </c>
      <c r="F1548" t="inlineStr">
        <is>
          <t>DALARNAS LÄN</t>
        </is>
      </c>
      <c r="G1548" t="inlineStr">
        <is>
          <t>FALUN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26883-2022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44740</v>
      </c>
      <c r="E1549" s="1" t="n">
        <v>46276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23711-2025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45793</v>
      </c>
      <c r="E1550" s="1" t="n">
        <v>46276</v>
      </c>
      <c r="F1550" t="inlineStr">
        <is>
          <t>DALARNAS LÄN</t>
        </is>
      </c>
      <c r="G1550" t="inlineStr">
        <is>
          <t>FALUN</t>
        </is>
      </c>
      <c r="I1550" t="n">
        <v>5.3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51130-2024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45603</v>
      </c>
      <c r="E1551" s="1" t="n">
        <v>46276</v>
      </c>
      <c r="F1551" t="inlineStr">
        <is>
          <t>DALARNAS LÄN</t>
        </is>
      </c>
      <c r="G1551" t="inlineStr">
        <is>
          <t>FALUN</t>
        </is>
      </c>
      <c r="I1551" t="n">
        <v>1.5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37036-2026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46273</v>
      </c>
      <c r="E1552" s="1" t="n">
        <v>46276</v>
      </c>
      <c r="F1552" t="inlineStr">
        <is>
          <t>DALARNAS LÄN</t>
        </is>
      </c>
      <c r="G1552" t="inlineStr">
        <is>
          <t>FALUN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36308-2024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45534</v>
      </c>
      <c r="E1553" s="1" t="n">
        <v>46276</v>
      </c>
      <c r="F1553" t="inlineStr">
        <is>
          <t>DALARNAS LÄN</t>
        </is>
      </c>
      <c r="G1553" t="inlineStr">
        <is>
          <t>FALUN</t>
        </is>
      </c>
      <c r="I1553" t="n">
        <v>0.9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35437-2024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45531</v>
      </c>
      <c r="E1554" s="1" t="n">
        <v>46276</v>
      </c>
      <c r="F1554" t="inlineStr">
        <is>
          <t>DALARNAS LÄN</t>
        </is>
      </c>
      <c r="G1554" t="inlineStr">
        <is>
          <t>FALUN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31858-2026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46230</v>
      </c>
      <c r="E1555" s="1" t="n">
        <v>46276</v>
      </c>
      <c r="F1555" t="inlineStr">
        <is>
          <t>DALARNAS LÄN</t>
        </is>
      </c>
      <c r="G1555" t="inlineStr">
        <is>
          <t>FALUN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36803-2026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46272</v>
      </c>
      <c r="E1556" s="1" t="n">
        <v>46276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37068-2026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46273</v>
      </c>
      <c r="E1557" s="1" t="n">
        <v>46276</v>
      </c>
      <c r="F1557" t="inlineStr">
        <is>
          <t>DALARNAS LÄN</t>
        </is>
      </c>
      <c r="G1557" t="inlineStr">
        <is>
          <t>FALUN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31859-2026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46230</v>
      </c>
      <c r="E1558" s="1" t="n">
        <v>46276</v>
      </c>
      <c r="F1558" t="inlineStr">
        <is>
          <t>DALARNAS LÄN</t>
        </is>
      </c>
      <c r="G1558" t="inlineStr">
        <is>
          <t>FALUN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36705-2026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46272</v>
      </c>
      <c r="E1559" s="1" t="n">
        <v>46276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36869-2026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46272</v>
      </c>
      <c r="E1560" s="1" t="n">
        <v>46276</v>
      </c>
      <c r="F1560" t="inlineStr">
        <is>
          <t>DALARNAS LÄN</t>
        </is>
      </c>
      <c r="G1560" t="inlineStr">
        <is>
          <t>FALUN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36727-2026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46272</v>
      </c>
      <c r="E1561" s="1" t="n">
        <v>46276</v>
      </c>
      <c r="F1561" t="inlineStr">
        <is>
          <t>DALARNAS LÄN</t>
        </is>
      </c>
      <c r="G1561" t="inlineStr">
        <is>
          <t>FALUN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36695-2026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46272</v>
      </c>
      <c r="E1562" s="1" t="n">
        <v>46276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37308-2026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46274</v>
      </c>
      <c r="E1563" s="1" t="n">
        <v>46276</v>
      </c>
      <c r="F1563" t="inlineStr">
        <is>
          <t>DALARNAS LÄN</t>
        </is>
      </c>
      <c r="G1563" t="inlineStr">
        <is>
          <t>FALUN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37435-2026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46275</v>
      </c>
      <c r="E1564" s="1" t="n">
        <v>46276</v>
      </c>
      <c r="F1564" t="inlineStr">
        <is>
          <t>DALARNAS LÄN</t>
        </is>
      </c>
      <c r="G1564" t="inlineStr">
        <is>
          <t>FALUN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2065-2022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44672</v>
      </c>
      <c r="E1565" s="1" t="n">
        <v>46276</v>
      </c>
      <c r="F1565" t="inlineStr">
        <is>
          <t>DALARNAS LÄN</t>
        </is>
      </c>
      <c r="G1565" t="inlineStr">
        <is>
          <t>FALUN</t>
        </is>
      </c>
      <c r="I1565" t="n">
        <v>84.09999999999999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889-2021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44301</v>
      </c>
      <c r="E1566" s="1" t="n">
        <v>46276</v>
      </c>
      <c r="F1566" t="inlineStr">
        <is>
          <t>DALARNAS LÄN</t>
        </is>
      </c>
      <c r="G1566" t="inlineStr">
        <is>
          <t>FALUN</t>
        </is>
      </c>
      <c r="I1566" t="n">
        <v>84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2524-2024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45474</v>
      </c>
      <c r="E1567" s="1" t="n">
        <v>46276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4.4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2621-2023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45147</v>
      </c>
      <c r="E1568" s="1" t="n">
        <v>46276</v>
      </c>
      <c r="F1568" t="inlineStr">
        <is>
          <t>DALARNAS LÄN</t>
        </is>
      </c>
      <c r="G1568" t="inlineStr">
        <is>
          <t>FALUN</t>
        </is>
      </c>
      <c r="I1568" t="n">
        <v>84.3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2711-2023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46276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6520-2021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44452</v>
      </c>
      <c r="E1570" s="1" t="n">
        <v>46276</v>
      </c>
      <c r="F1570" t="inlineStr">
        <is>
          <t>DALARNAS LÄN</t>
        </is>
      </c>
      <c r="G1570" t="inlineStr">
        <is>
          <t>FALUN</t>
        </is>
      </c>
      <c r="I1570" t="n">
        <v>31.7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2070-2022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44672</v>
      </c>
      <c r="E1571" s="1" t="n">
        <v>46276</v>
      </c>
      <c r="F1571" t="inlineStr">
        <is>
          <t>DALARNAS LÄN</t>
        </is>
      </c>
      <c r="G1571" t="inlineStr">
        <is>
          <t>FALUN</t>
        </is>
      </c>
      <c r="I1571" t="n">
        <v>18.4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1536-2023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45054</v>
      </c>
      <c r="E1572" s="1" t="n">
        <v>46276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179.7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2990-2022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44713</v>
      </c>
      <c r="E1573" s="1" t="n">
        <v>46276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317.3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2864-2023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45168</v>
      </c>
      <c r="E1574" s="1" t="n">
        <v>46276</v>
      </c>
      <c r="F1574" t="inlineStr">
        <is>
          <t>DALARNAS LÄN</t>
        </is>
      </c>
      <c r="G1574" t="inlineStr">
        <is>
          <t>FALUN</t>
        </is>
      </c>
      <c r="H1574" t="inlineStr">
        <is>
          <t>Övriga statliga verk och myndigheter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2917-2023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45169</v>
      </c>
      <c r="E1575" s="1" t="n">
        <v>46276</v>
      </c>
      <c r="F1575" t="inlineStr">
        <is>
          <t>DALARNAS LÄN</t>
        </is>
      </c>
      <c r="G1575" t="inlineStr">
        <is>
          <t>FALUN</t>
        </is>
      </c>
      <c r="H1575" t="inlineStr">
        <is>
          <t>Övriga statliga verk och myndigheter</t>
        </is>
      </c>
      <c r="I1575" t="n">
        <v>5.5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2714-2023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45155</v>
      </c>
      <c r="E1576" s="1" t="n">
        <v>46276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2916-2023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45169</v>
      </c>
      <c r="E1577" s="1" t="n">
        <v>46276</v>
      </c>
      <c r="F1577" t="inlineStr">
        <is>
          <t>DALARNAS LÄN</t>
        </is>
      </c>
      <c r="G1577" t="inlineStr">
        <is>
          <t>FALUN</t>
        </is>
      </c>
      <c r="H1577" t="inlineStr">
        <is>
          <t>Övriga statliga verk och myndigheter</t>
        </is>
      </c>
      <c r="I1577" t="n">
        <v>10.4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240-2024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45319</v>
      </c>
      <c r="E1578" s="1" t="n">
        <v>46276</v>
      </c>
      <c r="F1578" t="inlineStr">
        <is>
          <t>DALARNAS LÄN</t>
        </is>
      </c>
      <c r="G1578" t="inlineStr">
        <is>
          <t>FALUN</t>
        </is>
      </c>
      <c r="H1578" t="inlineStr">
        <is>
          <t>Sveaskog</t>
        </is>
      </c>
      <c r="I1578" t="n">
        <v>56.9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3359-2024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45532</v>
      </c>
      <c r="E1579" s="1" t="n">
        <v>46276</v>
      </c>
      <c r="F1579" t="inlineStr">
        <is>
          <t>DALARNAS LÄN</t>
        </is>
      </c>
      <c r="G1579" t="inlineStr">
        <is>
          <t>FALUN</t>
        </is>
      </c>
      <c r="I1579" t="n">
        <v>70.90000000000001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2712-2023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46276</v>
      </c>
      <c r="F1580" t="inlineStr">
        <is>
          <t>DALARNAS LÄN</t>
        </is>
      </c>
      <c r="G1580" t="inlineStr">
        <is>
          <t>FALUN</t>
        </is>
      </c>
      <c r="I1580" t="n">
        <v>3.5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4545-2024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45597</v>
      </c>
      <c r="E1581" s="1" t="n">
        <v>46276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1184-2024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45396</v>
      </c>
      <c r="E1582" s="1" t="n">
        <v>46276</v>
      </c>
      <c r="F1582" t="inlineStr">
        <is>
          <t>DALARNAS LÄN</t>
        </is>
      </c>
      <c r="G1582" t="inlineStr">
        <is>
          <t>FALUN</t>
        </is>
      </c>
      <c r="I1582" t="n">
        <v>15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2066-2022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44672</v>
      </c>
      <c r="E1583" s="1" t="n">
        <v>46276</v>
      </c>
      <c r="F1583" t="inlineStr">
        <is>
          <t>DALARNAS LÄN</t>
        </is>
      </c>
      <c r="G1583" t="inlineStr">
        <is>
          <t>FALUN</t>
        </is>
      </c>
      <c r="I1583" t="n">
        <v>18.4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1347-2025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45772</v>
      </c>
      <c r="E1584" s="1" t="n">
        <v>46276</v>
      </c>
      <c r="F1584" t="inlineStr">
        <is>
          <t>DALARNAS LÄN</t>
        </is>
      </c>
      <c r="G1584" t="inlineStr">
        <is>
          <t>FALUN</t>
        </is>
      </c>
      <c r="I1584" t="n">
        <v>24.4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1581-2025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45796</v>
      </c>
      <c r="E1585" s="1" t="n">
        <v>46276</v>
      </c>
      <c r="F1585" t="inlineStr">
        <is>
          <t>DALARNAS LÄN</t>
        </is>
      </c>
      <c r="G1585" t="inlineStr">
        <is>
          <t>FALUN</t>
        </is>
      </c>
      <c r="I1585" t="n">
        <v>15.7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2125-2025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46276</v>
      </c>
      <c r="F1586" t="inlineStr">
        <is>
          <t>DALARNAS LÄN</t>
        </is>
      </c>
      <c r="G1586" t="inlineStr">
        <is>
          <t>FALUN</t>
        </is>
      </c>
      <c r="I1586" t="n">
        <v>4.2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2126-2025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45846</v>
      </c>
      <c r="E1587" s="1" t="n">
        <v>46276</v>
      </c>
      <c r="F1587" t="inlineStr">
        <is>
          <t>DALARNAS LÄN</t>
        </is>
      </c>
      <c r="G1587" t="inlineStr">
        <is>
          <t>FALUN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2124-2025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45846</v>
      </c>
      <c r="E1588" s="1" t="n">
        <v>46276</v>
      </c>
      <c r="F1588" t="inlineStr">
        <is>
          <t>DALARNAS LÄN</t>
        </is>
      </c>
      <c r="G1588" t="inlineStr">
        <is>
          <t>FALUN</t>
        </is>
      </c>
      <c r="I1588" t="n">
        <v>10.8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2573-2025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45912</v>
      </c>
      <c r="E1589" s="1" t="n">
        <v>46276</v>
      </c>
      <c r="F1589" t="inlineStr">
        <is>
          <t>DALARNAS LÄN</t>
        </is>
      </c>
      <c r="G1589" t="inlineStr">
        <is>
          <t>FALUN</t>
        </is>
      </c>
      <c r="I1589" t="n">
        <v>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111-2026</t>
        </is>
      </c>
      <c r="B1590" t="inlineStr">
        <is>
          <t>samrådsanmälan</t>
        </is>
      </c>
      <c r="C1590" t="inlineStr">
        <is>
          <t>Annan skogsbruksåtgärd</t>
        </is>
      </c>
      <c r="D1590" s="1" t="n">
        <v>46038</v>
      </c>
      <c r="E1590" s="1" t="n">
        <v>46276</v>
      </c>
      <c r="F1590" t="inlineStr">
        <is>
          <t>DALARNAS LÄN</t>
        </is>
      </c>
      <c r="G1590" t="inlineStr">
        <is>
          <t>FALUN</t>
        </is>
      </c>
      <c r="I1590" t="n">
        <v>1.5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409-2026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46070</v>
      </c>
      <c r="E1591" s="1" t="n">
        <v>46276</v>
      </c>
      <c r="F1591" t="inlineStr">
        <is>
          <t>DALARNAS LÄN</t>
        </is>
      </c>
      <c r="G1591" t="inlineStr">
        <is>
          <t>FALUN</t>
        </is>
      </c>
      <c r="H1591" t="inlineStr">
        <is>
          <t>Sveaskog</t>
        </is>
      </c>
      <c r="I1591" t="n">
        <v>17.1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1869-2026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46199</v>
      </c>
      <c r="E1592" s="1" t="n">
        <v>46276</v>
      </c>
      <c r="F1592" t="inlineStr">
        <is>
          <t>DALARNAS LÄN</t>
        </is>
      </c>
      <c r="G1592" t="inlineStr">
        <is>
          <t>FALUN</t>
        </is>
      </c>
      <c r="I1592" t="n">
        <v>9.1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>
      <c r="A1593" t="inlineStr">
        <is>
          <t>S 2175-2026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46251</v>
      </c>
      <c r="E1593" s="1" t="n">
        <v>46276</v>
      </c>
      <c r="F1593" t="inlineStr">
        <is>
          <t>DALARNAS LÄN</t>
        </is>
      </c>
      <c r="G1593" t="inlineStr">
        <is>
          <t>FALUN</t>
        </is>
      </c>
      <c r="H1593" t="inlineStr">
        <is>
          <t>Bergvik skog väst AB</t>
        </is>
      </c>
      <c r="I1593" t="n">
        <v>74.7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2026-09-11T02:11:48Z</dcterms:created>
  <dcterms:modified xmlns:dcterms="http://purl.org/dc/terms/" xmlns:xsi="http://www.w3.org/2001/XMLSchema-instance" xsi:type="dcterms:W3CDTF">2026-09-11T02:11:49Z</dcterms:modified>
</cp:coreProperties>
</file>