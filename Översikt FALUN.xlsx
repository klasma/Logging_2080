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45753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45753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45753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13367-2025</t>
        </is>
      </c>
      <c r="B15" s="1" t="n">
        <v>45735</v>
      </c>
      <c r="C15" s="1" t="n">
        <v>45753</v>
      </c>
      <c r="D15" t="inlineStr">
        <is>
          <t>DALARNAS LÄN</t>
        </is>
      </c>
      <c r="E15" t="inlineStr">
        <is>
          <t>FALUN</t>
        </is>
      </c>
      <c r="G15" t="n">
        <v>9.300000000000001</v>
      </c>
      <c r="H15" t="n">
        <v>6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Spillkråka
Talltita
Bronshjon
Grönsiska
Kungsfågel
Blåsippa</t>
        </is>
      </c>
      <c r="S15">
        <f>HYPERLINK("https://klasma.github.io/Logging_202080/artfynd/A 13367-2025 artfynd.xlsx", "A 13367-2025")</f>
        <v/>
      </c>
      <c r="T15">
        <f>HYPERLINK("https://klasma.github.io/Logging_202080/kartor/A 13367-2025 karta.png", "A 13367-2025")</f>
        <v/>
      </c>
      <c r="U15">
        <f>HYPERLINK("https://klasma.github.io/Logging_202080/knärot/A 13367-2025 karta knärot.png", "A 13367-2025")</f>
        <v/>
      </c>
      <c r="V15">
        <f>HYPERLINK("https://klasma.github.io/Logging_202080/klagomål/A 13367-2025 FSC-klagomål.docx", "A 13367-2025")</f>
        <v/>
      </c>
      <c r="W15">
        <f>HYPERLINK("https://klasma.github.io/Logging_202080/klagomålsmail/A 13367-2025 FSC-klagomål mail.docx", "A 13367-2025")</f>
        <v/>
      </c>
      <c r="X15">
        <f>HYPERLINK("https://klasma.github.io/Logging_202080/tillsyn/A 13367-2025 tillsynsbegäran.docx", "A 13367-2025")</f>
        <v/>
      </c>
      <c r="Y15">
        <f>HYPERLINK("https://klasma.github.io/Logging_202080/tillsynsmail/A 13367-2025 tillsynsbegäran mail.docx", "A 13367-2025")</f>
        <v/>
      </c>
      <c r="Z15">
        <f>HYPERLINK("https://klasma.github.io/Logging_202080/fåglar/A 13367-2025 prioriterade fågelarter.docx", "A 13367-2025")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45753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45753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45753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45753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45753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45753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45753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45753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45753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45753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45753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45753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45753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45753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45753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Garnlav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45753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45753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45753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45753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45753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45753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45753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45753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45753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45753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45753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45753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45753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45753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45753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45753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45753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45753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45753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45753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45753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45753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45753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45753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45753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45753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45753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45753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45753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45753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45753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45753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45753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45753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45753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45753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45753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45753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45753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45753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45753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45753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45753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45753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45753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45753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45753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45753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45753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45753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45753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45753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45753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45753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45753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45753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45753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45753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45753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45753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45753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45753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45753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45753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45753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45753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45753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45753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45753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45753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45753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45753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45753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45753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45753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45753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45753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45753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45753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45753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45753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45753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45753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45753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45753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45753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45753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45753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45753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45753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45753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45753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45753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45753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45753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45753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45753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45753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45753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45753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45753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45753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45753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45753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45753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45753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45753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45753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45753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45753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45753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45753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45753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45753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45753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45753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45753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45753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45753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45753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45753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45753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45753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45753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45753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45753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45753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45753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45753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45753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45753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45753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45753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45753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45753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45753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45753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45753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45753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45753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45753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45753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45753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45753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45753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45753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45753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45753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45753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45753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45753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45753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45753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45753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45753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45753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45753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45753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45753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45753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45753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45753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45753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45753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45753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45753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45753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45753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45753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45753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45753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45753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45753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45753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45753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45753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45753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45753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45753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45753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45753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45753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45753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45753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45753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45753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45753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45753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45753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45753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45753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45753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45753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45753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45753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45753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45753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45753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45753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45753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45753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45753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45753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45753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45753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45753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45753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45753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45753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45753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45753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45753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45753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45753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45753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45753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45753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45753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45753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45753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45753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45753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45753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45753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45753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45753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45753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45753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45753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45753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45753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45753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45753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45753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45753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45753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45753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45753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45753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45753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45753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45753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45753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45753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45753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45753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45753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45753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45753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45753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45753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45753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45753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45753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45753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45753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45753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45753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45753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45753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45753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45753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45753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45753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45753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45753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45753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45753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45753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45753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45753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45753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45753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45753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45753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45753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45753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45753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45753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45753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45753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45753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45753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45753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45753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45753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45753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45753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45753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45753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45753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45753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45753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45753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45753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45753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45753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45753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45753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45753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45753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45753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45753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45753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45753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45753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45753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45753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45753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45753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45753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45753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45753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45753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45753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45753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45753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45753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45753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45753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45753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45753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45753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45753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45753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45753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45753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45753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45753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45753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45753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45753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45753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45753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45753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45753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45753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45753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45753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45753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45753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45753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45753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45753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45753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45753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45753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45753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45753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45753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45753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45753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45753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45753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45753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45753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45753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45753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45753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45753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45753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45753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45753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45753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45753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45753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45753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45753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45753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45753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45753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45753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45753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45753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45753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45753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45753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45753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45753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45753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45753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45753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45753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45753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45753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45753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45753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45753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45753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45753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45753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45753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45753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45753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45753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45753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45753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45753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45753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45753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45753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45753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45753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45753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45753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45753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45753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45753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45753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45753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45753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45753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45753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45753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45753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45753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45753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45753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45753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45753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45753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45753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45753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45753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45753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45753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45753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45753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45753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45753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45753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45753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45753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45753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45753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45753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45753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45753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45753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45753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45753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45753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45753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45753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45753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45753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45753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45753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45753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45753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45753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45753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45753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45753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45753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45753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45753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45753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45753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45753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45753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45753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45753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45753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45753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45753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45753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45753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45753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45753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45753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45753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45753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45753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45753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45753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45753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45753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45753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45753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45753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45753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45753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45753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45753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45753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45753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45753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45753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45753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45753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45753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45753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45753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45753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45753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45753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45753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45753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45753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45753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45753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45753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45753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45753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45753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45753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45753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45753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45753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45753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45753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45753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45753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45753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45753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45753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45753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45753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45753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45753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45753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45753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45753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45753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45753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45753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45753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45753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45753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45753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45753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45753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45753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45753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45753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45753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45753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45753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45753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45753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45753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45753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45753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45753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45753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45753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45753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45753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45753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45753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45753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45753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45753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45753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45753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45753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45753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45753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45753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45753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45753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45753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45753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45753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45753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45753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45753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45753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45753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45753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45753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45753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45753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45753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45753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45753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45753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45753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45753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45753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45753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45753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45753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45753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45753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45753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45753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45753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45753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45753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45753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45753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45753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45753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45753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45753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45753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45753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45753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45753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45753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45753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45753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45753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45753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45753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45753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45753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45753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45753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45753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45753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45753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45753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45753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45753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45753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45753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45753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45753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45753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45753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45753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45753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45753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45753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45753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45753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45753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45753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45753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45753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45753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45753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45753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45753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45753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45753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45753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45753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45753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45753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45753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45753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45753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45753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45753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45753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45753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45753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45753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45753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45753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45753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45753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45753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45753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45753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45753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45753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45753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45753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45753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45753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45753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45753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45753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45753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45753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45753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45753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45753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45753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45753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45753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45753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45753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45753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45753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45753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45753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45753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45753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45753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45753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45753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45753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45753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45753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45753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45753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45753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45753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45753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45753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45753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45753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45753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45753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45753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45753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45753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45753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45753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45753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45753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45753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45753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45753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45753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45753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45753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45753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45753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45753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45753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45753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45753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45753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45753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45753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45753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45753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45753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45753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45753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45753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45753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45753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45753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45753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45753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45753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45753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45753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45753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45753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45753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45753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45753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45753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45753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45753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45753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45753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45753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45753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45753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45753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45753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45753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45753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45753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45753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45753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45753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45753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45753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45753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45753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45753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45753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45753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45753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45753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45753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45753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45753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45753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45753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45753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45753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45753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45753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45753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45753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45753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45753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45753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45753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45753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45753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45753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45753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45753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45753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45753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45753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45753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45753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45753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45753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45753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45753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45753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45753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45753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45753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45753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45753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45753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45753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45753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45753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45753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45753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45753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45753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45753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45753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45753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45753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45753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45753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45753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45753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45753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45753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45753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45753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45753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45753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45753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45753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45753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45753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45753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45753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45753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45753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45753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45753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45753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45753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45753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45753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45753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45753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45753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45753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45753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45753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45753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45753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45753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45753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45753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45753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45753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45753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45753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45753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45753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45753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45753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45753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45753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45753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45753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45753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45753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45753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45753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45753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45753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45753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45753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45753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45753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45753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45753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45753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45753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45753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45753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45753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45753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45753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45753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45753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45753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45753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45753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45753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45753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45753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45753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45753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45753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45753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45753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45753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45753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45753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45753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45753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45753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45753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45753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45753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45753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45753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45753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45753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45753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45753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45753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45753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45753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45753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45753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45753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45753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45753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45753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45753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45753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45753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45753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45753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45753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45753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45753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45753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45753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45753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45753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45753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45753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45753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45753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45753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45753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45753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45753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45753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45753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45753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45753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45753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45753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45753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45753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45753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45753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45753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45753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45753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45753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45753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45753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45753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45753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45753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45753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45753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45753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45753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45753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45753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45753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45753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45753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45753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45753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45753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45753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45753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45753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45753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45753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45753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45753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45753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45753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45753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45753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45753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45753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45753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45753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45753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45753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45753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45753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45753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45753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45753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45753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45753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45753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45753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45753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45753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45753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45753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45753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45753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45753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45753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45753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45753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45753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45753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45753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45753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45753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45753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45753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45753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45753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45753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45753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45753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45753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45753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45753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45753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45753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45753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45753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45753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45753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45753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45753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45753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45753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45753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45753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45753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45753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45753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45753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45753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45753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45753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45753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45753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45753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45753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45753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45753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45753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45753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45753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45753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45753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45753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45753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45753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45753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45753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45753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45753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45753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45753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45753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45753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45753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45753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45753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45753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45753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45753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45753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45753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45753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45753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45753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45753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45753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45753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45753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45753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45753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45753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45753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45753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45753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45753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45753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45753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45753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45753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45753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45753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45753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45753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45753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45753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45753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45753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45753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45753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45753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45753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45753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45753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45753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45753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45753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45753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45753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45753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45753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45753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45753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45753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45753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45753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45753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45753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45753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45753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45753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45753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45753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45753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45753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45753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45753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45753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45753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45753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45753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45753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45753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45753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45753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45753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45753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45753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45753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45753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45753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45753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45753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45753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45753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45753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45753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45753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45753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45753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45753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45753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45753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45753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45753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45753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45753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45753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45753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45753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45753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45753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45753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45753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45753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45753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45753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45753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45753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45753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45753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45753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45753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45753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45753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45753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45753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45753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45753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45753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45753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45753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45753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45753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14501-2025</t>
        </is>
      </c>
      <c r="B1553" s="1" t="n">
        <v>45741</v>
      </c>
      <c r="C1553" s="1" t="n">
        <v>45753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45753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45753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45753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45753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14465-2025</t>
        </is>
      </c>
      <c r="B1558" s="1" t="n">
        <v>45741</v>
      </c>
      <c r="C1558" s="1" t="n">
        <v>45753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14552-2025</t>
        </is>
      </c>
      <c r="B1559" s="1" t="n">
        <v>45741</v>
      </c>
      <c r="C1559" s="1" t="n">
        <v>45753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14553-2025</t>
        </is>
      </c>
      <c r="B1560" s="1" t="n">
        <v>45741</v>
      </c>
      <c r="C1560" s="1" t="n">
        <v>45753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45753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45753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15119-2025</t>
        </is>
      </c>
      <c r="B1564" s="1" t="n">
        <v>45744</v>
      </c>
      <c r="C1564" s="1" t="n">
        <v>45753</v>
      </c>
      <c r="D1564" t="inlineStr">
        <is>
          <t>DALARNAS LÄN</t>
        </is>
      </c>
      <c r="E1564" t="inlineStr">
        <is>
          <t>FALUN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15121-2025</t>
        </is>
      </c>
      <c r="B1565" s="1" t="n">
        <v>45744</v>
      </c>
      <c r="C1565" s="1" t="n">
        <v>45753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15224-2025</t>
        </is>
      </c>
      <c r="B1566" s="1" t="n">
        <v>45744</v>
      </c>
      <c r="C1566" s="1" t="n">
        <v>45753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15251-2025</t>
        </is>
      </c>
      <c r="B1567" s="1" t="n">
        <v>45744</v>
      </c>
      <c r="C1567" s="1" t="n">
        <v>45753</v>
      </c>
      <c r="D1567" t="inlineStr">
        <is>
          <t>DALARNAS LÄN</t>
        </is>
      </c>
      <c r="E1567" t="inlineStr">
        <is>
          <t>FALUN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15104-2025</t>
        </is>
      </c>
      <c r="B1568" s="1" t="n">
        <v>45744</v>
      </c>
      <c r="C1568" s="1" t="n">
        <v>45753</v>
      </c>
      <c r="D1568" t="inlineStr">
        <is>
          <t>DALARNAS LÄN</t>
        </is>
      </c>
      <c r="E1568" t="inlineStr">
        <is>
          <t>FALUN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45753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15207-2025</t>
        </is>
      </c>
      <c r="B1570" s="1" t="n">
        <v>45744</v>
      </c>
      <c r="C1570" s="1" t="n">
        <v>45753</v>
      </c>
      <c r="D1570" t="inlineStr">
        <is>
          <t>DALARNAS LÄN</t>
        </is>
      </c>
      <c r="E1570" t="inlineStr">
        <is>
          <t>FALUN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15085-2025</t>
        </is>
      </c>
      <c r="B1571" s="1" t="n">
        <v>45744</v>
      </c>
      <c r="C1571" s="1" t="n">
        <v>45753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45753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45753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45753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45753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45753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45753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45753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45753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45753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16540-2025</t>
        </is>
      </c>
      <c r="B1582" s="1" t="n">
        <v>45751</v>
      </c>
      <c r="C1582" s="1" t="n">
        <v>45753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2025-04-06T16:53:02Z</dcterms:created>
  <dcterms:modified xmlns:dcterms="http://purl.org/dc/terms/" xmlns:xsi="http://www.w3.org/2001/XMLSchema-instance" xsi:type="dcterms:W3CDTF">2025-04-06T16:53:03Z</dcterms:modified>
</cp:coreProperties>
</file>