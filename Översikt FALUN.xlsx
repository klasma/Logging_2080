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46197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46197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46197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Blanksvart spiklav
Entita
Motaggsvamp
Sparvuggla
Talltita
Mindre märgborre
Nästlav
Plattlummer
Gråspett
Spillkråka
Slaguggla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46197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46197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46197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46197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2044-2026</t>
        </is>
      </c>
      <c r="B9" s="1" t="n">
        <v>46035</v>
      </c>
      <c r="C9" s="1" t="n">
        <v>46197</v>
      </c>
      <c r="D9" t="inlineStr">
        <is>
          <t>DALARNAS LÄN</t>
        </is>
      </c>
      <c r="E9" t="inlineStr">
        <is>
          <t>FALUN</t>
        </is>
      </c>
      <c r="G9" t="n">
        <v>35.4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Garnlav
Kolflarnlav
Mörk kolflarnlav
Tallticka
Tretåig hackspett
Bronshjon
Mindre märgborre
Vågbandad barkbock
Tjäder
Orre</t>
        </is>
      </c>
      <c r="S9">
        <f>HYPERLINK("https://klasma.github.io/Logging_2080/artfynd/A 2044-2026 artfynd.xlsx", "A 2044-2026")</f>
        <v/>
      </c>
      <c r="T9">
        <f>HYPERLINK("https://klasma.github.io/Logging_2080/kartor/A 2044-2026 karta.png", "A 2044-2026")</f>
        <v/>
      </c>
      <c r="V9">
        <f>HYPERLINK("https://klasma.github.io/Logging_2080/klagomål/A 2044-2026 FSC-klagomål.docx", "A 2044-2026")</f>
        <v/>
      </c>
      <c r="W9">
        <f>HYPERLINK("https://klasma.github.io/Logging_2080/klagomålsmail/A 2044-2026 FSC-klagomål mail.docx", "A 2044-2026")</f>
        <v/>
      </c>
      <c r="X9">
        <f>HYPERLINK("https://klasma.github.io/Logging_2080/tillsyn/A 2044-2026 tillsynsbegäran.docx", "A 2044-2026")</f>
        <v/>
      </c>
      <c r="Y9">
        <f>HYPERLINK("https://klasma.github.io/Logging_2080/tillsynsmail/A 2044-2026 tillsynsbegäran mail.docx", "A 2044-2026")</f>
        <v/>
      </c>
      <c r="Z9">
        <f>HYPERLINK("https://klasma.github.io/Logging_2080/fåglar/A 2044-2026 prioriterade fågelarter.docx", "A 2044-2026")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46197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6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10</v>
      </c>
      <c r="R10" s="2" t="inlineStr">
        <is>
          <t>Gultoppig fingersvamp
Lavskrika
Sparvuggla
Mörk husmossa
Svavelriska
Tibast
Slaguggla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46197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46197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13961-2026</t>
        </is>
      </c>
      <c r="B13" s="1" t="n">
        <v>46098</v>
      </c>
      <c r="C13" s="1" t="n">
        <v>46197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18.7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Garnlav
Dropptaggsvamp
Motaggsvamp
Tallriska
Bronshjon
Plattlummer
Vågbandad barkbock
Spillkråka</t>
        </is>
      </c>
      <c r="S13">
        <f>HYPERLINK("https://klasma.github.io/Logging_2080/artfynd/A 13961-2026 artfynd.xlsx", "A 13961-2026")</f>
        <v/>
      </c>
      <c r="T13">
        <f>HYPERLINK("https://klasma.github.io/Logging_2080/kartor/A 13961-2026 karta.png", "A 13961-2026")</f>
        <v/>
      </c>
      <c r="V13">
        <f>HYPERLINK("https://klasma.github.io/Logging_2080/klagomål/A 13961-2026 FSC-klagomål.docx", "A 13961-2026")</f>
        <v/>
      </c>
      <c r="W13">
        <f>HYPERLINK("https://klasma.github.io/Logging_2080/klagomålsmail/A 13961-2026 FSC-klagomål mail.docx", "A 13961-2026")</f>
        <v/>
      </c>
      <c r="X13">
        <f>HYPERLINK("https://klasma.github.io/Logging_2080/tillsyn/A 13961-2026 tillsynsbegäran.docx", "A 13961-2026")</f>
        <v/>
      </c>
      <c r="Y13">
        <f>HYPERLINK("https://klasma.github.io/Logging_2080/tillsynsmail/A 13961-2026 tillsynsbegäran mail.docx", "A 13961-2026")</f>
        <v/>
      </c>
      <c r="Z13">
        <f>HYPERLINK("https://klasma.github.io/Logging_2080/fåglar/A 13961-2026 prioriterade fågelarter.docx", "A 13961-2026")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46197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4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Garnlav
Knärot
Rynkskinn
Bollvitmossa
Järpe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24024-2026</t>
        </is>
      </c>
      <c r="B15" s="1" t="n">
        <v>46167</v>
      </c>
      <c r="C15" s="1" t="n">
        <v>46197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37.3</v>
      </c>
      <c r="H15" t="n">
        <v>1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Garnlav
Knärot
Dvärgbägarlav
Kolflarnlav
Tallticka
Ullticka
Vedskivlav</t>
        </is>
      </c>
      <c r="S15">
        <f>HYPERLINK("https://klasma.github.io/Logging_2080/artfynd/A 24024-2026 artfynd.xlsx", "A 24024-2026")</f>
        <v/>
      </c>
      <c r="T15">
        <f>HYPERLINK("https://klasma.github.io/Logging_2080/kartor/A 24024-2026 karta.png", "A 24024-2026")</f>
        <v/>
      </c>
      <c r="U15">
        <f>HYPERLINK("https://klasma.github.io/Logging_2080/knärot/A 24024-2026 karta knärot.png", "A 24024-2026")</f>
        <v/>
      </c>
      <c r="V15">
        <f>HYPERLINK("https://klasma.github.io/Logging_2080/klagomål/A 24024-2026 FSC-klagomål.docx", "A 24024-2026")</f>
        <v/>
      </c>
      <c r="W15">
        <f>HYPERLINK("https://klasma.github.io/Logging_2080/klagomålsmail/A 24024-2026 FSC-klagomål mail.docx", "A 24024-2026")</f>
        <v/>
      </c>
      <c r="X15">
        <f>HYPERLINK("https://klasma.github.io/Logging_2080/tillsyn/A 24024-2026 tillsynsbegäran.docx", "A 24024-2026")</f>
        <v/>
      </c>
      <c r="Y15">
        <f>HYPERLINK("https://klasma.github.io/Logging_2080/tillsynsmail/A 24024-2026 tillsynsbegäran mail.docx", "A 24024-2026")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46197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61535-2022</t>
        </is>
      </c>
      <c r="B17" s="1" t="n">
        <v>44916</v>
      </c>
      <c r="C17" s="1" t="n">
        <v>46197</v>
      </c>
      <c r="D17" t="inlineStr">
        <is>
          <t>DALARNAS LÄN</t>
        </is>
      </c>
      <c r="E17" t="inlineStr">
        <is>
          <t>FALUN</t>
        </is>
      </c>
      <c r="G17" t="n">
        <v>13.1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Knärot
Rosenticka
Sparvuggla
Talltita
Tibast
Spillkråka</t>
        </is>
      </c>
      <c r="S17">
        <f>HYPERLINK("https://klasma.github.io/Logging_2080/artfynd/A 61535-2022 artfynd.xlsx", "A 61535-2022")</f>
        <v/>
      </c>
      <c r="T17">
        <f>HYPERLINK("https://klasma.github.io/Logging_2080/kartor/A 61535-2022 karta.png", "A 61535-2022")</f>
        <v/>
      </c>
      <c r="U17">
        <f>HYPERLINK("https://klasma.github.io/Logging_2080/knärot/A 61535-2022 karta knärot.png", "A 61535-2022")</f>
        <v/>
      </c>
      <c r="V17">
        <f>HYPERLINK("https://klasma.github.io/Logging_2080/klagomål/A 61535-2022 FSC-klagomål.docx", "A 61535-2022")</f>
        <v/>
      </c>
      <c r="W17">
        <f>HYPERLINK("https://klasma.github.io/Logging_2080/klagomålsmail/A 61535-2022 FSC-klagomål mail.docx", "A 61535-2022")</f>
        <v/>
      </c>
      <c r="X17">
        <f>HYPERLINK("https://klasma.github.io/Logging_2080/tillsyn/A 61535-2022 tillsynsbegäran.docx", "A 61535-2022")</f>
        <v/>
      </c>
      <c r="Y17">
        <f>HYPERLINK("https://klasma.github.io/Logging_2080/tillsynsmail/A 61535-2022 tillsynsbegäran mail.docx", "A 61535-2022")</f>
        <v/>
      </c>
      <c r="Z17">
        <f>HYPERLINK("https://klasma.github.io/Logging_2080/fåglar/A 61535-2022 prioriterade fågelarter.docx", "A 61535-2022")</f>
        <v/>
      </c>
    </row>
    <row r="18" ht="15" customHeight="1">
      <c r="A18" t="inlineStr">
        <is>
          <t>A 3383-2026</t>
        </is>
      </c>
      <c r="B18" s="1" t="n">
        <v>46042</v>
      </c>
      <c r="C18" s="1" t="n">
        <v>46197</v>
      </c>
      <c r="D18" t="inlineStr">
        <is>
          <t>DALARNAS LÄN</t>
        </is>
      </c>
      <c r="E18" t="inlineStr">
        <is>
          <t>FALUN</t>
        </is>
      </c>
      <c r="G18" t="n">
        <v>15.7</v>
      </c>
      <c r="H18" t="n">
        <v>3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Dropptaggsvamp
Talltita
Bollvitmossa
Mindre märgborre
Spillkråka
Kungsfågel</t>
        </is>
      </c>
      <c r="S18">
        <f>HYPERLINK("https://klasma.github.io/Logging_2080/artfynd/A 3383-2026 artfynd.xlsx", "A 3383-2026")</f>
        <v/>
      </c>
      <c r="T18">
        <f>HYPERLINK("https://klasma.github.io/Logging_2080/kartor/A 3383-2026 karta.png", "A 3383-2026")</f>
        <v/>
      </c>
      <c r="V18">
        <f>HYPERLINK("https://klasma.github.io/Logging_2080/klagomål/A 3383-2026 FSC-klagomål.docx", "A 3383-2026")</f>
        <v/>
      </c>
      <c r="W18">
        <f>HYPERLINK("https://klasma.github.io/Logging_2080/klagomålsmail/A 3383-2026 FSC-klagomål mail.docx", "A 3383-2026")</f>
        <v/>
      </c>
      <c r="X18">
        <f>HYPERLINK("https://klasma.github.io/Logging_2080/tillsyn/A 3383-2026 tillsynsbegäran.docx", "A 3383-2026")</f>
        <v/>
      </c>
      <c r="Y18">
        <f>HYPERLINK("https://klasma.github.io/Logging_2080/tillsynsmail/A 3383-2026 tillsynsbegäran mail.docx", "A 3383-2026")</f>
        <v/>
      </c>
      <c r="Z18">
        <f>HYPERLINK("https://klasma.github.io/Logging_2080/fåglar/A 3383-2026 prioriterade fågelarter.docx", "A 3383-2026")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46197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Garnlav
Knärot
Rynkskinn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14308-2026</t>
        </is>
      </c>
      <c r="B20" s="1" t="n">
        <v>46099</v>
      </c>
      <c r="C20" s="1" t="n">
        <v>46197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44.5</v>
      </c>
      <c r="H20" t="n">
        <v>4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Garnlav
Kungsörn
Mindre märgborre
Järpe
Spillkråka
Tjäder</t>
        </is>
      </c>
      <c r="S20">
        <f>HYPERLINK("https://klasma.github.io/Logging_2080/artfynd/A 14308-2026 artfynd.xlsx", "A 14308-2026")</f>
        <v/>
      </c>
      <c r="T20">
        <f>HYPERLINK("https://klasma.github.io/Logging_2080/kartor/A 14308-2026 karta.png", "A 14308-2026")</f>
        <v/>
      </c>
      <c r="V20">
        <f>HYPERLINK("https://klasma.github.io/Logging_2080/klagomål/A 14308-2026 FSC-klagomål.docx", "A 14308-2026")</f>
        <v/>
      </c>
      <c r="W20">
        <f>HYPERLINK("https://klasma.github.io/Logging_2080/klagomålsmail/A 14308-2026 FSC-klagomål mail.docx", "A 14308-2026")</f>
        <v/>
      </c>
      <c r="X20">
        <f>HYPERLINK("https://klasma.github.io/Logging_2080/tillsyn/A 14308-2026 tillsynsbegäran.docx", "A 14308-2026")</f>
        <v/>
      </c>
      <c r="Y20">
        <f>HYPERLINK("https://klasma.github.io/Logging_2080/tillsynsmail/A 14308-2026 tillsynsbegäran mail.docx", "A 14308-2026")</f>
        <v/>
      </c>
      <c r="Z20">
        <f>HYPERLINK("https://klasma.github.io/Logging_2080/fåglar/A 14308-2026 prioriterade fågelarter.docx", "A 14308-2026")</f>
        <v/>
      </c>
    </row>
    <row r="21" ht="15" customHeight="1">
      <c r="A21" t="inlineStr">
        <is>
          <t>A 1364-2026</t>
        </is>
      </c>
      <c r="B21" s="1" t="n">
        <v>46031</v>
      </c>
      <c r="C21" s="1" t="n">
        <v>46197</v>
      </c>
      <c r="D21" t="inlineStr">
        <is>
          <t>DALARNAS LÄN</t>
        </is>
      </c>
      <c r="E21" t="inlineStr">
        <is>
          <t>FALUN</t>
        </is>
      </c>
      <c r="G21" t="n">
        <v>10.2</v>
      </c>
      <c r="H21" t="n">
        <v>3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Stjärntagging
Tretåig hackspett
Nästlav
Linnea
Spillkråka
Grönsiska</t>
        </is>
      </c>
      <c r="S21">
        <f>HYPERLINK("https://klasma.github.io/Logging_2080/artfynd/A 1364-2026 artfynd.xlsx", "A 1364-2026")</f>
        <v/>
      </c>
      <c r="T21">
        <f>HYPERLINK("https://klasma.github.io/Logging_2080/kartor/A 1364-2026 karta.png", "A 1364-2026")</f>
        <v/>
      </c>
      <c r="V21">
        <f>HYPERLINK("https://klasma.github.io/Logging_2080/klagomål/A 1364-2026 FSC-klagomål.docx", "A 1364-2026")</f>
        <v/>
      </c>
      <c r="W21">
        <f>HYPERLINK("https://klasma.github.io/Logging_2080/klagomålsmail/A 1364-2026 FSC-klagomål mail.docx", "A 1364-2026")</f>
        <v/>
      </c>
      <c r="X21">
        <f>HYPERLINK("https://klasma.github.io/Logging_2080/tillsyn/A 1364-2026 tillsynsbegäran.docx", "A 1364-2026")</f>
        <v/>
      </c>
      <c r="Y21">
        <f>HYPERLINK("https://klasma.github.io/Logging_2080/tillsynsmail/A 1364-2026 tillsynsbegäran mail.docx", "A 1364-2026")</f>
        <v/>
      </c>
      <c r="Z21">
        <f>HYPERLINK("https://klasma.github.io/Logging_2080/fåglar/A 1364-2026 prioriterade fågelarter.docx", "A 1364-2026")</f>
        <v/>
      </c>
    </row>
    <row r="22" ht="15" customHeight="1">
      <c r="A22" t="inlineStr">
        <is>
          <t>A 31622-2023</t>
        </is>
      </c>
      <c r="B22" s="1" t="n">
        <v>45117</v>
      </c>
      <c r="C22" s="1" t="n">
        <v>46197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6.6</v>
      </c>
      <c r="H22" t="n">
        <v>4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Gultoppig fingersvamp
Grönpyrola
Plattlummer
Mattlummer
Spillkråka</t>
        </is>
      </c>
      <c r="S22">
        <f>HYPERLINK("https://klasma.github.io/Logging_2080/artfynd/A 31622-2023 artfynd.xlsx", "A 31622-2023")</f>
        <v/>
      </c>
      <c r="T22">
        <f>HYPERLINK("https://klasma.github.io/Logging_2080/kartor/A 31622-2023 karta.png", "A 31622-2023")</f>
        <v/>
      </c>
      <c r="U22">
        <f>HYPERLINK("https://klasma.github.io/Logging_2080/knärot/A 31622-2023 karta knärot.png", "A 31622-2023")</f>
        <v/>
      </c>
      <c r="V22">
        <f>HYPERLINK("https://klasma.github.io/Logging_2080/klagomål/A 31622-2023 FSC-klagomål.docx", "A 31622-2023")</f>
        <v/>
      </c>
      <c r="W22">
        <f>HYPERLINK("https://klasma.github.io/Logging_2080/klagomålsmail/A 31622-2023 FSC-klagomål mail.docx", "A 31622-2023")</f>
        <v/>
      </c>
      <c r="X22">
        <f>HYPERLINK("https://klasma.github.io/Logging_2080/tillsyn/A 31622-2023 tillsynsbegäran.docx", "A 31622-2023")</f>
        <v/>
      </c>
      <c r="Y22">
        <f>HYPERLINK("https://klasma.github.io/Logging_2080/tillsynsmail/A 31622-2023 tillsynsbegäran mail.docx", "A 31622-2023")</f>
        <v/>
      </c>
      <c r="Z22">
        <f>HYPERLINK("https://klasma.github.io/Logging_2080/fåglar/A 31622-2023 prioriterade fågelarter.docx", "A 31622-2023")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46197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Tallticka
Bronshjon
Gullgröppa
Mindre märgborre
Tjäder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  <c r="Z23">
        <f>HYPERLINK("https://klasma.github.io/Logging_2080/fåglar/A 5415-2024 prioriterade fågelarter.docx", "A 5415-2024")</f>
        <v/>
      </c>
    </row>
    <row r="24" ht="15" customHeight="1">
      <c r="A24" t="inlineStr">
        <is>
          <t>A 23023-2026</t>
        </is>
      </c>
      <c r="B24" s="1" t="n">
        <v>46161</v>
      </c>
      <c r="C24" s="1" t="n">
        <v>46197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13.6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Garnlav
Motaggsvamp
Mörk kolflarnlav
Vedskivlav
Fläcknycklar
Revlummer</t>
        </is>
      </c>
      <c r="S24">
        <f>HYPERLINK("https://klasma.github.io/Logging_2080/artfynd/A 23023-2026 artfynd.xlsx", "A 23023-2026")</f>
        <v/>
      </c>
      <c r="T24">
        <f>HYPERLINK("https://klasma.github.io/Logging_2080/kartor/A 23023-2026 karta.png", "A 23023-2026")</f>
        <v/>
      </c>
      <c r="V24">
        <f>HYPERLINK("https://klasma.github.io/Logging_2080/klagomål/A 23023-2026 FSC-klagomål.docx", "A 23023-2026")</f>
        <v/>
      </c>
      <c r="W24">
        <f>HYPERLINK("https://klasma.github.io/Logging_2080/klagomålsmail/A 23023-2026 FSC-klagomål mail.docx", "A 23023-2026")</f>
        <v/>
      </c>
      <c r="X24">
        <f>HYPERLINK("https://klasma.github.io/Logging_2080/tillsyn/A 23023-2026 tillsynsbegäran.docx", "A 23023-2026")</f>
        <v/>
      </c>
      <c r="Y24">
        <f>HYPERLINK("https://klasma.github.io/Logging_2080/tillsynsmail/A 23023-2026 tillsynsbegäran mail.docx", "A 23023-2026")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46197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Garnlav
Kattfotslav
Skuggblåslav
Violettgrå tagellav
Rödgul trumpetsvamp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5462-2024</t>
        </is>
      </c>
      <c r="B26" s="1" t="n">
        <v>45332</v>
      </c>
      <c r="C26" s="1" t="n">
        <v>46197</v>
      </c>
      <c r="D26" t="inlineStr">
        <is>
          <t>DALARNAS LÄN</t>
        </is>
      </c>
      <c r="E26" t="inlineStr">
        <is>
          <t>FALUN</t>
        </is>
      </c>
      <c r="F26" t="inlineStr">
        <is>
          <t>Kyrkan</t>
        </is>
      </c>
      <c r="G26" t="n">
        <v>11.1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Garnlav
Dropptaggsvamp
Liten svartspik
Vitgrynig nållav
Vitplätt
Mindre märgborre</t>
        </is>
      </c>
      <c r="S26">
        <f>HYPERLINK("https://klasma.github.io/Logging_2080/artfynd/A 5462-2024 artfynd.xlsx", "A 5462-2024")</f>
        <v/>
      </c>
      <c r="T26">
        <f>HYPERLINK("https://klasma.github.io/Logging_2080/kartor/A 5462-2024 karta.png", "A 5462-2024")</f>
        <v/>
      </c>
      <c r="V26">
        <f>HYPERLINK("https://klasma.github.io/Logging_2080/klagomål/A 5462-2024 FSC-klagomål.docx", "A 5462-2024")</f>
        <v/>
      </c>
      <c r="W26">
        <f>HYPERLINK("https://klasma.github.io/Logging_2080/klagomålsmail/A 5462-2024 FSC-klagomål mail.docx", "A 5462-2024")</f>
        <v/>
      </c>
      <c r="X26">
        <f>HYPERLINK("https://klasma.github.io/Logging_2080/tillsyn/A 5462-2024 tillsynsbegäran.docx", "A 5462-2024")</f>
        <v/>
      </c>
      <c r="Y26">
        <f>HYPERLINK("https://klasma.github.io/Logging_2080/tillsynsmail/A 5462-2024 tillsynsbegäran mail.docx", "A 5462-2024")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46197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5</v>
      </c>
      <c r="R27" s="2" t="inlineStr">
        <is>
          <t>Garnlav
Knärot
Dropptaggsvamp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180-2026</t>
        </is>
      </c>
      <c r="B28" s="1" t="n">
        <v>46025</v>
      </c>
      <c r="C28" s="1" t="n">
        <v>46197</v>
      </c>
      <c r="D28" t="inlineStr">
        <is>
          <t>DALARNAS LÄN</t>
        </is>
      </c>
      <c r="E28" t="inlineStr">
        <is>
          <t>FALUN</t>
        </is>
      </c>
      <c r="G28" t="n">
        <v>6.9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Dropptaggsvamp
Talltita
Mindre märgborre
Spillkråka
Tofsmes</t>
        </is>
      </c>
      <c r="S28">
        <f>HYPERLINK("https://klasma.github.io/Logging_2080/artfynd/A 180-2026 artfynd.xlsx", "A 180-2026")</f>
        <v/>
      </c>
      <c r="T28">
        <f>HYPERLINK("https://klasma.github.io/Logging_2080/kartor/A 180-2026 karta.png", "A 180-2026")</f>
        <v/>
      </c>
      <c r="V28">
        <f>HYPERLINK("https://klasma.github.io/Logging_2080/klagomål/A 180-2026 FSC-klagomål.docx", "A 180-2026")</f>
        <v/>
      </c>
      <c r="W28">
        <f>HYPERLINK("https://klasma.github.io/Logging_2080/klagomålsmail/A 180-2026 FSC-klagomål mail.docx", "A 180-2026")</f>
        <v/>
      </c>
      <c r="X28">
        <f>HYPERLINK("https://klasma.github.io/Logging_2080/tillsyn/A 180-2026 tillsynsbegäran.docx", "A 180-2026")</f>
        <v/>
      </c>
      <c r="Y28">
        <f>HYPERLINK("https://klasma.github.io/Logging_2080/tillsynsmail/A 180-2026 tillsynsbegäran mail.docx", "A 180-2026")</f>
        <v/>
      </c>
      <c r="Z28">
        <f>HYPERLINK("https://klasma.github.io/Logging_2080/fåglar/A 180-2026 prioriterade fågelarter.docx", "A 180-2026")</f>
        <v/>
      </c>
    </row>
    <row r="29" ht="15" customHeight="1">
      <c r="A29" t="inlineStr">
        <is>
          <t>A 23458-2026</t>
        </is>
      </c>
      <c r="B29" s="1" t="n">
        <v>46163</v>
      </c>
      <c r="C29" s="1" t="n">
        <v>46197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77.8</v>
      </c>
      <c r="H29" t="n">
        <v>1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Dropptaggsvamp
Ullticka
Vaddporing
Vedskivlav
Plattlummer</t>
        </is>
      </c>
      <c r="S29">
        <f>HYPERLINK("https://klasma.github.io/Logging_2080/artfynd/A 23458-2026 artfynd.xlsx", "A 23458-2026")</f>
        <v/>
      </c>
      <c r="T29">
        <f>HYPERLINK("https://klasma.github.io/Logging_2080/kartor/A 23458-2026 karta.png", "A 23458-2026")</f>
        <v/>
      </c>
      <c r="V29">
        <f>HYPERLINK("https://klasma.github.io/Logging_2080/klagomål/A 23458-2026 FSC-klagomål.docx", "A 23458-2026")</f>
        <v/>
      </c>
      <c r="W29">
        <f>HYPERLINK("https://klasma.github.io/Logging_2080/klagomålsmail/A 23458-2026 FSC-klagomål mail.docx", "A 23458-2026")</f>
        <v/>
      </c>
      <c r="X29">
        <f>HYPERLINK("https://klasma.github.io/Logging_2080/tillsyn/A 23458-2026 tillsynsbegäran.docx", "A 23458-2026")</f>
        <v/>
      </c>
      <c r="Y29">
        <f>HYPERLINK("https://klasma.github.io/Logging_2080/tillsynsmail/A 23458-2026 tillsynsbegäran mail.docx", "A 23458-2026")</f>
        <v/>
      </c>
    </row>
    <row r="30" ht="15" customHeight="1">
      <c r="A30" t="inlineStr">
        <is>
          <t>A 8756-2024</t>
        </is>
      </c>
      <c r="B30" s="1" t="n">
        <v>45356</v>
      </c>
      <c r="C30" s="1" t="n">
        <v>46197</v>
      </c>
      <c r="D30" t="inlineStr">
        <is>
          <t>DALARNAS LÄN</t>
        </is>
      </c>
      <c r="E30" t="inlineStr">
        <is>
          <t>FALUN</t>
        </is>
      </c>
      <c r="G30" t="n">
        <v>4.1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Mindre märgborre
Blåbär
Linnea
Spillkråka
Kungsfågel</t>
        </is>
      </c>
      <c r="S30">
        <f>HYPERLINK("https://klasma.github.io/Logging_2080/artfynd/A 8756-2024 artfynd.xlsx", "A 8756-2024")</f>
        <v/>
      </c>
      <c r="T30">
        <f>HYPERLINK("https://klasma.github.io/Logging_2080/kartor/A 8756-2024 karta.png", "A 8756-2024")</f>
        <v/>
      </c>
      <c r="V30">
        <f>HYPERLINK("https://klasma.github.io/Logging_2080/klagomål/A 8756-2024 FSC-klagomål.docx", "A 8756-2024")</f>
        <v/>
      </c>
      <c r="W30">
        <f>HYPERLINK("https://klasma.github.io/Logging_2080/klagomålsmail/A 8756-2024 FSC-klagomål mail.docx", "A 8756-2024")</f>
        <v/>
      </c>
      <c r="X30">
        <f>HYPERLINK("https://klasma.github.io/Logging_2080/tillsyn/A 8756-2024 tillsynsbegäran.docx", "A 8756-2024")</f>
        <v/>
      </c>
      <c r="Y30">
        <f>HYPERLINK("https://klasma.github.io/Logging_2080/tillsynsmail/A 8756-2024 tillsynsbegäran mail.docx", "A 8756-2024")</f>
        <v/>
      </c>
      <c r="Z30">
        <f>HYPERLINK("https://klasma.github.io/Logging_2080/fåglar/A 8756-2024 prioriterade fågelarter.docx", "A 8756-2024")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46197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Doftskinn
Gammelgransskål
Gulnål
Plattlummer
Vågbandad barkbock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47513-2021</t>
        </is>
      </c>
      <c r="B32" s="1" t="n">
        <v>44447</v>
      </c>
      <c r="C32" s="1" t="n">
        <v>46197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Gultoppig fingersvamp
Kambräken
Mörk husmossa
Svavelriska</t>
        </is>
      </c>
      <c r="S32">
        <f>HYPERLINK("https://klasma.github.io/Logging_2080/artfynd/A 47513-2021 artfynd.xlsx", "A 47513-2021")</f>
        <v/>
      </c>
      <c r="T32">
        <f>HYPERLINK("https://klasma.github.io/Logging_2080/kartor/A 47513-2021 karta.png", "A 47513-2021")</f>
        <v/>
      </c>
      <c r="V32">
        <f>HYPERLINK("https://klasma.github.io/Logging_2080/klagomål/A 47513-2021 FSC-klagomål.docx", "A 47513-2021")</f>
        <v/>
      </c>
      <c r="W32">
        <f>HYPERLINK("https://klasma.github.io/Logging_2080/klagomålsmail/A 47513-2021 FSC-klagomål mail.docx", "A 47513-2021")</f>
        <v/>
      </c>
      <c r="X32">
        <f>HYPERLINK("https://klasma.github.io/Logging_2080/tillsyn/A 47513-2021 tillsynsbegäran.docx", "A 47513-2021")</f>
        <v/>
      </c>
      <c r="Y32">
        <f>HYPERLINK("https://klasma.github.io/Logging_2080/tillsynsmail/A 47513-2021 tillsynsbegäran mail.docx", "A 47513-2021")</f>
        <v/>
      </c>
    </row>
    <row r="33" ht="15" customHeight="1">
      <c r="A33" t="inlineStr">
        <is>
          <t>A 20167-2022</t>
        </is>
      </c>
      <c r="B33" s="1" t="n">
        <v>44698</v>
      </c>
      <c r="C33" s="1" t="n">
        <v>46197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Kötticka
Vedtrappmossa
Vedticka</t>
        </is>
      </c>
      <c r="S33">
        <f>HYPERLINK("https://klasma.github.io/Logging_2080/artfynd/A 20167-2022 artfynd.xlsx", "A 20167-2022")</f>
        <v/>
      </c>
      <c r="T33">
        <f>HYPERLINK("https://klasma.github.io/Logging_2080/kartor/A 20167-2022 karta.png", "A 20167-2022")</f>
        <v/>
      </c>
      <c r="V33">
        <f>HYPERLINK("https://klasma.github.io/Logging_2080/klagomål/A 20167-2022 FSC-klagomål.docx", "A 20167-2022")</f>
        <v/>
      </c>
      <c r="W33">
        <f>HYPERLINK("https://klasma.github.io/Logging_2080/klagomålsmail/A 20167-2022 FSC-klagomål mail.docx", "A 20167-2022")</f>
        <v/>
      </c>
      <c r="X33">
        <f>HYPERLINK("https://klasma.github.io/Logging_2080/tillsyn/A 20167-2022 tillsynsbegäran.docx", "A 20167-2022")</f>
        <v/>
      </c>
      <c r="Y33">
        <f>HYPERLINK("https://klasma.github.io/Logging_2080/tillsynsmail/A 20167-2022 tillsynsbegäran mail.docx", "A 20167-2022")</f>
        <v/>
      </c>
    </row>
    <row r="34" ht="15" customHeight="1">
      <c r="A34" t="inlineStr">
        <is>
          <t>A 37489-2021</t>
        </is>
      </c>
      <c r="B34" s="1" t="n">
        <v>44398</v>
      </c>
      <c r="C34" s="1" t="n">
        <v>46197</v>
      </c>
      <c r="D34" t="inlineStr">
        <is>
          <t>DALARNAS LÄN</t>
        </is>
      </c>
      <c r="E34" t="inlineStr">
        <is>
          <t>FALUN</t>
        </is>
      </c>
      <c r="G34" t="n">
        <v>10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Silverblåvinge
Gulsparv
Rödvingetrast
Trana</t>
        </is>
      </c>
      <c r="S34">
        <f>HYPERLINK("https://klasma.github.io/Logging_2080/artfynd/A 37489-2021 artfynd.xlsx", "A 37489-2021")</f>
        <v/>
      </c>
      <c r="T34">
        <f>HYPERLINK("https://klasma.github.io/Logging_2080/kartor/A 37489-2021 karta.png", "A 37489-2021")</f>
        <v/>
      </c>
      <c r="V34">
        <f>HYPERLINK("https://klasma.github.io/Logging_2080/klagomål/A 37489-2021 FSC-klagomål.docx", "A 37489-2021")</f>
        <v/>
      </c>
      <c r="W34">
        <f>HYPERLINK("https://klasma.github.io/Logging_2080/klagomålsmail/A 37489-2021 FSC-klagomål mail.docx", "A 37489-2021")</f>
        <v/>
      </c>
      <c r="X34">
        <f>HYPERLINK("https://klasma.github.io/Logging_2080/tillsyn/A 37489-2021 tillsynsbegäran.docx", "A 37489-2021")</f>
        <v/>
      </c>
      <c r="Y34">
        <f>HYPERLINK("https://klasma.github.io/Logging_2080/tillsynsmail/A 37489-2021 tillsynsbegäran mail.docx", "A 37489-2021")</f>
        <v/>
      </c>
      <c r="Z34">
        <f>HYPERLINK("https://klasma.github.io/Logging_2080/fåglar/A 37489-2021 prioriterade fågelarter.docx", "A 37489-2021")</f>
        <v/>
      </c>
    </row>
    <row r="35" ht="15" customHeight="1">
      <c r="A35" t="inlineStr">
        <is>
          <t>A 1439-2023</t>
        </is>
      </c>
      <c r="B35" s="1" t="n">
        <v>44937</v>
      </c>
      <c r="C35" s="1" t="n">
        <v>46197</v>
      </c>
      <c r="D35" t="inlineStr">
        <is>
          <t>DALARNAS LÄN</t>
        </is>
      </c>
      <c r="E35" t="inlineStr">
        <is>
          <t>FALUN</t>
        </is>
      </c>
      <c r="G35" t="n">
        <v>8.1</v>
      </c>
      <c r="H35" t="n">
        <v>4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Enkelbeckasin
Gråspett
Spillkråka
Törnskata</t>
        </is>
      </c>
      <c r="S35">
        <f>HYPERLINK("https://klasma.github.io/Logging_2080/artfynd/A 1439-2023 artfynd.xlsx", "A 1439-2023")</f>
        <v/>
      </c>
      <c r="T35">
        <f>HYPERLINK("https://klasma.github.io/Logging_2080/kartor/A 1439-2023 karta.png", "A 1439-2023")</f>
        <v/>
      </c>
      <c r="V35">
        <f>HYPERLINK("https://klasma.github.io/Logging_2080/klagomål/A 1439-2023 FSC-klagomål.docx", "A 1439-2023")</f>
        <v/>
      </c>
      <c r="W35">
        <f>HYPERLINK("https://klasma.github.io/Logging_2080/klagomålsmail/A 1439-2023 FSC-klagomål mail.docx", "A 1439-2023")</f>
        <v/>
      </c>
      <c r="X35">
        <f>HYPERLINK("https://klasma.github.io/Logging_2080/tillsyn/A 1439-2023 tillsynsbegäran.docx", "A 1439-2023")</f>
        <v/>
      </c>
      <c r="Y35">
        <f>HYPERLINK("https://klasma.github.io/Logging_2080/tillsynsmail/A 1439-2023 tillsynsbegäran mail.docx", "A 1439-2023")</f>
        <v/>
      </c>
      <c r="Z35">
        <f>HYPERLINK("https://klasma.github.io/Logging_2080/fåglar/A 1439-2023 prioriterade fågelarter.docx", "A 1439-2023")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46197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Tallticka
Bred kärrtrollslända
Pudrad kärrtrollslända
Vattenfladdermus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54309-2022</t>
        </is>
      </c>
      <c r="B37" s="1" t="n">
        <v>44882</v>
      </c>
      <c r="C37" s="1" t="n">
        <v>46197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4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Brun gräsfjäril
Tornseglare
Ladusvala
Svartvit flugsnappare</t>
        </is>
      </c>
      <c r="S37">
        <f>HYPERLINK("https://klasma.github.io/Logging_2080/artfynd/A 54309-2022 artfynd.xlsx", "A 54309-2022")</f>
        <v/>
      </c>
      <c r="T37">
        <f>HYPERLINK("https://klasma.github.io/Logging_2080/kartor/A 54309-2022 karta.png", "A 54309-2022")</f>
        <v/>
      </c>
      <c r="V37">
        <f>HYPERLINK("https://klasma.github.io/Logging_2080/klagomål/A 54309-2022 FSC-klagomål.docx", "A 54309-2022")</f>
        <v/>
      </c>
      <c r="W37">
        <f>HYPERLINK("https://klasma.github.io/Logging_2080/klagomålsmail/A 54309-2022 FSC-klagomål mail.docx", "A 54309-2022")</f>
        <v/>
      </c>
      <c r="X37">
        <f>HYPERLINK("https://klasma.github.io/Logging_2080/tillsyn/A 54309-2022 tillsynsbegäran.docx", "A 54309-2022")</f>
        <v/>
      </c>
      <c r="Y37">
        <f>HYPERLINK("https://klasma.github.io/Logging_2080/tillsynsmail/A 54309-2022 tillsynsbegäran mail.docx", "A 54309-2022")</f>
        <v/>
      </c>
      <c r="Z37">
        <f>HYPERLINK("https://klasma.github.io/Logging_2080/fåglar/A 54309-2022 prioriterade fågelarter.docx", "A 54309-2022")</f>
        <v/>
      </c>
    </row>
    <row r="38" ht="15" customHeight="1">
      <c r="A38" t="inlineStr">
        <is>
          <t>A 33525-2025</t>
        </is>
      </c>
      <c r="B38" s="1" t="n">
        <v>45841</v>
      </c>
      <c r="C38" s="1" t="n">
        <v>46197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Garnlav
Dropptaggsvamp
Ullticka
Vedskivlav</t>
        </is>
      </c>
      <c r="S38">
        <f>HYPERLINK("https://klasma.github.io/Logging_2080/artfynd/A 33525-2025 artfynd.xlsx", "A 33525-2025")</f>
        <v/>
      </c>
      <c r="T38">
        <f>HYPERLINK("https://klasma.github.io/Logging_2080/kartor/A 33525-2025 karta.png", "A 33525-2025")</f>
        <v/>
      </c>
      <c r="V38">
        <f>HYPERLINK("https://klasma.github.io/Logging_2080/klagomål/A 33525-2025 FSC-klagomål.docx", "A 33525-2025")</f>
        <v/>
      </c>
      <c r="W38">
        <f>HYPERLINK("https://klasma.github.io/Logging_2080/klagomålsmail/A 33525-2025 FSC-klagomål mail.docx", "A 33525-2025")</f>
        <v/>
      </c>
      <c r="X38">
        <f>HYPERLINK("https://klasma.github.io/Logging_2080/tillsyn/A 33525-2025 tillsynsbegäran.docx", "A 33525-2025")</f>
        <v/>
      </c>
      <c r="Y38">
        <f>HYPERLINK("https://klasma.github.io/Logging_2080/tillsynsmail/A 33525-2025 tillsynsbegäran mail.docx", "A 33525-2025")</f>
        <v/>
      </c>
    </row>
    <row r="39" ht="15" customHeight="1">
      <c r="A39" t="inlineStr">
        <is>
          <t>A 643-2026</t>
        </is>
      </c>
      <c r="B39" s="1" t="n">
        <v>46029</v>
      </c>
      <c r="C39" s="1" t="n">
        <v>46197</v>
      </c>
      <c r="D39" t="inlineStr">
        <is>
          <t>DALARNAS LÄN</t>
        </is>
      </c>
      <c r="E39" t="inlineStr">
        <is>
          <t>FALUN</t>
        </is>
      </c>
      <c r="G39" t="n">
        <v>41.8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Dropptaggsvamp
Tjäder
Större vattensalamander
Skogsödla</t>
        </is>
      </c>
      <c r="S39">
        <f>HYPERLINK("https://klasma.github.io/Logging_2080/artfynd/A 643-2026 artfynd.xlsx", "A 643-2026")</f>
        <v/>
      </c>
      <c r="T39">
        <f>HYPERLINK("https://klasma.github.io/Logging_2080/kartor/A 643-2026 karta.png", "A 643-2026")</f>
        <v/>
      </c>
      <c r="V39">
        <f>HYPERLINK("https://klasma.github.io/Logging_2080/klagomål/A 643-2026 FSC-klagomål.docx", "A 643-2026")</f>
        <v/>
      </c>
      <c r="W39">
        <f>HYPERLINK("https://klasma.github.io/Logging_2080/klagomålsmail/A 643-2026 FSC-klagomål mail.docx", "A 643-2026")</f>
        <v/>
      </c>
      <c r="X39">
        <f>HYPERLINK("https://klasma.github.io/Logging_2080/tillsyn/A 643-2026 tillsynsbegäran.docx", "A 643-2026")</f>
        <v/>
      </c>
      <c r="Y39">
        <f>HYPERLINK("https://klasma.github.io/Logging_2080/tillsynsmail/A 643-2026 tillsynsbegäran mail.docx", "A 643-2026")</f>
        <v/>
      </c>
      <c r="Z39">
        <f>HYPERLINK("https://klasma.github.io/Logging_2080/fåglar/A 643-2026 prioriterade fågelarter.docx", "A 643-2026")</f>
        <v/>
      </c>
    </row>
    <row r="40" ht="15" customHeight="1">
      <c r="A40" t="inlineStr">
        <is>
          <t>A 36197-2025</t>
        </is>
      </c>
      <c r="B40" s="1" t="n">
        <v>45867</v>
      </c>
      <c r="C40" s="1" t="n">
        <v>46197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Rynkskinn
Skarp dropptaggsvamp
Svavelriska</t>
        </is>
      </c>
      <c r="S40">
        <f>HYPERLINK("https://klasma.github.io/Logging_2080/artfynd/A 36197-2025 artfynd.xlsx", "A 36197-2025")</f>
        <v/>
      </c>
      <c r="T40">
        <f>HYPERLINK("https://klasma.github.io/Logging_2080/kartor/A 36197-2025 karta.png", "A 36197-2025")</f>
        <v/>
      </c>
      <c r="U40">
        <f>HYPERLINK("https://klasma.github.io/Logging_2080/knärot/A 36197-2025 karta knärot.png", "A 36197-2025")</f>
        <v/>
      </c>
      <c r="V40">
        <f>HYPERLINK("https://klasma.github.io/Logging_2080/klagomål/A 36197-2025 FSC-klagomål.docx", "A 36197-2025")</f>
        <v/>
      </c>
      <c r="W40">
        <f>HYPERLINK("https://klasma.github.io/Logging_2080/klagomålsmail/A 36197-2025 FSC-klagomål mail.docx", "A 36197-2025")</f>
        <v/>
      </c>
      <c r="X40">
        <f>HYPERLINK("https://klasma.github.io/Logging_2080/tillsyn/A 36197-2025 tillsynsbegäran.docx", "A 36197-2025")</f>
        <v/>
      </c>
      <c r="Y40">
        <f>HYPERLINK("https://klasma.github.io/Logging_2080/tillsynsmail/A 36197-2025 tillsynsbegäran mail.docx", "A 36197-2025")</f>
        <v/>
      </c>
    </row>
    <row r="41" ht="15" customHeight="1">
      <c r="A41" t="inlineStr">
        <is>
          <t>A 14313-2026</t>
        </is>
      </c>
      <c r="B41" s="1" t="n">
        <v>46099</v>
      </c>
      <c r="C41" s="1" t="n">
        <v>46197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39.7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Kolflarnlav
Motaggsvamp
Fläcknycklar
Revlummer</t>
        </is>
      </c>
      <c r="S41">
        <f>HYPERLINK("https://klasma.github.io/Logging_2080/artfynd/A 14313-2026 artfynd.xlsx", "A 14313-2026")</f>
        <v/>
      </c>
      <c r="T41">
        <f>HYPERLINK("https://klasma.github.io/Logging_2080/kartor/A 14313-2026 karta.png", "A 14313-2026")</f>
        <v/>
      </c>
      <c r="V41">
        <f>HYPERLINK("https://klasma.github.io/Logging_2080/klagomål/A 14313-2026 FSC-klagomål.docx", "A 14313-2026")</f>
        <v/>
      </c>
      <c r="W41">
        <f>HYPERLINK("https://klasma.github.io/Logging_2080/klagomålsmail/A 14313-2026 FSC-klagomål mail.docx", "A 14313-2026")</f>
        <v/>
      </c>
      <c r="X41">
        <f>HYPERLINK("https://klasma.github.io/Logging_2080/tillsyn/A 14313-2026 tillsynsbegäran.docx", "A 14313-2026")</f>
        <v/>
      </c>
      <c r="Y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s="1" t="n">
        <v>46027</v>
      </c>
      <c r="C42" s="1" t="n">
        <v>46197</v>
      </c>
      <c r="D42" t="inlineStr">
        <is>
          <t>DALARNAS LÄN</t>
        </is>
      </c>
      <c r="E42" t="inlineStr">
        <is>
          <t>FALUN</t>
        </is>
      </c>
      <c r="G42" t="n">
        <v>0.5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Tretåig hackspett
Bronshjon
Mindre märgborre</t>
        </is>
      </c>
      <c r="S42">
        <f>HYPERLINK("https://klasma.github.io/Logging_2080/artfynd/A 371-2026 artfynd.xlsx", "A 371-2026")</f>
        <v/>
      </c>
      <c r="T42">
        <f>HYPERLINK("https://klasma.github.io/Logging_2080/kartor/A 371-2026 karta.png", "A 371-2026")</f>
        <v/>
      </c>
      <c r="V42">
        <f>HYPERLINK("https://klasma.github.io/Logging_2080/klagomål/A 371-2026 FSC-klagomål.docx", "A 371-2026")</f>
        <v/>
      </c>
      <c r="W42">
        <f>HYPERLINK("https://klasma.github.io/Logging_2080/klagomålsmail/A 371-2026 FSC-klagomål mail.docx", "A 371-2026")</f>
        <v/>
      </c>
      <c r="X42">
        <f>HYPERLINK("https://klasma.github.io/Logging_2080/tillsyn/A 371-2026 tillsynsbegäran.docx", "A 371-2026")</f>
        <v/>
      </c>
      <c r="Y42">
        <f>HYPERLINK("https://klasma.github.io/Logging_2080/tillsynsmail/A 371-2026 tillsynsbegäran mail.docx", "A 371-2026")</f>
        <v/>
      </c>
      <c r="Z42">
        <f>HYPERLINK("https://klasma.github.io/Logging_2080/fåglar/A 371-2026 prioriterade fågelarter.docx", "A 371-2026")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46197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Gullpudra
Gultoppig fingersvamp
Papegojvaxing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34506-2024</t>
        </is>
      </c>
      <c r="B44" s="1" t="n">
        <v>45525</v>
      </c>
      <c r="C44" s="1" t="n">
        <v>46197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2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Knärot
Dropptaggsvamp
Tallticka
Tretåig hackspett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  <c r="Z44">
        <f>HYPERLINK("https://klasma.github.io/Logging_2080/fåglar/A 34506-2024 prioriterade fågelarter.docx", "A 34506-2024")</f>
        <v/>
      </c>
    </row>
    <row r="45" ht="15" customHeight="1">
      <c r="A45" t="inlineStr">
        <is>
          <t>A 4532-2024</t>
        </is>
      </c>
      <c r="B45" s="1" t="n">
        <v>45327</v>
      </c>
      <c r="C45" s="1" t="n">
        <v>46197</v>
      </c>
      <c r="D45" t="inlineStr">
        <is>
          <t>DALARNAS LÄN</t>
        </is>
      </c>
      <c r="E45" t="inlineStr">
        <is>
          <t>FALUN</t>
        </is>
      </c>
      <c r="G45" t="n">
        <v>4.6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Vedtrappmossa
Stuplav
Vedticka
Tjäder</t>
        </is>
      </c>
      <c r="S45">
        <f>HYPERLINK("https://klasma.github.io/Logging_2080/artfynd/A 4532-2024 artfynd.xlsx", "A 4532-2024")</f>
        <v/>
      </c>
      <c r="T45">
        <f>HYPERLINK("https://klasma.github.io/Logging_2080/kartor/A 4532-2024 karta.png", "A 4532-2024")</f>
        <v/>
      </c>
      <c r="V45">
        <f>HYPERLINK("https://klasma.github.io/Logging_2080/klagomål/A 4532-2024 FSC-klagomål.docx", "A 4532-2024")</f>
        <v/>
      </c>
      <c r="W45">
        <f>HYPERLINK("https://klasma.github.io/Logging_2080/klagomålsmail/A 4532-2024 FSC-klagomål mail.docx", "A 4532-2024")</f>
        <v/>
      </c>
      <c r="X45">
        <f>HYPERLINK("https://klasma.github.io/Logging_2080/tillsyn/A 4532-2024 tillsynsbegäran.docx", "A 4532-2024")</f>
        <v/>
      </c>
      <c r="Y45">
        <f>HYPERLINK("https://klasma.github.io/Logging_2080/tillsynsmail/A 4532-2024 tillsynsbegäran mail.docx", "A 4532-2024")</f>
        <v/>
      </c>
      <c r="Z45">
        <f>HYPERLINK("https://klasma.github.io/Logging_2080/fåglar/A 4532-2024 prioriterade fågelarter.docx", "A 4532-2024")</f>
        <v/>
      </c>
    </row>
    <row r="46" ht="15" customHeight="1">
      <c r="A46" t="inlineStr">
        <is>
          <t>A 3208-2026</t>
        </is>
      </c>
      <c r="B46" s="1" t="n">
        <v>46041</v>
      </c>
      <c r="C46" s="1" t="n">
        <v>46197</v>
      </c>
      <c r="D46" t="inlineStr">
        <is>
          <t>DALARNAS LÄN</t>
        </is>
      </c>
      <c r="E46" t="inlineStr">
        <is>
          <t>FALUN</t>
        </is>
      </c>
      <c r="G46" t="n">
        <v>5.3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Garnlav
Kolflarnlav
Mörk kolflarnlav</t>
        </is>
      </c>
      <c r="S46">
        <f>HYPERLINK("https://klasma.github.io/Logging_2080/artfynd/A 3208-2026 artfynd.xlsx", "A 3208-2026")</f>
        <v/>
      </c>
      <c r="T46">
        <f>HYPERLINK("https://klasma.github.io/Logging_2080/kartor/A 3208-2026 karta.png", "A 3208-2026")</f>
        <v/>
      </c>
      <c r="V46">
        <f>HYPERLINK("https://klasma.github.io/Logging_2080/klagomål/A 3208-2026 FSC-klagomål.docx", "A 3208-2026")</f>
        <v/>
      </c>
      <c r="W46">
        <f>HYPERLINK("https://klasma.github.io/Logging_2080/klagomålsmail/A 3208-2026 FSC-klagomål mail.docx", "A 3208-2026")</f>
        <v/>
      </c>
      <c r="X46">
        <f>HYPERLINK("https://klasma.github.io/Logging_2080/tillsyn/A 3208-2026 tillsynsbegäran.docx", "A 3208-2026")</f>
        <v/>
      </c>
      <c r="Y46">
        <f>HYPERLINK("https://klasma.github.io/Logging_2080/tillsynsmail/A 3208-2026 tillsynsbegäran mail.docx", "A 3208-2026")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46197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Gullpudra
Sparvuggla
Svavelriska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46197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Tretåig hackspett
Spillkråka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50417-2025</t>
        </is>
      </c>
      <c r="B49" s="1" t="n">
        <v>45944</v>
      </c>
      <c r="C49" s="1" t="n">
        <v>46197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2.5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Kattfotslav
Ullticka
Bollvitmossa</t>
        </is>
      </c>
      <c r="S49">
        <f>HYPERLINK("https://klasma.github.io/Logging_2080/artfynd/A 50417-2025 artfynd.xlsx", "A 50417-2025")</f>
        <v/>
      </c>
      <c r="T49">
        <f>HYPERLINK("https://klasma.github.io/Logging_2080/kartor/A 50417-2025 karta.png", "A 50417-2025")</f>
        <v/>
      </c>
      <c r="V49">
        <f>HYPERLINK("https://klasma.github.io/Logging_2080/klagomål/A 50417-2025 FSC-klagomål.docx", "A 50417-2025")</f>
        <v/>
      </c>
      <c r="W49">
        <f>HYPERLINK("https://klasma.github.io/Logging_2080/klagomålsmail/A 50417-2025 FSC-klagomål mail.docx", "A 50417-2025")</f>
        <v/>
      </c>
      <c r="X49">
        <f>HYPERLINK("https://klasma.github.io/Logging_2080/tillsyn/A 50417-2025 tillsynsbegäran.docx", "A 50417-2025")</f>
        <v/>
      </c>
      <c r="Y49">
        <f>HYPERLINK("https://klasma.github.io/Logging_2080/tillsynsmail/A 50417-2025 tillsynsbegäran mail.docx", "A 50417-2025")</f>
        <v/>
      </c>
    </row>
    <row r="50" ht="15" customHeight="1">
      <c r="A50" t="inlineStr">
        <is>
          <t>A 11777-2025</t>
        </is>
      </c>
      <c r="B50" s="1" t="n">
        <v>45727</v>
      </c>
      <c r="C50" s="1" t="n">
        <v>46197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2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Bronshjon
Revlummer</t>
        </is>
      </c>
      <c r="S50">
        <f>HYPERLINK("https://klasma.github.io/Logging_2080/artfynd/A 11777-2025 artfynd.xlsx", "A 11777-2025")</f>
        <v/>
      </c>
      <c r="T50">
        <f>HYPERLINK("https://klasma.github.io/Logging_2080/kartor/A 11777-2025 karta.png", "A 11777-2025")</f>
        <v/>
      </c>
      <c r="U50">
        <f>HYPERLINK("https://klasma.github.io/Logging_2080/knärot/A 11777-2025 karta knärot.png", "A 11777-2025")</f>
        <v/>
      </c>
      <c r="V50">
        <f>HYPERLINK("https://klasma.github.io/Logging_2080/klagomål/A 11777-2025 FSC-klagomål.docx", "A 11777-2025")</f>
        <v/>
      </c>
      <c r="W50">
        <f>HYPERLINK("https://klasma.github.io/Logging_2080/klagomålsmail/A 11777-2025 FSC-klagomål mail.docx", "A 11777-2025")</f>
        <v/>
      </c>
      <c r="X50">
        <f>HYPERLINK("https://klasma.github.io/Logging_2080/tillsyn/A 11777-2025 tillsynsbegäran.docx", "A 11777-2025")</f>
        <v/>
      </c>
      <c r="Y50">
        <f>HYPERLINK("https://klasma.github.io/Logging_2080/tillsynsmail/A 11777-2025 tillsynsbegäran mail.docx", "A 11777-2025")</f>
        <v/>
      </c>
    </row>
    <row r="51" ht="15" customHeight="1">
      <c r="A51" t="inlineStr">
        <is>
          <t>A 2055-2025</t>
        </is>
      </c>
      <c r="B51" s="1" t="n">
        <v>45671</v>
      </c>
      <c r="C51" s="1" t="n">
        <v>46197</v>
      </c>
      <c r="D51" t="inlineStr">
        <is>
          <t>DALARNAS LÄN</t>
        </is>
      </c>
      <c r="E51" t="inlineStr">
        <is>
          <t>FALUN</t>
        </is>
      </c>
      <c r="G51" t="n">
        <v>1.5</v>
      </c>
      <c r="H51" t="n">
        <v>2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Knärot
Bronshjon
Revlummer</t>
        </is>
      </c>
      <c r="S51">
        <f>HYPERLINK("https://klasma.github.io/Logging_2080/artfynd/A 2055-2025 artfynd.xlsx", "A 2055-2025")</f>
        <v/>
      </c>
      <c r="T51">
        <f>HYPERLINK("https://klasma.github.io/Logging_2080/kartor/A 2055-2025 karta.png", "A 2055-2025")</f>
        <v/>
      </c>
      <c r="U51">
        <f>HYPERLINK("https://klasma.github.io/Logging_2080/knärot/A 2055-2025 karta knärot.png", "A 2055-2025")</f>
        <v/>
      </c>
      <c r="V51">
        <f>HYPERLINK("https://klasma.github.io/Logging_2080/klagomål/A 2055-2025 FSC-klagomål.docx", "A 2055-2025")</f>
        <v/>
      </c>
      <c r="W51">
        <f>HYPERLINK("https://klasma.github.io/Logging_2080/klagomålsmail/A 2055-2025 FSC-klagomål mail.docx", "A 2055-2025")</f>
        <v/>
      </c>
      <c r="X51">
        <f>HYPERLINK("https://klasma.github.io/Logging_2080/tillsyn/A 2055-2025 tillsynsbegäran.docx", "A 2055-2025")</f>
        <v/>
      </c>
      <c r="Y51">
        <f>HYPERLINK("https://klasma.github.io/Logging_2080/tillsynsmail/A 2055-2025 tillsynsbegäran mail.docx", "A 2055-2025")</f>
        <v/>
      </c>
    </row>
    <row r="52" ht="15" customHeight="1">
      <c r="A52" t="inlineStr">
        <is>
          <t>A 60940-2025</t>
        </is>
      </c>
      <c r="B52" s="1" t="n">
        <v>45999</v>
      </c>
      <c r="C52" s="1" t="n">
        <v>46197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13.7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Kortskaftad ärgspik
Tallticka
Tjäder</t>
        </is>
      </c>
      <c r="S52">
        <f>HYPERLINK("https://klasma.github.io/Logging_2080/artfynd/A 60940-2025 artfynd.xlsx", "A 60940-2025")</f>
        <v/>
      </c>
      <c r="T52">
        <f>HYPERLINK("https://klasma.github.io/Logging_2080/kartor/A 60940-2025 karta.png", "A 60940-2025")</f>
        <v/>
      </c>
      <c r="V52">
        <f>HYPERLINK("https://klasma.github.io/Logging_2080/klagomål/A 60940-2025 FSC-klagomål.docx", "A 60940-2025")</f>
        <v/>
      </c>
      <c r="W52">
        <f>HYPERLINK("https://klasma.github.io/Logging_2080/klagomålsmail/A 60940-2025 FSC-klagomål mail.docx", "A 60940-2025")</f>
        <v/>
      </c>
      <c r="X52">
        <f>HYPERLINK("https://klasma.github.io/Logging_2080/tillsyn/A 60940-2025 tillsynsbegäran.docx", "A 60940-2025")</f>
        <v/>
      </c>
      <c r="Y52">
        <f>HYPERLINK("https://klasma.github.io/Logging_2080/tillsynsmail/A 60940-2025 tillsynsbegäran mail.docx", "A 60940-2025")</f>
        <v/>
      </c>
      <c r="Z52">
        <f>HYPERLINK("https://klasma.github.io/Logging_2080/fåglar/A 60940-2025 prioriterade fågelarter.docx", "A 60940-2025")</f>
        <v/>
      </c>
    </row>
    <row r="53" ht="15" customHeight="1">
      <c r="A53" t="inlineStr">
        <is>
          <t>A 14095-2026</t>
        </is>
      </c>
      <c r="B53" s="1" t="n">
        <v>46099</v>
      </c>
      <c r="C53" s="1" t="n">
        <v>46197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Dvärgmalmätare
Sädesärla
Utter</t>
        </is>
      </c>
      <c r="S53">
        <f>HYPERLINK("https://klasma.github.io/Logging_2080/artfynd/A 14095-2026 artfynd.xlsx", "A 14095-2026")</f>
        <v/>
      </c>
      <c r="T53">
        <f>HYPERLINK("https://klasma.github.io/Logging_2080/kartor/A 14095-2026 karta.png", "A 14095-2026")</f>
        <v/>
      </c>
      <c r="V53">
        <f>HYPERLINK("https://klasma.github.io/Logging_2080/klagomål/A 14095-2026 FSC-klagomål.docx", "A 14095-2026")</f>
        <v/>
      </c>
      <c r="W53">
        <f>HYPERLINK("https://klasma.github.io/Logging_2080/klagomålsmail/A 14095-2026 FSC-klagomål mail.docx", "A 14095-2026")</f>
        <v/>
      </c>
      <c r="X53">
        <f>HYPERLINK("https://klasma.github.io/Logging_2080/tillsyn/A 14095-2026 tillsynsbegäran.docx", "A 14095-2026")</f>
        <v/>
      </c>
      <c r="Y53">
        <f>HYPERLINK("https://klasma.github.io/Logging_2080/tillsynsmail/A 14095-2026 tillsynsbegäran mail.docx", "A 14095-2026")</f>
        <v/>
      </c>
      <c r="Z53">
        <f>HYPERLINK("https://klasma.github.io/Logging_2080/fåglar/A 14095-2026 prioriterade fågelarter.docx", "A 14095-2026")</f>
        <v/>
      </c>
    </row>
    <row r="54" ht="15" customHeight="1">
      <c r="A54" t="inlineStr">
        <is>
          <t>A 22794-2026</t>
        </is>
      </c>
      <c r="B54" s="1" t="n">
        <v>46157</v>
      </c>
      <c r="C54" s="1" t="n">
        <v>46197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Garnlav
Kolflarnlav
Violettgrå tagellav</t>
        </is>
      </c>
      <c r="S54">
        <f>HYPERLINK("https://klasma.github.io/Logging_2080/artfynd/A 22794-2026 artfynd.xlsx", "A 22794-2026")</f>
        <v/>
      </c>
      <c r="T54">
        <f>HYPERLINK("https://klasma.github.io/Logging_2080/kartor/A 22794-2026 karta.png", "A 22794-2026")</f>
        <v/>
      </c>
      <c r="V54">
        <f>HYPERLINK("https://klasma.github.io/Logging_2080/klagomål/A 22794-2026 FSC-klagomål.docx", "A 22794-2026")</f>
        <v/>
      </c>
      <c r="W54">
        <f>HYPERLINK("https://klasma.github.io/Logging_2080/klagomålsmail/A 22794-2026 FSC-klagomål mail.docx", "A 22794-2026")</f>
        <v/>
      </c>
      <c r="X54">
        <f>HYPERLINK("https://klasma.github.io/Logging_2080/tillsyn/A 22794-2026 tillsynsbegäran.docx", "A 22794-2026")</f>
        <v/>
      </c>
      <c r="Y54">
        <f>HYPERLINK("https://klasma.github.io/Logging_2080/tillsynsmail/A 22794-2026 tillsynsbegäran mail.docx", "A 22794-2026")</f>
        <v/>
      </c>
    </row>
    <row r="55" ht="15" customHeight="1">
      <c r="A55" t="inlineStr">
        <is>
          <t>A 17628-2026</t>
        </is>
      </c>
      <c r="B55" s="1" t="n">
        <v>46121</v>
      </c>
      <c r="C55" s="1" t="n">
        <v>46197</v>
      </c>
      <c r="D55" t="inlineStr">
        <is>
          <t>DALARNAS LÄN</t>
        </is>
      </c>
      <c r="E55" t="inlineStr">
        <is>
          <t>FALUN</t>
        </is>
      </c>
      <c r="G55" t="n">
        <v>4.6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Vedskivlav
Mindre märgborre</t>
        </is>
      </c>
      <c r="S55">
        <f>HYPERLINK("https://klasma.github.io/Logging_2080/artfynd/A 17628-2026 artfynd.xlsx", "A 17628-2026")</f>
        <v/>
      </c>
      <c r="T55">
        <f>HYPERLINK("https://klasma.github.io/Logging_2080/kartor/A 17628-2026 karta.png", "A 17628-2026")</f>
        <v/>
      </c>
      <c r="V55">
        <f>HYPERLINK("https://klasma.github.io/Logging_2080/klagomål/A 17628-2026 FSC-klagomål.docx", "A 17628-2026")</f>
        <v/>
      </c>
      <c r="W55">
        <f>HYPERLINK("https://klasma.github.io/Logging_2080/klagomålsmail/A 17628-2026 FSC-klagomål mail.docx", "A 17628-2026")</f>
        <v/>
      </c>
      <c r="X55">
        <f>HYPERLINK("https://klasma.github.io/Logging_2080/tillsyn/A 17628-2026 tillsynsbegäran.docx", "A 17628-2026")</f>
        <v/>
      </c>
      <c r="Y55">
        <f>HYPERLINK("https://klasma.github.io/Logging_2080/tillsynsmail/A 17628-2026 tillsynsbegäran mail.docx", "A 17628-2026")</f>
        <v/>
      </c>
    </row>
    <row r="56" ht="15" customHeight="1">
      <c r="A56" t="inlineStr">
        <is>
          <t>A 14883-2024</t>
        </is>
      </c>
      <c r="B56" s="1" t="n">
        <v>45398</v>
      </c>
      <c r="C56" s="1" t="n">
        <v>46197</v>
      </c>
      <c r="D56" t="inlineStr">
        <is>
          <t>DALARNAS LÄN</t>
        </is>
      </c>
      <c r="E56" t="inlineStr">
        <is>
          <t>FALUN</t>
        </is>
      </c>
      <c r="G56" t="n">
        <v>7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Garnlav
Tallriska
Vedticka</t>
        </is>
      </c>
      <c r="S56">
        <f>HYPERLINK("https://klasma.github.io/Logging_2080/artfynd/A 14883-2024 artfynd.xlsx", "A 14883-2024")</f>
        <v/>
      </c>
      <c r="T56">
        <f>HYPERLINK("https://klasma.github.io/Logging_2080/kartor/A 14883-2024 karta.png", "A 14883-2024")</f>
        <v/>
      </c>
      <c r="V56">
        <f>HYPERLINK("https://klasma.github.io/Logging_2080/klagomål/A 14883-2024 FSC-klagomål.docx", "A 14883-2024")</f>
        <v/>
      </c>
      <c r="W56">
        <f>HYPERLINK("https://klasma.github.io/Logging_2080/klagomålsmail/A 14883-2024 FSC-klagomål mail.docx", "A 14883-2024")</f>
        <v/>
      </c>
      <c r="X56">
        <f>HYPERLINK("https://klasma.github.io/Logging_2080/tillsyn/A 14883-2024 tillsynsbegäran.docx", "A 14883-2024")</f>
        <v/>
      </c>
      <c r="Y56">
        <f>HYPERLINK("https://klasma.github.io/Logging_2080/tillsynsmail/A 14883-2024 tillsynsbegäran mail.docx", "A 14883-2024")</f>
        <v/>
      </c>
    </row>
    <row r="57" ht="15" customHeight="1">
      <c r="A57" t="inlineStr">
        <is>
          <t>A 21583-2026</t>
        </is>
      </c>
      <c r="B57" s="1" t="n">
        <v>46149</v>
      </c>
      <c r="C57" s="1" t="n">
        <v>46197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Ullticka
Vedticka</t>
        </is>
      </c>
      <c r="S57">
        <f>HYPERLINK("https://klasma.github.io/Logging_2080/artfynd/A 21583-2026 artfynd.xlsx", "A 21583-2026")</f>
        <v/>
      </c>
      <c r="T57">
        <f>HYPERLINK("https://klasma.github.io/Logging_2080/kartor/A 21583-2026 karta.png", "A 21583-2026")</f>
        <v/>
      </c>
      <c r="V57">
        <f>HYPERLINK("https://klasma.github.io/Logging_2080/klagomål/A 21583-2026 FSC-klagomål.docx", "A 21583-2026")</f>
        <v/>
      </c>
      <c r="W57">
        <f>HYPERLINK("https://klasma.github.io/Logging_2080/klagomålsmail/A 21583-2026 FSC-klagomål mail.docx", "A 21583-2026")</f>
        <v/>
      </c>
      <c r="X57">
        <f>HYPERLINK("https://klasma.github.io/Logging_2080/tillsyn/A 21583-2026 tillsynsbegäran.docx", "A 21583-2026")</f>
        <v/>
      </c>
      <c r="Y57">
        <f>HYPERLINK("https://klasma.github.io/Logging_2080/tillsynsmail/A 21583-2026 tillsynsbegäran mail.docx", "A 21583-2026")</f>
        <v/>
      </c>
    </row>
    <row r="58" ht="15" customHeight="1">
      <c r="A58" t="inlineStr">
        <is>
          <t>A 27747-2026</t>
        </is>
      </c>
      <c r="B58" s="1" t="n">
        <v>46191</v>
      </c>
      <c r="C58" s="1" t="n">
        <v>46197</v>
      </c>
      <c r="D58" t="inlineStr">
        <is>
          <t>DALARNAS LÄN</t>
        </is>
      </c>
      <c r="E58" t="inlineStr">
        <is>
          <t>FALUN</t>
        </is>
      </c>
      <c r="G58" t="n">
        <v>2.5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Garnlav
Kolflarnlav
Kortskaftad ärgspik</t>
        </is>
      </c>
      <c r="S58">
        <f>HYPERLINK("https://klasma.github.io/Logging_2080/artfynd/A 27747-2026 artfynd.xlsx", "A 27747-2026")</f>
        <v/>
      </c>
      <c r="T58">
        <f>HYPERLINK("https://klasma.github.io/Logging_2080/kartor/A 27747-2026 karta.png", "A 27747-2026")</f>
        <v/>
      </c>
      <c r="V58">
        <f>HYPERLINK("https://klasma.github.io/Logging_2080/klagomål/A 27747-2026 FSC-klagomål.docx", "A 27747-2026")</f>
        <v/>
      </c>
      <c r="W58">
        <f>HYPERLINK("https://klasma.github.io/Logging_2080/klagomålsmail/A 27747-2026 FSC-klagomål mail.docx", "A 27747-2026")</f>
        <v/>
      </c>
      <c r="X58">
        <f>HYPERLINK("https://klasma.github.io/Logging_2080/tillsyn/A 27747-2026 tillsynsbegäran.docx", "A 27747-2026")</f>
        <v/>
      </c>
      <c r="Y58">
        <f>HYPERLINK("https://klasma.github.io/Logging_2080/tillsynsmail/A 27747-2026 tillsynsbegäran mail.docx", "A 27747-2026")</f>
        <v/>
      </c>
    </row>
    <row r="59" ht="15" customHeight="1">
      <c r="A59" t="inlineStr">
        <is>
          <t>A 5666-2025</t>
        </is>
      </c>
      <c r="B59" s="1" t="n">
        <v>45693</v>
      </c>
      <c r="C59" s="1" t="n">
        <v>46197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Mindre märgborre
Spillkråka</t>
        </is>
      </c>
      <c r="S59">
        <f>HYPERLINK("https://klasma.github.io/Logging_2080/artfynd/A 5666-2025 artfynd.xlsx", "A 5666-2025")</f>
        <v/>
      </c>
      <c r="T59">
        <f>HYPERLINK("https://klasma.github.io/Logging_2080/kartor/A 5666-2025 karta.png", "A 5666-2025")</f>
        <v/>
      </c>
      <c r="U59">
        <f>HYPERLINK("https://klasma.github.io/Logging_2080/knärot/A 5666-2025 karta knärot.png", "A 5666-2025")</f>
        <v/>
      </c>
      <c r="V59">
        <f>HYPERLINK("https://klasma.github.io/Logging_2080/klagomål/A 5666-2025 FSC-klagomål.docx", "A 5666-2025")</f>
        <v/>
      </c>
      <c r="W59">
        <f>HYPERLINK("https://klasma.github.io/Logging_2080/klagomålsmail/A 5666-2025 FSC-klagomål mail.docx", "A 5666-2025")</f>
        <v/>
      </c>
      <c r="X59">
        <f>HYPERLINK("https://klasma.github.io/Logging_2080/tillsyn/A 5666-2025 tillsynsbegäran.docx", "A 5666-2025")</f>
        <v/>
      </c>
      <c r="Y59">
        <f>HYPERLINK("https://klasma.github.io/Logging_2080/tillsynsmail/A 5666-2025 tillsynsbegäran mail.docx", "A 5666-2025")</f>
        <v/>
      </c>
      <c r="Z59">
        <f>HYPERLINK("https://klasma.github.io/Logging_2080/fåglar/A 5666-2025 prioriterade fågelarter.docx", "A 5666-2025")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46197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36966-2022</t>
        </is>
      </c>
      <c r="B61" s="1" t="n">
        <v>44806</v>
      </c>
      <c r="C61" s="1" t="n">
        <v>46197</v>
      </c>
      <c r="D61" t="inlineStr">
        <is>
          <t>DALARNAS LÄN</t>
        </is>
      </c>
      <c r="E61" t="inlineStr">
        <is>
          <t>FALUN</t>
        </is>
      </c>
      <c r="G61" t="n">
        <v>4.2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Rynkskinn</t>
        </is>
      </c>
      <c r="S61">
        <f>HYPERLINK("https://klasma.github.io/Logging_2080/artfynd/A 36966-2022 artfynd.xlsx", "A 36966-2022")</f>
        <v/>
      </c>
      <c r="T61">
        <f>HYPERLINK("https://klasma.github.io/Logging_2080/kartor/A 36966-2022 karta.png", "A 36966-2022")</f>
        <v/>
      </c>
      <c r="U61">
        <f>HYPERLINK("https://klasma.github.io/Logging_2080/knärot/A 36966-2022 karta knärot.png", "A 36966-2022")</f>
        <v/>
      </c>
      <c r="V61">
        <f>HYPERLINK("https://klasma.github.io/Logging_2080/klagomål/A 36966-2022 FSC-klagomål.docx", "A 36966-2022")</f>
        <v/>
      </c>
      <c r="W61">
        <f>HYPERLINK("https://klasma.github.io/Logging_2080/klagomålsmail/A 36966-2022 FSC-klagomål mail.docx", "A 36966-2022")</f>
        <v/>
      </c>
      <c r="X61">
        <f>HYPERLINK("https://klasma.github.io/Logging_2080/tillsyn/A 36966-2022 tillsynsbegäran.docx", "A 36966-2022")</f>
        <v/>
      </c>
      <c r="Y61">
        <f>HYPERLINK("https://klasma.github.io/Logging_2080/tillsynsmail/A 36966-2022 tillsynsbegäran mail.docx", "A 36966-2022")</f>
        <v/>
      </c>
    </row>
    <row r="62" ht="15" customHeight="1">
      <c r="A62" t="inlineStr">
        <is>
          <t>A 34890-2021</t>
        </is>
      </c>
      <c r="B62" s="1" t="n">
        <v>44383</v>
      </c>
      <c r="C62" s="1" t="n">
        <v>46197</v>
      </c>
      <c r="D62" t="inlineStr">
        <is>
          <t>DALARNAS LÄN</t>
        </is>
      </c>
      <c r="E62" t="inlineStr">
        <is>
          <t>FALUN</t>
        </is>
      </c>
      <c r="G62" t="n">
        <v>1.4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Spillkråka</t>
        </is>
      </c>
      <c r="S62">
        <f>HYPERLINK("https://klasma.github.io/Logging_2080/artfynd/A 34890-2021 artfynd.xlsx", "A 34890-2021")</f>
        <v/>
      </c>
      <c r="T62">
        <f>HYPERLINK("https://klasma.github.io/Logging_2080/kartor/A 34890-2021 karta.png", "A 34890-2021")</f>
        <v/>
      </c>
      <c r="V62">
        <f>HYPERLINK("https://klasma.github.io/Logging_2080/klagomål/A 34890-2021 FSC-klagomål.docx", "A 34890-2021")</f>
        <v/>
      </c>
      <c r="W62">
        <f>HYPERLINK("https://klasma.github.io/Logging_2080/klagomålsmail/A 34890-2021 FSC-klagomål mail.docx", "A 34890-2021")</f>
        <v/>
      </c>
      <c r="X62">
        <f>HYPERLINK("https://klasma.github.io/Logging_2080/tillsyn/A 34890-2021 tillsynsbegäran.docx", "A 34890-2021")</f>
        <v/>
      </c>
      <c r="Y62">
        <f>HYPERLINK("https://klasma.github.io/Logging_2080/tillsynsmail/A 34890-2021 tillsynsbegäran mail.docx", "A 34890-2021")</f>
        <v/>
      </c>
      <c r="Z62">
        <f>HYPERLINK("https://klasma.github.io/Logging_2080/fåglar/A 34890-2021 prioriterade fågelarter.docx", "A 34890-2021")</f>
        <v/>
      </c>
    </row>
    <row r="63" ht="15" customHeight="1">
      <c r="A63" t="inlineStr">
        <is>
          <t>A 3586-2026</t>
        </is>
      </c>
      <c r="B63" s="1" t="n">
        <v>46042</v>
      </c>
      <c r="C63" s="1" t="n">
        <v>46197</v>
      </c>
      <c r="D63" t="inlineStr">
        <is>
          <t>DALARNAS LÄN</t>
        </is>
      </c>
      <c r="E63" t="inlineStr">
        <is>
          <t>FALUN</t>
        </is>
      </c>
      <c r="G63" t="n">
        <v>7.6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Bronshjon
Revlummer</t>
        </is>
      </c>
      <c r="S63">
        <f>HYPERLINK("https://klasma.github.io/Logging_2080/artfynd/A 3586-2026 artfynd.xlsx", "A 3586-2026")</f>
        <v/>
      </c>
      <c r="T63">
        <f>HYPERLINK("https://klasma.github.io/Logging_2080/kartor/A 3586-2026 karta.png", "A 3586-2026")</f>
        <v/>
      </c>
      <c r="V63">
        <f>HYPERLINK("https://klasma.github.io/Logging_2080/klagomål/A 3586-2026 FSC-klagomål.docx", "A 3586-2026")</f>
        <v/>
      </c>
      <c r="W63">
        <f>HYPERLINK("https://klasma.github.io/Logging_2080/klagomålsmail/A 3586-2026 FSC-klagomål mail.docx", "A 3586-2026")</f>
        <v/>
      </c>
      <c r="X63">
        <f>HYPERLINK("https://klasma.github.io/Logging_2080/tillsyn/A 3586-2026 tillsynsbegäran.docx", "A 3586-2026")</f>
        <v/>
      </c>
      <c r="Y63">
        <f>HYPERLINK("https://klasma.github.io/Logging_2080/tillsynsmail/A 3586-2026 tillsynsbegäran mail.docx", "A 3586-2026")</f>
        <v/>
      </c>
    </row>
    <row r="64" ht="15" customHeight="1">
      <c r="A64" t="inlineStr">
        <is>
          <t>A 3280-2026</t>
        </is>
      </c>
      <c r="B64" s="1" t="n">
        <v>46041</v>
      </c>
      <c r="C64" s="1" t="n">
        <v>46197</v>
      </c>
      <c r="D64" t="inlineStr">
        <is>
          <t>DALARNAS LÄN</t>
        </is>
      </c>
      <c r="E64" t="inlineStr">
        <is>
          <t>FALUN</t>
        </is>
      </c>
      <c r="G64" t="n">
        <v>30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Spillkråka
Gröngöling</t>
        </is>
      </c>
      <c r="S64">
        <f>HYPERLINK("https://klasma.github.io/Logging_2080/artfynd/A 3280-2026 artfynd.xlsx", "A 3280-2026")</f>
        <v/>
      </c>
      <c r="T64">
        <f>HYPERLINK("https://klasma.github.io/Logging_2080/kartor/A 3280-2026 karta.png", "A 3280-2026")</f>
        <v/>
      </c>
      <c r="V64">
        <f>HYPERLINK("https://klasma.github.io/Logging_2080/klagomål/A 3280-2026 FSC-klagomål.docx", "A 3280-2026")</f>
        <v/>
      </c>
      <c r="W64">
        <f>HYPERLINK("https://klasma.github.io/Logging_2080/klagomålsmail/A 3280-2026 FSC-klagomål mail.docx", "A 3280-2026")</f>
        <v/>
      </c>
      <c r="X64">
        <f>HYPERLINK("https://klasma.github.io/Logging_2080/tillsyn/A 3280-2026 tillsynsbegäran.docx", "A 3280-2026")</f>
        <v/>
      </c>
      <c r="Y64">
        <f>HYPERLINK("https://klasma.github.io/Logging_2080/tillsynsmail/A 3280-2026 tillsynsbegäran mail.docx", "A 3280-2026")</f>
        <v/>
      </c>
      <c r="Z64">
        <f>HYPERLINK("https://klasma.github.io/Logging_2080/fåglar/A 3280-2026 prioriterade fågelarter.docx", "A 3280-2026")</f>
        <v/>
      </c>
    </row>
    <row r="65" ht="15" customHeight="1">
      <c r="A65" t="inlineStr">
        <is>
          <t>A 41050-2025</t>
        </is>
      </c>
      <c r="B65" s="1" t="n">
        <v>45898</v>
      </c>
      <c r="C65" s="1" t="n">
        <v>46197</v>
      </c>
      <c r="D65" t="inlineStr">
        <is>
          <t>DALARNAS LÄN</t>
        </is>
      </c>
      <c r="E65" t="inlineStr">
        <is>
          <t>FALUN</t>
        </is>
      </c>
      <c r="G65" t="n">
        <v>4.7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Motaggsvamp</t>
        </is>
      </c>
      <c r="S65">
        <f>HYPERLINK("https://klasma.github.io/Logging_2080/artfynd/A 41050-2025 artfynd.xlsx", "A 41050-2025")</f>
        <v/>
      </c>
      <c r="T65">
        <f>HYPERLINK("https://klasma.github.io/Logging_2080/kartor/A 41050-2025 karta.png", "A 41050-2025")</f>
        <v/>
      </c>
      <c r="U65">
        <f>HYPERLINK("https://klasma.github.io/Logging_2080/knärot/A 41050-2025 karta knärot.png", "A 41050-2025")</f>
        <v/>
      </c>
      <c r="V65">
        <f>HYPERLINK("https://klasma.github.io/Logging_2080/klagomål/A 41050-2025 FSC-klagomål.docx", "A 41050-2025")</f>
        <v/>
      </c>
      <c r="W65">
        <f>HYPERLINK("https://klasma.github.io/Logging_2080/klagomålsmail/A 41050-2025 FSC-klagomål mail.docx", "A 41050-2025")</f>
        <v/>
      </c>
      <c r="X65">
        <f>HYPERLINK("https://klasma.github.io/Logging_2080/tillsyn/A 41050-2025 tillsynsbegäran.docx", "A 41050-2025")</f>
        <v/>
      </c>
      <c r="Y65">
        <f>HYPERLINK("https://klasma.github.io/Logging_2080/tillsynsmail/A 41050-2025 tillsynsbegäran mail.docx", "A 41050-2025")</f>
        <v/>
      </c>
    </row>
    <row r="66" ht="15" customHeight="1">
      <c r="A66" t="inlineStr">
        <is>
          <t>A 29791-2025</t>
        </is>
      </c>
      <c r="B66" s="1" t="n">
        <v>45825</v>
      </c>
      <c r="C66" s="1" t="n">
        <v>46197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6.7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HYPERLINK("https://klasma.github.io/Logging_2080/artfynd/A 29791-2025 artfynd.xlsx", "A 29791-2025")</f>
        <v/>
      </c>
      <c r="T66">
        <f>HYPERLINK("https://klasma.github.io/Logging_2080/kartor/A 29791-2025 karta.png", "A 29791-2025")</f>
        <v/>
      </c>
      <c r="U66">
        <f>HYPERLINK("https://klasma.github.io/Logging_2080/knärot/A 29791-2025 karta knärot.png", "A 29791-2025")</f>
        <v/>
      </c>
      <c r="V66">
        <f>HYPERLINK("https://klasma.github.io/Logging_2080/klagomål/A 29791-2025 FSC-klagomål.docx", "A 29791-2025")</f>
        <v/>
      </c>
      <c r="W66">
        <f>HYPERLINK("https://klasma.github.io/Logging_2080/klagomålsmail/A 29791-2025 FSC-klagomål mail.docx", "A 29791-2025")</f>
        <v/>
      </c>
      <c r="X66">
        <f>HYPERLINK("https://klasma.github.io/Logging_2080/tillsyn/A 29791-2025 tillsynsbegäran.docx", "A 29791-2025")</f>
        <v/>
      </c>
      <c r="Y66">
        <f>HYPERLINK("https://klasma.github.io/Logging_2080/tillsynsmail/A 29791-2025 tillsynsbegäran mail.docx", "A 29791-2025")</f>
        <v/>
      </c>
    </row>
    <row r="67" ht="15" customHeight="1">
      <c r="A67" t="inlineStr">
        <is>
          <t>A 8751-2024</t>
        </is>
      </c>
      <c r="B67" s="1" t="n">
        <v>45356</v>
      </c>
      <c r="C67" s="1" t="n">
        <v>46197</v>
      </c>
      <c r="D67" t="inlineStr">
        <is>
          <t>DALARNAS LÄN</t>
        </is>
      </c>
      <c r="E67" t="inlineStr">
        <is>
          <t>FALUN</t>
        </is>
      </c>
      <c r="G67" t="n">
        <v>6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Vanlig groda</t>
        </is>
      </c>
      <c r="S67">
        <f>HYPERLINK("https://klasma.github.io/Logging_2080/artfynd/A 8751-2024 artfynd.xlsx", "A 8751-2024")</f>
        <v/>
      </c>
      <c r="T67">
        <f>HYPERLINK("https://klasma.github.io/Logging_2080/kartor/A 8751-2024 karta.png", "A 8751-2024")</f>
        <v/>
      </c>
      <c r="U67">
        <f>HYPERLINK("https://klasma.github.io/Logging_2080/knärot/A 8751-2024 karta knärot.png", "A 8751-2024")</f>
        <v/>
      </c>
      <c r="V67">
        <f>HYPERLINK("https://klasma.github.io/Logging_2080/klagomål/A 8751-2024 FSC-klagomål.docx", "A 8751-2024")</f>
        <v/>
      </c>
      <c r="W67">
        <f>HYPERLINK("https://klasma.github.io/Logging_2080/klagomålsmail/A 8751-2024 FSC-klagomål mail.docx", "A 8751-2024")</f>
        <v/>
      </c>
      <c r="X67">
        <f>HYPERLINK("https://klasma.github.io/Logging_2080/tillsyn/A 8751-2024 tillsynsbegäran.docx", "A 8751-2024")</f>
        <v/>
      </c>
      <c r="Y67">
        <f>HYPERLINK("https://klasma.github.io/Logging_2080/tillsynsmail/A 8751-2024 tillsynsbegäran mail.docx", "A 8751-2024")</f>
        <v/>
      </c>
    </row>
    <row r="68" ht="15" customHeight="1">
      <c r="A68" t="inlineStr">
        <is>
          <t>A 4244-2026</t>
        </is>
      </c>
      <c r="B68" s="1" t="n">
        <v>46045</v>
      </c>
      <c r="C68" s="1" t="n">
        <v>46197</v>
      </c>
      <c r="D68" t="inlineStr">
        <is>
          <t>DALARNAS LÄN</t>
        </is>
      </c>
      <c r="E68" t="inlineStr">
        <is>
          <t>FALUN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Rynkskinn
Ullticka</t>
        </is>
      </c>
      <c r="S68">
        <f>HYPERLINK("https://klasma.github.io/Logging_2080/artfynd/A 4244-2026 artfynd.xlsx", "A 4244-2026")</f>
        <v/>
      </c>
      <c r="T68">
        <f>HYPERLINK("https://klasma.github.io/Logging_2080/kartor/A 4244-2026 karta.png", "A 4244-2026")</f>
        <v/>
      </c>
      <c r="V68">
        <f>HYPERLINK("https://klasma.github.io/Logging_2080/klagomål/A 4244-2026 FSC-klagomål.docx", "A 4244-2026")</f>
        <v/>
      </c>
      <c r="W68">
        <f>HYPERLINK("https://klasma.github.io/Logging_2080/klagomålsmail/A 4244-2026 FSC-klagomål mail.docx", "A 4244-2026")</f>
        <v/>
      </c>
      <c r="X68">
        <f>HYPERLINK("https://klasma.github.io/Logging_2080/tillsyn/A 4244-2026 tillsynsbegäran.docx", "A 4244-2026")</f>
        <v/>
      </c>
      <c r="Y68">
        <f>HYPERLINK("https://klasma.github.io/Logging_2080/tillsynsmail/A 4244-2026 tillsynsbegäran mail.docx", "A 4244-2026")</f>
        <v/>
      </c>
    </row>
    <row r="69" ht="15" customHeight="1">
      <c r="A69" t="inlineStr">
        <is>
          <t>A 3284-2026</t>
        </is>
      </c>
      <c r="B69" s="1" t="n">
        <v>46041</v>
      </c>
      <c r="C69" s="1" t="n">
        <v>46197</v>
      </c>
      <c r="D69" t="inlineStr">
        <is>
          <t>DALARNAS LÄN</t>
        </is>
      </c>
      <c r="E69" t="inlineStr">
        <is>
          <t>FALUN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Blåbär
Spillkråka</t>
        </is>
      </c>
      <c r="S69">
        <f>HYPERLINK("https://klasma.github.io/Logging_2080/artfynd/A 3284-2026 artfynd.xlsx", "A 3284-2026")</f>
        <v/>
      </c>
      <c r="T69">
        <f>HYPERLINK("https://klasma.github.io/Logging_2080/kartor/A 3284-2026 karta.png", "A 3284-2026")</f>
        <v/>
      </c>
      <c r="V69">
        <f>HYPERLINK("https://klasma.github.io/Logging_2080/klagomål/A 3284-2026 FSC-klagomål.docx", "A 3284-2026")</f>
        <v/>
      </c>
      <c r="W69">
        <f>HYPERLINK("https://klasma.github.io/Logging_2080/klagomålsmail/A 3284-2026 FSC-klagomål mail.docx", "A 3284-2026")</f>
        <v/>
      </c>
      <c r="X69">
        <f>HYPERLINK("https://klasma.github.io/Logging_2080/tillsyn/A 3284-2026 tillsynsbegäran.docx", "A 3284-2026")</f>
        <v/>
      </c>
      <c r="Y69">
        <f>HYPERLINK("https://klasma.github.io/Logging_2080/tillsynsmail/A 3284-2026 tillsynsbegäran mail.docx", "A 3284-2026")</f>
        <v/>
      </c>
      <c r="Z69">
        <f>HYPERLINK("https://klasma.github.io/Logging_2080/fåglar/A 3284-2026 prioriterade fågelarter.docx", "A 3284-2026")</f>
        <v/>
      </c>
    </row>
    <row r="70" ht="15" customHeight="1">
      <c r="A70" t="inlineStr">
        <is>
          <t>A 6400-2026</t>
        </is>
      </c>
      <c r="B70" s="1" t="n">
        <v>46055</v>
      </c>
      <c r="C70" s="1" t="n">
        <v>46197</v>
      </c>
      <c r="D70" t="inlineStr">
        <is>
          <t>DALARNAS LÄN</t>
        </is>
      </c>
      <c r="E70" t="inlineStr">
        <is>
          <t>FALUN</t>
        </is>
      </c>
      <c r="G70" t="n">
        <v>3.3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Spillkråka
Revlummer</t>
        </is>
      </c>
      <c r="S70">
        <f>HYPERLINK("https://klasma.github.io/Logging_2080/artfynd/A 6400-2026 artfynd.xlsx", "A 6400-2026")</f>
        <v/>
      </c>
      <c r="T70">
        <f>HYPERLINK("https://klasma.github.io/Logging_2080/kartor/A 6400-2026 karta.png", "A 6400-2026")</f>
        <v/>
      </c>
      <c r="V70">
        <f>HYPERLINK("https://klasma.github.io/Logging_2080/klagomål/A 6400-2026 FSC-klagomål.docx", "A 6400-2026")</f>
        <v/>
      </c>
      <c r="W70">
        <f>HYPERLINK("https://klasma.github.io/Logging_2080/klagomålsmail/A 6400-2026 FSC-klagomål mail.docx", "A 6400-2026")</f>
        <v/>
      </c>
      <c r="X70">
        <f>HYPERLINK("https://klasma.github.io/Logging_2080/tillsyn/A 6400-2026 tillsynsbegäran.docx", "A 6400-2026")</f>
        <v/>
      </c>
      <c r="Y70">
        <f>HYPERLINK("https://klasma.github.io/Logging_2080/tillsynsmail/A 6400-2026 tillsynsbegäran mail.docx", "A 6400-2026")</f>
        <v/>
      </c>
      <c r="Z70">
        <f>HYPERLINK("https://klasma.github.io/Logging_2080/fåglar/A 6400-2026 prioriterade fågelarter.docx", "A 6400-2026")</f>
        <v/>
      </c>
    </row>
    <row r="71" ht="15" customHeight="1">
      <c r="A71" t="inlineStr">
        <is>
          <t>A 11348-2026</t>
        </is>
      </c>
      <c r="B71" s="1" t="n">
        <v>46082</v>
      </c>
      <c r="C71" s="1" t="n">
        <v>46197</v>
      </c>
      <c r="D71" t="inlineStr">
        <is>
          <t>DALARNAS LÄN</t>
        </is>
      </c>
      <c r="E71" t="inlineStr">
        <is>
          <t>FALUN</t>
        </is>
      </c>
      <c r="G71" t="n">
        <v>36.7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Plattlummer
Spillkråka</t>
        </is>
      </c>
      <c r="S71">
        <f>HYPERLINK("https://klasma.github.io/Logging_2080/artfynd/A 11348-2026 artfynd.xlsx", "A 11348-2026")</f>
        <v/>
      </c>
      <c r="T71">
        <f>HYPERLINK("https://klasma.github.io/Logging_2080/kartor/A 11348-2026 karta.png", "A 11348-2026")</f>
        <v/>
      </c>
      <c r="U71">
        <f>HYPERLINK("https://klasma.github.io/Logging_2080/knärot/A 11348-2026 karta knärot.png", "A 11348-2026")</f>
        <v/>
      </c>
      <c r="V71">
        <f>HYPERLINK("https://klasma.github.io/Logging_2080/klagomål/A 11348-2026 FSC-klagomål.docx", "A 11348-2026")</f>
        <v/>
      </c>
      <c r="W71">
        <f>HYPERLINK("https://klasma.github.io/Logging_2080/klagomålsmail/A 11348-2026 FSC-klagomål mail.docx", "A 11348-2026")</f>
        <v/>
      </c>
      <c r="X71">
        <f>HYPERLINK("https://klasma.github.io/Logging_2080/tillsyn/A 11348-2026 tillsynsbegäran.docx", "A 11348-2026")</f>
        <v/>
      </c>
      <c r="Y71">
        <f>HYPERLINK("https://klasma.github.io/Logging_2080/tillsynsmail/A 11348-2026 tillsynsbegäran mail.docx", "A 11348-2026")</f>
        <v/>
      </c>
      <c r="Z71">
        <f>HYPERLINK("https://klasma.github.io/Logging_2080/fåglar/A 11348-2026 prioriterade fågelarter.docx", "A 11348-2026")</f>
        <v/>
      </c>
    </row>
    <row r="72" ht="15" customHeight="1">
      <c r="A72" t="inlineStr">
        <is>
          <t>A 12420-2026</t>
        </is>
      </c>
      <c r="B72" s="1" t="n">
        <v>46090</v>
      </c>
      <c r="C72" s="1" t="n">
        <v>46197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21.8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Tjäder
Kungsfågel</t>
        </is>
      </c>
      <c r="S72">
        <f>HYPERLINK("https://klasma.github.io/Logging_2080/artfynd/A 12420-2026 artfynd.xlsx", "A 12420-2026")</f>
        <v/>
      </c>
      <c r="T72">
        <f>HYPERLINK("https://klasma.github.io/Logging_2080/kartor/A 12420-2026 karta.png", "A 12420-2026")</f>
        <v/>
      </c>
      <c r="V72">
        <f>HYPERLINK("https://klasma.github.io/Logging_2080/klagomål/A 12420-2026 FSC-klagomål.docx", "A 12420-2026")</f>
        <v/>
      </c>
      <c r="W72">
        <f>HYPERLINK("https://klasma.github.io/Logging_2080/klagomålsmail/A 12420-2026 FSC-klagomål mail.docx", "A 12420-2026")</f>
        <v/>
      </c>
      <c r="X72">
        <f>HYPERLINK("https://klasma.github.io/Logging_2080/tillsyn/A 12420-2026 tillsynsbegäran.docx", "A 12420-2026")</f>
        <v/>
      </c>
      <c r="Y72">
        <f>HYPERLINK("https://klasma.github.io/Logging_2080/tillsynsmail/A 12420-2026 tillsynsbegäran mail.docx", "A 12420-2026")</f>
        <v/>
      </c>
      <c r="Z72">
        <f>HYPERLINK("https://klasma.github.io/Logging_2080/fåglar/A 12420-2026 prioriterade fågelarter.docx", "A 12420-2026")</f>
        <v/>
      </c>
    </row>
    <row r="73" ht="15" customHeight="1">
      <c r="A73" t="inlineStr">
        <is>
          <t>A 12786-2026</t>
        </is>
      </c>
      <c r="B73" s="1" t="n">
        <v>46091</v>
      </c>
      <c r="C73" s="1" t="n">
        <v>46197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Månlåsbräken
Tjäder</t>
        </is>
      </c>
      <c r="S73">
        <f>HYPERLINK("https://klasma.github.io/Logging_2080/artfynd/A 12786-2026 artfynd.xlsx", "A 12786-2026")</f>
        <v/>
      </c>
      <c r="T73">
        <f>HYPERLINK("https://klasma.github.io/Logging_2080/kartor/A 12786-2026 karta.png", "A 12786-2026")</f>
        <v/>
      </c>
      <c r="V73">
        <f>HYPERLINK("https://klasma.github.io/Logging_2080/klagomål/A 12786-2026 FSC-klagomål.docx", "A 12786-2026")</f>
        <v/>
      </c>
      <c r="W73">
        <f>HYPERLINK("https://klasma.github.io/Logging_2080/klagomålsmail/A 12786-2026 FSC-klagomål mail.docx", "A 12786-2026")</f>
        <v/>
      </c>
      <c r="X73">
        <f>HYPERLINK("https://klasma.github.io/Logging_2080/tillsyn/A 12786-2026 tillsynsbegäran.docx", "A 12786-2026")</f>
        <v/>
      </c>
      <c r="Y73">
        <f>HYPERLINK("https://klasma.github.io/Logging_2080/tillsynsmail/A 12786-2026 tillsynsbegäran mail.docx", "A 12786-2026")</f>
        <v/>
      </c>
      <c r="Z73">
        <f>HYPERLINK("https://klasma.github.io/Logging_2080/fåglar/A 12786-2026 prioriterade fågelarter.docx", "A 12786-2026")</f>
        <v/>
      </c>
    </row>
    <row r="74" ht="15" customHeight="1">
      <c r="A74" t="inlineStr">
        <is>
          <t>A 42302-2023</t>
        </is>
      </c>
      <c r="B74" s="1" t="n">
        <v>45175</v>
      </c>
      <c r="C74" s="1" t="n">
        <v>46197</v>
      </c>
      <c r="D74" t="inlineStr">
        <is>
          <t>DALARNAS LÄN</t>
        </is>
      </c>
      <c r="E74" t="inlineStr">
        <is>
          <t>FALUN</t>
        </is>
      </c>
      <c r="G74" t="n">
        <v>8.5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Silverblåvinge
Brunklöver</t>
        </is>
      </c>
      <c r="S74">
        <f>HYPERLINK("https://klasma.github.io/Logging_2080/artfynd/A 42302-2023 artfynd.xlsx", "A 42302-2023")</f>
        <v/>
      </c>
      <c r="T74">
        <f>HYPERLINK("https://klasma.github.io/Logging_2080/kartor/A 42302-2023 karta.png", "A 42302-2023")</f>
        <v/>
      </c>
      <c r="V74">
        <f>HYPERLINK("https://klasma.github.io/Logging_2080/klagomål/A 42302-2023 FSC-klagomål.docx", "A 42302-2023")</f>
        <v/>
      </c>
      <c r="W74">
        <f>HYPERLINK("https://klasma.github.io/Logging_2080/klagomålsmail/A 42302-2023 FSC-klagomål mail.docx", "A 42302-2023")</f>
        <v/>
      </c>
      <c r="X74">
        <f>HYPERLINK("https://klasma.github.io/Logging_2080/tillsyn/A 42302-2023 tillsynsbegäran.docx", "A 42302-2023")</f>
        <v/>
      </c>
      <c r="Y74">
        <f>HYPERLINK("https://klasma.github.io/Logging_2080/tillsynsmail/A 42302-2023 tillsynsbegäran mail.docx", "A 42302-2023")</f>
        <v/>
      </c>
    </row>
    <row r="75" ht="15" customHeight="1">
      <c r="A75" t="inlineStr">
        <is>
          <t>A 13946-2026</t>
        </is>
      </c>
      <c r="B75" s="1" t="n">
        <v>46098</v>
      </c>
      <c r="C75" s="1" t="n">
        <v>46197</v>
      </c>
      <c r="D75" t="inlineStr">
        <is>
          <t>DALARNAS LÄN</t>
        </is>
      </c>
      <c r="E75" t="inlineStr">
        <is>
          <t>FALUN</t>
        </is>
      </c>
      <c r="F75" t="inlineStr">
        <is>
          <t>Allmännings- och besparingsskogar</t>
        </is>
      </c>
      <c r="G75" t="n">
        <v>12.5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Dropptaggsvamp
Ullticka</t>
        </is>
      </c>
      <c r="S75">
        <f>HYPERLINK("https://klasma.github.io/Logging_2080/artfynd/A 13946-2026 artfynd.xlsx", "A 13946-2026")</f>
        <v/>
      </c>
      <c r="T75">
        <f>HYPERLINK("https://klasma.github.io/Logging_2080/kartor/A 13946-2026 karta.png", "A 13946-2026")</f>
        <v/>
      </c>
      <c r="V75">
        <f>HYPERLINK("https://klasma.github.io/Logging_2080/klagomål/A 13946-2026 FSC-klagomål.docx", "A 13946-2026")</f>
        <v/>
      </c>
      <c r="W75">
        <f>HYPERLINK("https://klasma.github.io/Logging_2080/klagomålsmail/A 13946-2026 FSC-klagomål mail.docx", "A 13946-2026")</f>
        <v/>
      </c>
      <c r="X75">
        <f>HYPERLINK("https://klasma.github.io/Logging_2080/tillsyn/A 13946-2026 tillsynsbegäran.docx", "A 13946-2026")</f>
        <v/>
      </c>
      <c r="Y75">
        <f>HYPERLINK("https://klasma.github.io/Logging_2080/tillsynsmail/A 13946-2026 tillsynsbegäran mail.docx", "A 13946-2026")</f>
        <v/>
      </c>
    </row>
    <row r="76" ht="15" customHeight="1">
      <c r="A76" t="inlineStr">
        <is>
          <t>A 15875-2026</t>
        </is>
      </c>
      <c r="B76" s="1" t="n">
        <v>46107</v>
      </c>
      <c r="C76" s="1" t="n">
        <v>46197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HYPERLINK("https://klasma.github.io/Logging_2080/artfynd/A 15875-2026 artfynd.xlsx", "A 15875-2026")</f>
        <v/>
      </c>
      <c r="T76">
        <f>HYPERLINK("https://klasma.github.io/Logging_2080/kartor/A 15875-2026 karta.png", "A 15875-2026")</f>
        <v/>
      </c>
      <c r="V76">
        <f>HYPERLINK("https://klasma.github.io/Logging_2080/klagomål/A 15875-2026 FSC-klagomål.docx", "A 15875-2026")</f>
        <v/>
      </c>
      <c r="W76">
        <f>HYPERLINK("https://klasma.github.io/Logging_2080/klagomålsmail/A 15875-2026 FSC-klagomål mail.docx", "A 15875-2026")</f>
        <v/>
      </c>
      <c r="X76">
        <f>HYPERLINK("https://klasma.github.io/Logging_2080/tillsyn/A 15875-2026 tillsynsbegäran.docx", "A 15875-2026")</f>
        <v/>
      </c>
      <c r="Y76">
        <f>HYPERLINK("https://klasma.github.io/Logging_2080/tillsynsmail/A 15875-2026 tillsynsbegäran mail.docx", "A 15875-2026")</f>
        <v/>
      </c>
    </row>
    <row r="77" ht="15" customHeight="1">
      <c r="A77" t="inlineStr">
        <is>
          <t>A 17368-2026</t>
        </is>
      </c>
      <c r="B77" s="1" t="n">
        <v>46119</v>
      </c>
      <c r="C77" s="1" t="n">
        <v>46197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HYPERLINK("https://klasma.github.io/Logging_2080/artfynd/A 17368-2026 artfynd.xlsx", "A 17368-2026")</f>
        <v/>
      </c>
      <c r="T77">
        <f>HYPERLINK("https://klasma.github.io/Logging_2080/kartor/A 17368-2026 karta.png", "A 17368-2026")</f>
        <v/>
      </c>
      <c r="V77">
        <f>HYPERLINK("https://klasma.github.io/Logging_2080/klagomål/A 17368-2026 FSC-klagomål.docx", "A 17368-2026")</f>
        <v/>
      </c>
      <c r="W77">
        <f>HYPERLINK("https://klasma.github.io/Logging_2080/klagomålsmail/A 17368-2026 FSC-klagomål mail.docx", "A 17368-2026")</f>
        <v/>
      </c>
      <c r="X77">
        <f>HYPERLINK("https://klasma.github.io/Logging_2080/tillsyn/A 17368-2026 tillsynsbegäran.docx", "A 17368-2026")</f>
        <v/>
      </c>
      <c r="Y77">
        <f>HYPERLINK("https://klasma.github.io/Logging_2080/tillsynsmail/A 17368-2026 tillsynsbegäran mail.docx", "A 17368-2026")</f>
        <v/>
      </c>
    </row>
    <row r="78" ht="15" customHeight="1">
      <c r="A78" t="inlineStr">
        <is>
          <t>A 18460-2026</t>
        </is>
      </c>
      <c r="B78" s="1" t="n">
        <v>46127</v>
      </c>
      <c r="C78" s="1" t="n">
        <v>46197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10.5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Skuggblåslav</t>
        </is>
      </c>
      <c r="S78">
        <f>HYPERLINK("https://klasma.github.io/Logging_2080/artfynd/A 18460-2026 artfynd.xlsx", "A 18460-2026")</f>
        <v/>
      </c>
      <c r="T78">
        <f>HYPERLINK("https://klasma.github.io/Logging_2080/kartor/A 18460-2026 karta.png", "A 18460-2026")</f>
        <v/>
      </c>
      <c r="V78">
        <f>HYPERLINK("https://klasma.github.io/Logging_2080/klagomål/A 18460-2026 FSC-klagomål.docx", "A 18460-2026")</f>
        <v/>
      </c>
      <c r="W78">
        <f>HYPERLINK("https://klasma.github.io/Logging_2080/klagomålsmail/A 18460-2026 FSC-klagomål mail.docx", "A 18460-2026")</f>
        <v/>
      </c>
      <c r="X78">
        <f>HYPERLINK("https://klasma.github.io/Logging_2080/tillsyn/A 18460-2026 tillsynsbegäran.docx", "A 18460-2026")</f>
        <v/>
      </c>
      <c r="Y78">
        <f>HYPERLINK("https://klasma.github.io/Logging_2080/tillsynsmail/A 18460-2026 tillsynsbegäran mail.docx", "A 18460-2026")</f>
        <v/>
      </c>
    </row>
    <row r="79" ht="15" customHeight="1">
      <c r="A79" t="inlineStr">
        <is>
          <t>A 18714-2023</t>
        </is>
      </c>
      <c r="B79" s="1" t="n">
        <v>45043</v>
      </c>
      <c r="C79" s="1" t="n">
        <v>46197</v>
      </c>
      <c r="D79" t="inlineStr">
        <is>
          <t>DALARNAS LÄN</t>
        </is>
      </c>
      <c r="E79" t="inlineStr">
        <is>
          <t>FALUN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Gammelgransskål
Bronshjon</t>
        </is>
      </c>
      <c r="S79">
        <f>HYPERLINK("https://klasma.github.io/Logging_2080/artfynd/A 18714-2023 artfynd.xlsx", "A 18714-2023")</f>
        <v/>
      </c>
      <c r="T79">
        <f>HYPERLINK("https://klasma.github.io/Logging_2080/kartor/A 18714-2023 karta.png", "A 18714-2023")</f>
        <v/>
      </c>
      <c r="V79">
        <f>HYPERLINK("https://klasma.github.io/Logging_2080/klagomål/A 18714-2023 FSC-klagomål.docx", "A 18714-2023")</f>
        <v/>
      </c>
      <c r="W79">
        <f>HYPERLINK("https://klasma.github.io/Logging_2080/klagomålsmail/A 18714-2023 FSC-klagomål mail.docx", "A 18714-2023")</f>
        <v/>
      </c>
      <c r="X79">
        <f>HYPERLINK("https://klasma.github.io/Logging_2080/tillsyn/A 18714-2023 tillsynsbegäran.docx", "A 18714-2023")</f>
        <v/>
      </c>
      <c r="Y79">
        <f>HYPERLINK("https://klasma.github.io/Logging_2080/tillsynsmail/A 18714-2023 tillsynsbegäran mail.docx", "A 18714-2023")</f>
        <v/>
      </c>
    </row>
    <row r="80" ht="15" customHeight="1">
      <c r="A80" t="inlineStr">
        <is>
          <t>A 19752-2026</t>
        </is>
      </c>
      <c r="B80" s="1" t="n">
        <v>46135</v>
      </c>
      <c r="C80" s="1" t="n">
        <v>46197</v>
      </c>
      <c r="D80" t="inlineStr">
        <is>
          <t>DALARNAS LÄN</t>
        </is>
      </c>
      <c r="E80" t="inlineStr">
        <is>
          <t>FALUN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Kungsfågel</t>
        </is>
      </c>
      <c r="S80">
        <f>HYPERLINK("https://klasma.github.io/Logging_2080/artfynd/A 19752-2026 artfynd.xlsx", "A 19752-2026")</f>
        <v/>
      </c>
      <c r="T80">
        <f>HYPERLINK("https://klasma.github.io/Logging_2080/kartor/A 19752-2026 karta.png", "A 19752-2026")</f>
        <v/>
      </c>
      <c r="V80">
        <f>HYPERLINK("https://klasma.github.io/Logging_2080/klagomål/A 19752-2026 FSC-klagomål.docx", "A 19752-2026")</f>
        <v/>
      </c>
      <c r="W80">
        <f>HYPERLINK("https://klasma.github.io/Logging_2080/klagomålsmail/A 19752-2026 FSC-klagomål mail.docx", "A 19752-2026")</f>
        <v/>
      </c>
      <c r="X80">
        <f>HYPERLINK("https://klasma.github.io/Logging_2080/tillsyn/A 19752-2026 tillsynsbegäran.docx", "A 19752-2026")</f>
        <v/>
      </c>
      <c r="Y80">
        <f>HYPERLINK("https://klasma.github.io/Logging_2080/tillsynsmail/A 19752-2026 tillsynsbegäran mail.docx", "A 19752-2026")</f>
        <v/>
      </c>
      <c r="Z80">
        <f>HYPERLINK("https://klasma.github.io/Logging_2080/fåglar/A 19752-2026 prioriterade fågelarter.docx", "A 19752-2026")</f>
        <v/>
      </c>
    </row>
    <row r="81" ht="15" customHeight="1">
      <c r="A81" t="inlineStr">
        <is>
          <t>A 19015-2024</t>
        </is>
      </c>
      <c r="B81" s="1" t="n">
        <v>45427</v>
      </c>
      <c r="C81" s="1" t="n">
        <v>46197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13.8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Kungsfågel</t>
        </is>
      </c>
      <c r="S81">
        <f>HYPERLINK("https://klasma.github.io/Logging_2080/artfynd/A 19015-2024 artfynd.xlsx", "A 19015-2024")</f>
        <v/>
      </c>
      <c r="T81">
        <f>HYPERLINK("https://klasma.github.io/Logging_2080/kartor/A 19015-2024 karta.png", "A 19015-2024")</f>
        <v/>
      </c>
      <c r="V81">
        <f>HYPERLINK("https://klasma.github.io/Logging_2080/klagomål/A 19015-2024 FSC-klagomål.docx", "A 19015-2024")</f>
        <v/>
      </c>
      <c r="W81">
        <f>HYPERLINK("https://klasma.github.io/Logging_2080/klagomålsmail/A 19015-2024 FSC-klagomål mail.docx", "A 19015-2024")</f>
        <v/>
      </c>
      <c r="X81">
        <f>HYPERLINK("https://klasma.github.io/Logging_2080/tillsyn/A 19015-2024 tillsynsbegäran.docx", "A 19015-2024")</f>
        <v/>
      </c>
      <c r="Y81">
        <f>HYPERLINK("https://klasma.github.io/Logging_2080/tillsynsmail/A 19015-2024 tillsynsbegäran mail.docx", "A 19015-2024")</f>
        <v/>
      </c>
      <c r="Z81">
        <f>HYPERLINK("https://klasma.github.io/Logging_2080/fåglar/A 19015-2024 prioriterade fågelarter.docx", "A 19015-2024")</f>
        <v/>
      </c>
    </row>
    <row r="82" ht="15" customHeight="1">
      <c r="A82" t="inlineStr">
        <is>
          <t>A 2968-2026</t>
        </is>
      </c>
      <c r="B82" s="1" t="n">
        <v>46037</v>
      </c>
      <c r="C82" s="1" t="n">
        <v>46197</v>
      </c>
      <c r="D82" t="inlineStr">
        <is>
          <t>DALARNAS LÄN</t>
        </is>
      </c>
      <c r="E82" t="inlineStr">
        <is>
          <t>FALUN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Garnlav
Tjäder</t>
        </is>
      </c>
      <c r="S82">
        <f>HYPERLINK("https://klasma.github.io/Logging_2080/artfynd/A 2968-2026 artfynd.xlsx", "A 2968-2026")</f>
        <v/>
      </c>
      <c r="T82">
        <f>HYPERLINK("https://klasma.github.io/Logging_2080/kartor/A 2968-2026 karta.png", "A 2968-2026")</f>
        <v/>
      </c>
      <c r="V82">
        <f>HYPERLINK("https://klasma.github.io/Logging_2080/klagomål/A 2968-2026 FSC-klagomål.docx", "A 2968-2026")</f>
        <v/>
      </c>
      <c r="W82">
        <f>HYPERLINK("https://klasma.github.io/Logging_2080/klagomålsmail/A 2968-2026 FSC-klagomål mail.docx", "A 2968-2026")</f>
        <v/>
      </c>
      <c r="X82">
        <f>HYPERLINK("https://klasma.github.io/Logging_2080/tillsyn/A 2968-2026 tillsynsbegäran.docx", "A 2968-2026")</f>
        <v/>
      </c>
      <c r="Y82">
        <f>HYPERLINK("https://klasma.github.io/Logging_2080/tillsynsmail/A 2968-2026 tillsynsbegäran mail.docx", "A 2968-2026")</f>
        <v/>
      </c>
      <c r="Z82">
        <f>HYPERLINK("https://klasma.github.io/Logging_2080/fåglar/A 2968-2026 prioriterade fågelarter.docx", "A 2968-2026")</f>
        <v/>
      </c>
    </row>
    <row r="83" ht="15" customHeight="1">
      <c r="A83" t="inlineStr">
        <is>
          <t>A 20658-2026</t>
        </is>
      </c>
      <c r="B83" s="1" t="n">
        <v>46141</v>
      </c>
      <c r="C83" s="1" t="n">
        <v>46197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2.2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Tretåig hackspett
Ullticka</t>
        </is>
      </c>
      <c r="S83">
        <f>HYPERLINK("https://klasma.github.io/Logging_2080/artfynd/A 20658-2026 artfynd.xlsx", "A 20658-2026")</f>
        <v/>
      </c>
      <c r="T83">
        <f>HYPERLINK("https://klasma.github.io/Logging_2080/kartor/A 20658-2026 karta.png", "A 20658-2026")</f>
        <v/>
      </c>
      <c r="V83">
        <f>HYPERLINK("https://klasma.github.io/Logging_2080/klagomål/A 20658-2026 FSC-klagomål.docx", "A 20658-2026")</f>
        <v/>
      </c>
      <c r="W83">
        <f>HYPERLINK("https://klasma.github.io/Logging_2080/klagomålsmail/A 20658-2026 FSC-klagomål mail.docx", "A 20658-2026")</f>
        <v/>
      </c>
      <c r="X83">
        <f>HYPERLINK("https://klasma.github.io/Logging_2080/tillsyn/A 20658-2026 tillsynsbegäran.docx", "A 20658-2026")</f>
        <v/>
      </c>
      <c r="Y83">
        <f>HYPERLINK("https://klasma.github.io/Logging_2080/tillsynsmail/A 20658-2026 tillsynsbegäran mail.docx", "A 20658-2026")</f>
        <v/>
      </c>
      <c r="Z83">
        <f>HYPERLINK("https://klasma.github.io/Logging_2080/fåglar/A 20658-2026 prioriterade fågelarter.docx", "A 20658-2026")</f>
        <v/>
      </c>
    </row>
    <row r="84" ht="15" customHeight="1">
      <c r="A84" t="inlineStr">
        <is>
          <t>A 44727-2025</t>
        </is>
      </c>
      <c r="B84" s="1" t="n">
        <v>45917</v>
      </c>
      <c r="C84" s="1" t="n">
        <v>46197</v>
      </c>
      <c r="D84" t="inlineStr">
        <is>
          <t>DALARNAS LÄN</t>
        </is>
      </c>
      <c r="E84" t="inlineStr">
        <is>
          <t>FALUN</t>
        </is>
      </c>
      <c r="G84" t="n">
        <v>1.7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Dropptaggsvamp</t>
        </is>
      </c>
      <c r="S84">
        <f>HYPERLINK("https://klasma.github.io/Logging_2080/artfynd/A 44727-2025 artfynd.xlsx", "A 44727-2025")</f>
        <v/>
      </c>
      <c r="T84">
        <f>HYPERLINK("https://klasma.github.io/Logging_2080/kartor/A 44727-2025 karta.png", "A 44727-2025")</f>
        <v/>
      </c>
      <c r="U84">
        <f>HYPERLINK("https://klasma.github.io/Logging_2080/knärot/A 44727-2025 karta knärot.png", "A 44727-2025")</f>
        <v/>
      </c>
      <c r="V84">
        <f>HYPERLINK("https://klasma.github.io/Logging_2080/klagomål/A 44727-2025 FSC-klagomål.docx", "A 44727-2025")</f>
        <v/>
      </c>
      <c r="W84">
        <f>HYPERLINK("https://klasma.github.io/Logging_2080/klagomålsmail/A 44727-2025 FSC-klagomål mail.docx", "A 44727-2025")</f>
        <v/>
      </c>
      <c r="X84">
        <f>HYPERLINK("https://klasma.github.io/Logging_2080/tillsyn/A 44727-2025 tillsynsbegäran.docx", "A 44727-2025")</f>
        <v/>
      </c>
      <c r="Y84">
        <f>HYPERLINK("https://klasma.github.io/Logging_2080/tillsynsmail/A 44727-2025 tillsynsbegäran mail.docx", "A 44727-2025")</f>
        <v/>
      </c>
    </row>
    <row r="85" ht="15" customHeight="1">
      <c r="A85" t="inlineStr">
        <is>
          <t>A 45869-2023</t>
        </is>
      </c>
      <c r="B85" s="1" t="n">
        <v>45195</v>
      </c>
      <c r="C85" s="1" t="n">
        <v>46197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Mindre vattensalamander
Vanlig padda</t>
        </is>
      </c>
      <c r="S85">
        <f>HYPERLINK("https://klasma.github.io/Logging_2080/artfynd/A 45869-2023 artfynd.xlsx", "A 45869-2023")</f>
        <v/>
      </c>
      <c r="T85">
        <f>HYPERLINK("https://klasma.github.io/Logging_2080/kartor/A 45869-2023 karta.png", "A 45869-2023")</f>
        <v/>
      </c>
      <c r="V85">
        <f>HYPERLINK("https://klasma.github.io/Logging_2080/klagomål/A 45869-2023 FSC-klagomål.docx", "A 45869-2023")</f>
        <v/>
      </c>
      <c r="W85">
        <f>HYPERLINK("https://klasma.github.io/Logging_2080/klagomålsmail/A 45869-2023 FSC-klagomål mail.docx", "A 45869-2023")</f>
        <v/>
      </c>
      <c r="X85">
        <f>HYPERLINK("https://klasma.github.io/Logging_2080/tillsyn/A 45869-2023 tillsynsbegäran.docx", "A 45869-2023")</f>
        <v/>
      </c>
      <c r="Y85">
        <f>HYPERLINK("https://klasma.github.io/Logging_2080/tillsynsmail/A 45869-2023 tillsynsbegäran mail.docx", "A 45869-2023")</f>
        <v/>
      </c>
    </row>
    <row r="86" ht="15" customHeight="1">
      <c r="A86" t="inlineStr">
        <is>
          <t>A 26586-2023</t>
        </is>
      </c>
      <c r="B86" s="1" t="n">
        <v>45092</v>
      </c>
      <c r="C86" s="1" t="n">
        <v>46197</v>
      </c>
      <c r="D86" t="inlineStr">
        <is>
          <t>DALARNAS LÄN</t>
        </is>
      </c>
      <c r="E86" t="inlineStr">
        <is>
          <t>FALUN</t>
        </is>
      </c>
      <c r="G86" t="n">
        <v>6.1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Spillkråka
Tjäder</t>
        </is>
      </c>
      <c r="S86">
        <f>HYPERLINK("https://klasma.github.io/Logging_2080/artfynd/A 26586-2023 artfynd.xlsx", "A 26586-2023")</f>
        <v/>
      </c>
      <c r="T86">
        <f>HYPERLINK("https://klasma.github.io/Logging_2080/kartor/A 26586-2023 karta.png", "A 26586-2023")</f>
        <v/>
      </c>
      <c r="V86">
        <f>HYPERLINK("https://klasma.github.io/Logging_2080/klagomål/A 26586-2023 FSC-klagomål.docx", "A 26586-2023")</f>
        <v/>
      </c>
      <c r="W86">
        <f>HYPERLINK("https://klasma.github.io/Logging_2080/klagomålsmail/A 26586-2023 FSC-klagomål mail.docx", "A 26586-2023")</f>
        <v/>
      </c>
      <c r="X86">
        <f>HYPERLINK("https://klasma.github.io/Logging_2080/tillsyn/A 26586-2023 tillsynsbegäran.docx", "A 26586-2023")</f>
        <v/>
      </c>
      <c r="Y86">
        <f>HYPERLINK("https://klasma.github.io/Logging_2080/tillsynsmail/A 26586-2023 tillsynsbegäran mail.docx", "A 26586-2023")</f>
        <v/>
      </c>
      <c r="Z86">
        <f>HYPERLINK("https://klasma.github.io/Logging_2080/fåglar/A 26586-2023 prioriterade fågelarter.docx", "A 26586-2023")</f>
        <v/>
      </c>
    </row>
    <row r="87" ht="15" customHeight="1">
      <c r="A87" t="inlineStr">
        <is>
          <t>A 22969-2025</t>
        </is>
      </c>
      <c r="B87" s="1" t="n">
        <v>45790</v>
      </c>
      <c r="C87" s="1" t="n">
        <v>46197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9.1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Gul taggsvamp
Dofttaggsvamp</t>
        </is>
      </c>
      <c r="S87">
        <f>HYPERLINK("https://klasma.github.io/Logging_2080/artfynd/A 22969-2025 artfynd.xlsx", "A 22969-2025")</f>
        <v/>
      </c>
      <c r="T87">
        <f>HYPERLINK("https://klasma.github.io/Logging_2080/kartor/A 22969-2025 karta.png", "A 22969-2025")</f>
        <v/>
      </c>
      <c r="V87">
        <f>HYPERLINK("https://klasma.github.io/Logging_2080/klagomål/A 22969-2025 FSC-klagomål.docx", "A 22969-2025")</f>
        <v/>
      </c>
      <c r="W87">
        <f>HYPERLINK("https://klasma.github.io/Logging_2080/klagomålsmail/A 22969-2025 FSC-klagomål mail.docx", "A 22969-2025")</f>
        <v/>
      </c>
      <c r="X87">
        <f>HYPERLINK("https://klasma.github.io/Logging_2080/tillsyn/A 22969-2025 tillsynsbegäran.docx", "A 22969-2025")</f>
        <v/>
      </c>
      <c r="Y87">
        <f>HYPERLINK("https://klasma.github.io/Logging_2080/tillsynsmail/A 22969-2025 tillsynsbegäran mail.docx", "A 22969-2025")</f>
        <v/>
      </c>
    </row>
    <row r="88" ht="15" customHeight="1">
      <c r="A88" t="inlineStr">
        <is>
          <t>A 50518-2021</t>
        </is>
      </c>
      <c r="B88" s="1" t="n">
        <v>44459</v>
      </c>
      <c r="C88" s="1" t="n">
        <v>46197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HYPERLINK("https://klasma.github.io/Logging_2080/artfynd/A 50518-2021 artfynd.xlsx", "A 50518-2021")</f>
        <v/>
      </c>
      <c r="T88">
        <f>HYPERLINK("https://klasma.github.io/Logging_2080/kartor/A 50518-2021 karta.png", "A 50518-2021")</f>
        <v/>
      </c>
      <c r="V88">
        <f>HYPERLINK("https://klasma.github.io/Logging_2080/klagomål/A 50518-2021 FSC-klagomål.docx", "A 50518-2021")</f>
        <v/>
      </c>
      <c r="W88">
        <f>HYPERLINK("https://klasma.github.io/Logging_2080/klagomålsmail/A 50518-2021 FSC-klagomål mail.docx", "A 50518-2021")</f>
        <v/>
      </c>
      <c r="X88">
        <f>HYPERLINK("https://klasma.github.io/Logging_2080/tillsyn/A 50518-2021 tillsynsbegäran.docx", "A 50518-2021")</f>
        <v/>
      </c>
      <c r="Y88">
        <f>HYPERLINK("https://klasma.github.io/Logging_2080/tillsynsmail/A 50518-2021 tillsynsbegäran mail.docx", "A 50518-2021")</f>
        <v/>
      </c>
    </row>
    <row r="89" ht="15" customHeight="1">
      <c r="A89" t="inlineStr">
        <is>
          <t>A 46740-2022</t>
        </is>
      </c>
      <c r="B89" s="1" t="n">
        <v>44851</v>
      </c>
      <c r="C89" s="1" t="n">
        <v>46197</v>
      </c>
      <c r="D89" t="inlineStr">
        <is>
          <t>DALARNAS LÄN</t>
        </is>
      </c>
      <c r="E89" t="inlineStr">
        <is>
          <t>FALUN</t>
        </is>
      </c>
      <c r="G89" t="n">
        <v>0.4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Pärluggla</t>
        </is>
      </c>
      <c r="S89">
        <f>HYPERLINK("https://klasma.github.io/Logging_2080/artfynd/A 46740-2022 artfynd.xlsx", "A 46740-2022")</f>
        <v/>
      </c>
      <c r="T89">
        <f>HYPERLINK("https://klasma.github.io/Logging_2080/kartor/A 46740-2022 karta.png", "A 46740-2022")</f>
        <v/>
      </c>
      <c r="V89">
        <f>HYPERLINK("https://klasma.github.io/Logging_2080/klagomål/A 46740-2022 FSC-klagomål.docx", "A 46740-2022")</f>
        <v/>
      </c>
      <c r="W89">
        <f>HYPERLINK("https://klasma.github.io/Logging_2080/klagomålsmail/A 46740-2022 FSC-klagomål mail.docx", "A 46740-2022")</f>
        <v/>
      </c>
      <c r="X89">
        <f>HYPERLINK("https://klasma.github.io/Logging_2080/tillsyn/A 46740-2022 tillsynsbegäran.docx", "A 46740-2022")</f>
        <v/>
      </c>
      <c r="Y89">
        <f>HYPERLINK("https://klasma.github.io/Logging_2080/tillsynsmail/A 46740-2022 tillsynsbegäran mail.docx", "A 46740-2022")</f>
        <v/>
      </c>
      <c r="Z89">
        <f>HYPERLINK("https://klasma.github.io/Logging_2080/fåglar/A 46740-2022 prioriterade fågelarter.docx", "A 46740-2022")</f>
        <v/>
      </c>
    </row>
    <row r="90" ht="15" customHeight="1">
      <c r="A90" t="inlineStr">
        <is>
          <t>A 15540-2022</t>
        </is>
      </c>
      <c r="B90" s="1" t="n">
        <v>44662</v>
      </c>
      <c r="C90" s="1" t="n">
        <v>46197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Åkergroda</t>
        </is>
      </c>
      <c r="S90">
        <f>HYPERLINK("https://klasma.github.io/Logging_2080/artfynd/A 15540-2022 artfynd.xlsx", "A 15540-2022")</f>
        <v/>
      </c>
      <c r="T90">
        <f>HYPERLINK("https://klasma.github.io/Logging_2080/kartor/A 15540-2022 karta.png", "A 15540-2022")</f>
        <v/>
      </c>
      <c r="V90">
        <f>HYPERLINK("https://klasma.github.io/Logging_2080/klagomål/A 15540-2022 FSC-klagomål.docx", "A 15540-2022")</f>
        <v/>
      </c>
      <c r="W90">
        <f>HYPERLINK("https://klasma.github.io/Logging_2080/klagomålsmail/A 15540-2022 FSC-klagomål mail.docx", "A 15540-2022")</f>
        <v/>
      </c>
      <c r="X90">
        <f>HYPERLINK("https://klasma.github.io/Logging_2080/tillsyn/A 15540-2022 tillsynsbegäran.docx", "A 15540-2022")</f>
        <v/>
      </c>
      <c r="Y90">
        <f>HYPERLINK("https://klasma.github.io/Logging_2080/tillsynsmail/A 15540-2022 tillsynsbegäran mail.docx", "A 15540-2022")</f>
        <v/>
      </c>
    </row>
    <row r="91" ht="15" customHeight="1">
      <c r="A91" t="inlineStr">
        <is>
          <t>A 20142-2022</t>
        </is>
      </c>
      <c r="B91" s="1" t="n">
        <v>44698</v>
      </c>
      <c r="C91" s="1" t="n">
        <v>46197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Garnlav</t>
        </is>
      </c>
      <c r="S91">
        <f>HYPERLINK("https://klasma.github.io/Logging_2080/artfynd/A 20142-2022 artfynd.xlsx", "A 20142-2022")</f>
        <v/>
      </c>
      <c r="T91">
        <f>HYPERLINK("https://klasma.github.io/Logging_2080/kartor/A 20142-2022 karta.png", "A 20142-2022")</f>
        <v/>
      </c>
      <c r="V91">
        <f>HYPERLINK("https://klasma.github.io/Logging_2080/klagomål/A 20142-2022 FSC-klagomål.docx", "A 20142-2022")</f>
        <v/>
      </c>
      <c r="W91">
        <f>HYPERLINK("https://klasma.github.io/Logging_2080/klagomålsmail/A 20142-2022 FSC-klagomål mail.docx", "A 20142-2022")</f>
        <v/>
      </c>
      <c r="X91">
        <f>HYPERLINK("https://klasma.github.io/Logging_2080/tillsyn/A 20142-2022 tillsynsbegäran.docx", "A 20142-2022")</f>
        <v/>
      </c>
      <c r="Y91">
        <f>HYPERLINK("https://klasma.github.io/Logging_2080/tillsynsmail/A 20142-2022 tillsynsbegäran mail.docx", "A 20142-2022")</f>
        <v/>
      </c>
    </row>
    <row r="92" ht="15" customHeight="1">
      <c r="A92" t="inlineStr">
        <is>
          <t>A 32584-2024</t>
        </is>
      </c>
      <c r="B92" s="1" t="n">
        <v>45513</v>
      </c>
      <c r="C92" s="1" t="n">
        <v>46197</v>
      </c>
      <c r="D92" t="inlineStr">
        <is>
          <t>DALARNAS LÄN</t>
        </is>
      </c>
      <c r="E92" t="inlineStr">
        <is>
          <t>FALUN</t>
        </is>
      </c>
      <c r="G92" t="n">
        <v>3.7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HYPERLINK("https://klasma.github.io/Logging_2080/artfynd/A 32584-2024 artfynd.xlsx", "A 32584-2024")</f>
        <v/>
      </c>
      <c r="T92">
        <f>HYPERLINK("https://klasma.github.io/Logging_2080/kartor/A 32584-2024 karta.png", "A 32584-2024")</f>
        <v/>
      </c>
      <c r="V92">
        <f>HYPERLINK("https://klasma.github.io/Logging_2080/klagomål/A 32584-2024 FSC-klagomål.docx", "A 32584-2024")</f>
        <v/>
      </c>
      <c r="W92">
        <f>HYPERLINK("https://klasma.github.io/Logging_2080/klagomålsmail/A 32584-2024 FSC-klagomål mail.docx", "A 32584-2024")</f>
        <v/>
      </c>
      <c r="X92">
        <f>HYPERLINK("https://klasma.github.io/Logging_2080/tillsyn/A 32584-2024 tillsynsbegäran.docx", "A 32584-2024")</f>
        <v/>
      </c>
      <c r="Y92">
        <f>HYPERLINK("https://klasma.github.io/Logging_2080/tillsynsmail/A 32584-2024 tillsynsbegäran mail.docx", "A 32584-2024")</f>
        <v/>
      </c>
    </row>
    <row r="93" ht="15" customHeight="1">
      <c r="A93" t="inlineStr">
        <is>
          <t>A 51870-2022</t>
        </is>
      </c>
      <c r="B93" s="1" t="n">
        <v>44872</v>
      </c>
      <c r="C93" s="1" t="n">
        <v>46197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HYPERLINK("https://klasma.github.io/Logging_2080/artfynd/A 51870-2022 artfynd.xlsx", "A 51870-2022")</f>
        <v/>
      </c>
      <c r="T93">
        <f>HYPERLINK("https://klasma.github.io/Logging_2080/kartor/A 51870-2022 karta.png", "A 51870-2022")</f>
        <v/>
      </c>
      <c r="V93">
        <f>HYPERLINK("https://klasma.github.io/Logging_2080/klagomål/A 51870-2022 FSC-klagomål.docx", "A 51870-2022")</f>
        <v/>
      </c>
      <c r="W93">
        <f>HYPERLINK("https://klasma.github.io/Logging_2080/klagomålsmail/A 51870-2022 FSC-klagomål mail.docx", "A 51870-2022")</f>
        <v/>
      </c>
      <c r="X93">
        <f>HYPERLINK("https://klasma.github.io/Logging_2080/tillsyn/A 51870-2022 tillsynsbegäran.docx", "A 51870-2022")</f>
        <v/>
      </c>
      <c r="Y93">
        <f>HYPERLINK("https://klasma.github.io/Logging_2080/tillsynsmail/A 51870-2022 tillsynsbegäran mail.docx", "A 51870-2022")</f>
        <v/>
      </c>
      <c r="Z93">
        <f>HYPERLINK("https://klasma.github.io/Logging_2080/fåglar/A 51870-2022 prioriterade fågelarter.docx", "A 51870-2022")</f>
        <v/>
      </c>
    </row>
    <row r="94" ht="15" customHeight="1">
      <c r="A94" t="inlineStr">
        <is>
          <t>A 19421-2024</t>
        </is>
      </c>
      <c r="B94" s="1" t="n">
        <v>45429</v>
      </c>
      <c r="C94" s="1" t="n">
        <v>46197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HYPERLINK("https://klasma.github.io/Logging_2080/artfynd/A 19421-2024 artfynd.xlsx", "A 19421-2024")</f>
        <v/>
      </c>
      <c r="T94">
        <f>HYPERLINK("https://klasma.github.io/Logging_2080/kartor/A 19421-2024 karta.png", "A 19421-2024")</f>
        <v/>
      </c>
      <c r="V94">
        <f>HYPERLINK("https://klasma.github.io/Logging_2080/klagomål/A 19421-2024 FSC-klagomål.docx", "A 19421-2024")</f>
        <v/>
      </c>
      <c r="W94">
        <f>HYPERLINK("https://klasma.github.io/Logging_2080/klagomålsmail/A 19421-2024 FSC-klagomål mail.docx", "A 19421-2024")</f>
        <v/>
      </c>
      <c r="X94">
        <f>HYPERLINK("https://klasma.github.io/Logging_2080/tillsyn/A 19421-2024 tillsynsbegäran.docx", "A 19421-2024")</f>
        <v/>
      </c>
      <c r="Y94">
        <f>HYPERLINK("https://klasma.github.io/Logging_2080/tillsynsmail/A 19421-2024 tillsynsbegäran mail.docx", "A 19421-2024")</f>
        <v/>
      </c>
    </row>
    <row r="95" ht="15" customHeight="1">
      <c r="A95" t="inlineStr">
        <is>
          <t>A 1010-2023</t>
        </is>
      </c>
      <c r="B95" s="1" t="n">
        <v>44935</v>
      </c>
      <c r="C95" s="1" t="n">
        <v>46197</v>
      </c>
      <c r="D95" t="inlineStr">
        <is>
          <t>DALARNAS LÄN</t>
        </is>
      </c>
      <c r="E95" t="inlineStr">
        <is>
          <t>FALUN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Blå taggsvamp</t>
        </is>
      </c>
      <c r="S95">
        <f>HYPERLINK("https://klasma.github.io/Logging_2080/artfynd/A 1010-2023 artfynd.xlsx", "A 1010-2023")</f>
        <v/>
      </c>
      <c r="T95">
        <f>HYPERLINK("https://klasma.github.io/Logging_2080/kartor/A 1010-2023 karta.png", "A 1010-2023")</f>
        <v/>
      </c>
      <c r="V95">
        <f>HYPERLINK("https://klasma.github.io/Logging_2080/klagomål/A 1010-2023 FSC-klagomål.docx", "A 1010-2023")</f>
        <v/>
      </c>
      <c r="W95">
        <f>HYPERLINK("https://klasma.github.io/Logging_2080/klagomålsmail/A 1010-2023 FSC-klagomål mail.docx", "A 1010-2023")</f>
        <v/>
      </c>
      <c r="X95">
        <f>HYPERLINK("https://klasma.github.io/Logging_2080/tillsyn/A 1010-2023 tillsynsbegäran.docx", "A 1010-2023")</f>
        <v/>
      </c>
      <c r="Y95">
        <f>HYPERLINK("https://klasma.github.io/Logging_2080/tillsynsmail/A 1010-2023 tillsynsbegäran mail.docx", "A 1010-2023")</f>
        <v/>
      </c>
    </row>
    <row r="96" ht="15" customHeight="1">
      <c r="A96" t="inlineStr">
        <is>
          <t>A 22069-2023</t>
        </is>
      </c>
      <c r="B96" s="1" t="n">
        <v>45069</v>
      </c>
      <c r="C96" s="1" t="n">
        <v>46197</v>
      </c>
      <c r="D96" t="inlineStr">
        <is>
          <t>DALARNAS LÄN</t>
        </is>
      </c>
      <c r="E96" t="inlineStr">
        <is>
          <t>FALUN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gräsfjäril</t>
        </is>
      </c>
      <c r="S96">
        <f>HYPERLINK("https://klasma.github.io/Logging_2080/artfynd/A 22069-2023 artfynd.xlsx", "A 22069-2023")</f>
        <v/>
      </c>
      <c r="T96">
        <f>HYPERLINK("https://klasma.github.io/Logging_2080/kartor/A 22069-2023 karta.png", "A 22069-2023")</f>
        <v/>
      </c>
      <c r="V96">
        <f>HYPERLINK("https://klasma.github.io/Logging_2080/klagomål/A 22069-2023 FSC-klagomål.docx", "A 22069-2023")</f>
        <v/>
      </c>
      <c r="W96">
        <f>HYPERLINK("https://klasma.github.io/Logging_2080/klagomålsmail/A 22069-2023 FSC-klagomål mail.docx", "A 22069-2023")</f>
        <v/>
      </c>
      <c r="X96">
        <f>HYPERLINK("https://klasma.github.io/Logging_2080/tillsyn/A 22069-2023 tillsynsbegäran.docx", "A 22069-2023")</f>
        <v/>
      </c>
      <c r="Y96">
        <f>HYPERLINK("https://klasma.github.io/Logging_2080/tillsynsmail/A 22069-2023 tillsynsbegäran mail.docx", "A 22069-2023")</f>
        <v/>
      </c>
    </row>
    <row r="97" ht="15" customHeight="1">
      <c r="A97" t="inlineStr">
        <is>
          <t>A 26721-2025</t>
        </is>
      </c>
      <c r="B97" s="1" t="n">
        <v>45810</v>
      </c>
      <c r="C97" s="1" t="n">
        <v>46197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Doftskinn</t>
        </is>
      </c>
      <c r="S97">
        <f>HYPERLINK("https://klasma.github.io/Logging_2080/artfynd/A 26721-2025 artfynd.xlsx", "A 26721-2025")</f>
        <v/>
      </c>
      <c r="T97">
        <f>HYPERLINK("https://klasma.github.io/Logging_2080/kartor/A 26721-2025 karta.png", "A 26721-2025")</f>
        <v/>
      </c>
      <c r="V97">
        <f>HYPERLINK("https://klasma.github.io/Logging_2080/klagomål/A 26721-2025 FSC-klagomål.docx", "A 26721-2025")</f>
        <v/>
      </c>
      <c r="W97">
        <f>HYPERLINK("https://klasma.github.io/Logging_2080/klagomålsmail/A 26721-2025 FSC-klagomål mail.docx", "A 26721-2025")</f>
        <v/>
      </c>
      <c r="X97">
        <f>HYPERLINK("https://klasma.github.io/Logging_2080/tillsyn/A 26721-2025 tillsynsbegäran.docx", "A 26721-2025")</f>
        <v/>
      </c>
      <c r="Y97">
        <f>HYPERLINK("https://klasma.github.io/Logging_2080/tillsynsmail/A 26721-2025 tillsynsbegäran mail.docx", "A 26721-2025")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46197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HYPERLINK("https://klasma.github.io/Logging_2080/artfynd/A 26776-2025 artfynd.xlsx", "A 26776-2025")</f>
        <v/>
      </c>
      <c r="T98">
        <f>HYPERLINK("https://klasma.github.io/Logging_2080/kartor/A 26776-2025 karta.png", "A 26776-2025")</f>
        <v/>
      </c>
      <c r="V98">
        <f>HYPERLINK("https://klasma.github.io/Logging_2080/klagomål/A 26776-2025 FSC-klagomål.docx", "A 26776-2025")</f>
        <v/>
      </c>
      <c r="W98">
        <f>HYPERLINK("https://klasma.github.io/Logging_2080/klagomålsmail/A 26776-2025 FSC-klagomål mail.docx", "A 26776-2025")</f>
        <v/>
      </c>
      <c r="X98">
        <f>HYPERLINK("https://klasma.github.io/Logging_2080/tillsyn/A 26776-2025 tillsynsbegäran.docx", "A 26776-2025")</f>
        <v/>
      </c>
      <c r="Y98">
        <f>HYPERLINK("https://klasma.github.io/Logging_2080/tillsynsmail/A 26776-2025 tillsynsbegäran mail.docx", "A 26776-2025")</f>
        <v/>
      </c>
    </row>
    <row r="99" ht="15" customHeight="1">
      <c r="A99" t="inlineStr">
        <is>
          <t>A 28679-2025</t>
        </is>
      </c>
      <c r="B99" s="1" t="n">
        <v>45819</v>
      </c>
      <c r="C99" s="1" t="n">
        <v>46197</v>
      </c>
      <c r="D99" t="inlineStr">
        <is>
          <t>DALARNAS LÄN</t>
        </is>
      </c>
      <c r="E99" t="inlineStr">
        <is>
          <t>FALUN</t>
        </is>
      </c>
      <c r="F99" t="inlineStr">
        <is>
          <t>Allmännings- och besparingsskogar</t>
        </is>
      </c>
      <c r="G99" t="n">
        <v>11.3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Garnlav</t>
        </is>
      </c>
      <c r="S99">
        <f>HYPERLINK("https://klasma.github.io/Logging_2080/artfynd/A 28679-2025 artfynd.xlsx", "A 28679-2025")</f>
        <v/>
      </c>
      <c r="T99">
        <f>HYPERLINK("https://klasma.github.io/Logging_2080/kartor/A 28679-2025 karta.png", "A 28679-2025")</f>
        <v/>
      </c>
      <c r="V99">
        <f>HYPERLINK("https://klasma.github.io/Logging_2080/klagomål/A 28679-2025 FSC-klagomål.docx", "A 28679-2025")</f>
        <v/>
      </c>
      <c r="W99">
        <f>HYPERLINK("https://klasma.github.io/Logging_2080/klagomålsmail/A 28679-2025 FSC-klagomål mail.docx", "A 28679-2025")</f>
        <v/>
      </c>
      <c r="X99">
        <f>HYPERLINK("https://klasma.github.io/Logging_2080/tillsyn/A 28679-2025 tillsynsbegäran.docx", "A 28679-2025")</f>
        <v/>
      </c>
      <c r="Y99">
        <f>HYPERLINK("https://klasma.github.io/Logging_2080/tillsynsmail/A 28679-2025 tillsynsbegäran mail.docx", "A 28679-2025")</f>
        <v/>
      </c>
    </row>
    <row r="100" ht="15" customHeight="1">
      <c r="A100" t="inlineStr">
        <is>
          <t>A 4921-2026</t>
        </is>
      </c>
      <c r="B100" s="1" t="n">
        <v>46045</v>
      </c>
      <c r="C100" s="1" t="n">
        <v>46197</v>
      </c>
      <c r="D100" t="inlineStr">
        <is>
          <t>DALARNAS LÄN</t>
        </is>
      </c>
      <c r="E100" t="inlineStr">
        <is>
          <t>FALUN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Garnlav</t>
        </is>
      </c>
      <c r="S100">
        <f>HYPERLINK("https://klasma.github.io/Logging_2080/artfynd/A 4921-2026 artfynd.xlsx", "A 4921-2026")</f>
        <v/>
      </c>
      <c r="T100">
        <f>HYPERLINK("https://klasma.github.io/Logging_2080/kartor/A 4921-2026 karta.png", "A 4921-2026")</f>
        <v/>
      </c>
      <c r="V100">
        <f>HYPERLINK("https://klasma.github.io/Logging_2080/klagomål/A 4921-2026 FSC-klagomål.docx", "A 4921-2026")</f>
        <v/>
      </c>
      <c r="W100">
        <f>HYPERLINK("https://klasma.github.io/Logging_2080/klagomålsmail/A 4921-2026 FSC-klagomål mail.docx", "A 4921-2026")</f>
        <v/>
      </c>
      <c r="X100">
        <f>HYPERLINK("https://klasma.github.io/Logging_2080/tillsyn/A 4921-2026 tillsynsbegäran.docx", "A 4921-2026")</f>
        <v/>
      </c>
      <c r="Y100">
        <f>HYPERLINK("https://klasma.github.io/Logging_2080/tillsynsmail/A 4921-2026 tillsynsbegäran mail.docx", "A 4921-2026")</f>
        <v/>
      </c>
    </row>
    <row r="101" ht="15" customHeight="1">
      <c r="A101" t="inlineStr">
        <is>
          <t>A 4537-2026</t>
        </is>
      </c>
      <c r="B101" s="1" t="n">
        <v>46046</v>
      </c>
      <c r="C101" s="1" t="n">
        <v>46197</v>
      </c>
      <c r="D101" t="inlineStr">
        <is>
          <t>DALARNAS LÄN</t>
        </is>
      </c>
      <c r="E101" t="inlineStr">
        <is>
          <t>FALUN</t>
        </is>
      </c>
      <c r="G101" t="n">
        <v>4.8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4537-2026 artfynd.xlsx", "A 4537-2026")</f>
        <v/>
      </c>
      <c r="T101">
        <f>HYPERLINK("https://klasma.github.io/Logging_2080/kartor/A 4537-2026 karta.png", "A 4537-2026")</f>
        <v/>
      </c>
      <c r="U101">
        <f>HYPERLINK("https://klasma.github.io/Logging_2080/knärot/A 4537-2026 karta knärot.png", "A 4537-2026")</f>
        <v/>
      </c>
      <c r="V101">
        <f>HYPERLINK("https://klasma.github.io/Logging_2080/klagomål/A 4537-2026 FSC-klagomål.docx", "A 4537-2026")</f>
        <v/>
      </c>
      <c r="W101">
        <f>HYPERLINK("https://klasma.github.io/Logging_2080/klagomålsmail/A 4537-2026 FSC-klagomål mail.docx", "A 4537-2026")</f>
        <v/>
      </c>
      <c r="X101">
        <f>HYPERLINK("https://klasma.github.io/Logging_2080/tillsyn/A 4537-2026 tillsynsbegäran.docx", "A 4537-2026")</f>
        <v/>
      </c>
      <c r="Y101">
        <f>HYPERLINK("https://klasma.github.io/Logging_2080/tillsynsmail/A 4537-2026 tillsynsbegäran mail.docx", "A 4537-2026")</f>
        <v/>
      </c>
    </row>
    <row r="102" ht="15" customHeight="1">
      <c r="A102" t="inlineStr">
        <is>
          <t>A 3552-2026</t>
        </is>
      </c>
      <c r="B102" s="1" t="n">
        <v>46042</v>
      </c>
      <c r="C102" s="1" t="n">
        <v>46197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HYPERLINK("https://klasma.github.io/Logging_2080/artfynd/A 3552-2026 artfynd.xlsx", "A 3552-2026")</f>
        <v/>
      </c>
      <c r="T102">
        <f>HYPERLINK("https://klasma.github.io/Logging_2080/kartor/A 3552-2026 karta.png", "A 3552-2026")</f>
        <v/>
      </c>
      <c r="V102">
        <f>HYPERLINK("https://klasma.github.io/Logging_2080/klagomål/A 3552-2026 FSC-klagomål.docx", "A 3552-2026")</f>
        <v/>
      </c>
      <c r="W102">
        <f>HYPERLINK("https://klasma.github.io/Logging_2080/klagomålsmail/A 3552-2026 FSC-klagomål mail.docx", "A 3552-2026")</f>
        <v/>
      </c>
      <c r="X102">
        <f>HYPERLINK("https://klasma.github.io/Logging_2080/tillsyn/A 3552-2026 tillsynsbegäran.docx", "A 3552-2026")</f>
        <v/>
      </c>
      <c r="Y102">
        <f>HYPERLINK("https://klasma.github.io/Logging_2080/tillsynsmail/A 3552-2026 tillsynsbegäran mail.docx", "A 3552-2026")</f>
        <v/>
      </c>
      <c r="Z102">
        <f>HYPERLINK("https://klasma.github.io/Logging_2080/fåglar/A 3552-2026 prioriterade fågelarter.docx", "A 3552-2026")</f>
        <v/>
      </c>
    </row>
    <row r="103" ht="15" customHeight="1">
      <c r="A103" t="inlineStr">
        <is>
          <t>A 36199-2025</t>
        </is>
      </c>
      <c r="B103" s="1" t="n">
        <v>45867</v>
      </c>
      <c r="C103" s="1" t="n">
        <v>46197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Rynkskinn</t>
        </is>
      </c>
      <c r="S103">
        <f>HYPERLINK("https://klasma.github.io/Logging_2080/artfynd/A 36199-2025 artfynd.xlsx", "A 36199-2025")</f>
        <v/>
      </c>
      <c r="T103">
        <f>HYPERLINK("https://klasma.github.io/Logging_2080/kartor/A 36199-2025 karta.png", "A 36199-2025")</f>
        <v/>
      </c>
      <c r="V103">
        <f>HYPERLINK("https://klasma.github.io/Logging_2080/klagomål/A 36199-2025 FSC-klagomål.docx", "A 36199-2025")</f>
        <v/>
      </c>
      <c r="W103">
        <f>HYPERLINK("https://klasma.github.io/Logging_2080/klagomålsmail/A 36199-2025 FSC-klagomål mail.docx", "A 36199-2025")</f>
        <v/>
      </c>
      <c r="X103">
        <f>HYPERLINK("https://klasma.github.io/Logging_2080/tillsyn/A 36199-2025 tillsynsbegäran.docx", "A 36199-2025")</f>
        <v/>
      </c>
      <c r="Y103">
        <f>HYPERLINK("https://klasma.github.io/Logging_2080/tillsynsmail/A 36199-2025 tillsynsbegäran mail.docx", "A 36199-2025")</f>
        <v/>
      </c>
    </row>
    <row r="104" ht="15" customHeight="1">
      <c r="A104" t="inlineStr">
        <is>
          <t>A 56138-2024</t>
        </is>
      </c>
      <c r="B104" s="1" t="n">
        <v>45624</v>
      </c>
      <c r="C104" s="1" t="n">
        <v>46197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Citronporing</t>
        </is>
      </c>
      <c r="S104">
        <f>HYPERLINK("https://klasma.github.io/Logging_2080/artfynd/A 56138-2024 artfynd.xlsx", "A 56138-2024")</f>
        <v/>
      </c>
      <c r="T104">
        <f>HYPERLINK("https://klasma.github.io/Logging_2080/kartor/A 56138-2024 karta.png", "A 56138-2024")</f>
        <v/>
      </c>
      <c r="V104">
        <f>HYPERLINK("https://klasma.github.io/Logging_2080/klagomål/A 56138-2024 FSC-klagomål.docx", "A 56138-2024")</f>
        <v/>
      </c>
      <c r="W104">
        <f>HYPERLINK("https://klasma.github.io/Logging_2080/klagomålsmail/A 56138-2024 FSC-klagomål mail.docx", "A 56138-2024")</f>
        <v/>
      </c>
      <c r="X104">
        <f>HYPERLINK("https://klasma.github.io/Logging_2080/tillsyn/A 56138-2024 tillsynsbegäran.docx", "A 56138-2024")</f>
        <v/>
      </c>
      <c r="Y104">
        <f>HYPERLINK("https://klasma.github.io/Logging_2080/tillsynsmail/A 56138-2024 tillsynsbegäran mail.docx", "A 56138-2024")</f>
        <v/>
      </c>
    </row>
    <row r="105" ht="15" customHeight="1">
      <c r="A105" t="inlineStr">
        <is>
          <t>A 49374-2025</t>
        </is>
      </c>
      <c r="B105" s="1" t="n">
        <v>45938</v>
      </c>
      <c r="C105" s="1" t="n">
        <v>46197</v>
      </c>
      <c r="D105" t="inlineStr">
        <is>
          <t>DALARNAS LÄN</t>
        </is>
      </c>
      <c r="E105" t="inlineStr">
        <is>
          <t>FALUN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Brun gräsfjäril</t>
        </is>
      </c>
      <c r="S105">
        <f>HYPERLINK("https://klasma.github.io/Logging_2080/artfynd/A 49374-2025 artfynd.xlsx", "A 49374-2025")</f>
        <v/>
      </c>
      <c r="T105">
        <f>HYPERLINK("https://klasma.github.io/Logging_2080/kartor/A 49374-2025 karta.png", "A 49374-2025")</f>
        <v/>
      </c>
      <c r="V105">
        <f>HYPERLINK("https://klasma.github.io/Logging_2080/klagomål/A 49374-2025 FSC-klagomål.docx", "A 49374-2025")</f>
        <v/>
      </c>
      <c r="W105">
        <f>HYPERLINK("https://klasma.github.io/Logging_2080/klagomålsmail/A 49374-2025 FSC-klagomål mail.docx", "A 49374-2025")</f>
        <v/>
      </c>
      <c r="X105">
        <f>HYPERLINK("https://klasma.github.io/Logging_2080/tillsyn/A 49374-2025 tillsynsbegäran.docx", "A 49374-2025")</f>
        <v/>
      </c>
      <c r="Y105">
        <f>HYPERLINK("https://klasma.github.io/Logging_2080/tillsynsmail/A 49374-2025 tillsynsbegäran mail.docx", "A 49374-2025")</f>
        <v/>
      </c>
    </row>
    <row r="106" ht="15" customHeight="1">
      <c r="A106" t="inlineStr">
        <is>
          <t>A 61661-2024</t>
        </is>
      </c>
      <c r="B106" s="1" t="n">
        <v>45646</v>
      </c>
      <c r="C106" s="1" t="n">
        <v>46197</v>
      </c>
      <c r="D106" t="inlineStr">
        <is>
          <t>DALARNAS LÄN</t>
        </is>
      </c>
      <c r="E106" t="inlineStr">
        <is>
          <t>FALUN</t>
        </is>
      </c>
      <c r="G106" t="n">
        <v>9.300000000000001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HYPERLINK("https://klasma.github.io/Logging_2080/artfynd/A 61661-2024 artfynd.xlsx", "A 61661-2024")</f>
        <v/>
      </c>
      <c r="T106">
        <f>HYPERLINK("https://klasma.github.io/Logging_2080/kartor/A 61661-2024 karta.png", "A 61661-2024")</f>
        <v/>
      </c>
      <c r="V106">
        <f>HYPERLINK("https://klasma.github.io/Logging_2080/klagomål/A 61661-2024 FSC-klagomål.docx", "A 61661-2024")</f>
        <v/>
      </c>
      <c r="W106">
        <f>HYPERLINK("https://klasma.github.io/Logging_2080/klagomålsmail/A 61661-2024 FSC-klagomål mail.docx", "A 61661-2024")</f>
        <v/>
      </c>
      <c r="X106">
        <f>HYPERLINK("https://klasma.github.io/Logging_2080/tillsyn/A 61661-2024 tillsynsbegäran.docx", "A 61661-2024")</f>
        <v/>
      </c>
      <c r="Y106">
        <f>HYPERLINK("https://klasma.github.io/Logging_2080/tillsynsmail/A 61661-2024 tillsynsbegäran mail.docx", "A 61661-2024")</f>
        <v/>
      </c>
    </row>
    <row r="107" ht="15" customHeight="1">
      <c r="A107" t="inlineStr">
        <is>
          <t>A 12927-2023</t>
        </is>
      </c>
      <c r="B107" s="1" t="n">
        <v>45001</v>
      </c>
      <c r="C107" s="1" t="n">
        <v>46197</v>
      </c>
      <c r="D107" t="inlineStr">
        <is>
          <t>DALARNAS LÄN</t>
        </is>
      </c>
      <c r="E107" t="inlineStr">
        <is>
          <t>FALUN</t>
        </is>
      </c>
      <c r="G107" t="n">
        <v>0.3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12927-2023 artfynd.xlsx", "A 12927-2023")</f>
        <v/>
      </c>
      <c r="T107">
        <f>HYPERLINK("https://klasma.github.io/Logging_2080/kartor/A 12927-2023 karta.png", "A 12927-2023")</f>
        <v/>
      </c>
      <c r="U107">
        <f>HYPERLINK("https://klasma.github.io/Logging_2080/knärot/A 12927-2023 karta knärot.png", "A 12927-2023")</f>
        <v/>
      </c>
      <c r="V107">
        <f>HYPERLINK("https://klasma.github.io/Logging_2080/klagomål/A 12927-2023 FSC-klagomål.docx", "A 12927-2023")</f>
        <v/>
      </c>
      <c r="W107">
        <f>HYPERLINK("https://klasma.github.io/Logging_2080/klagomålsmail/A 12927-2023 FSC-klagomål mail.docx", "A 12927-2023")</f>
        <v/>
      </c>
      <c r="X107">
        <f>HYPERLINK("https://klasma.github.io/Logging_2080/tillsyn/A 12927-2023 tillsynsbegäran.docx", "A 12927-2023")</f>
        <v/>
      </c>
      <c r="Y107">
        <f>HYPERLINK("https://klasma.github.io/Logging_2080/tillsynsmail/A 12927-2023 tillsynsbegäran mail.docx", "A 12927-2023")</f>
        <v/>
      </c>
    </row>
    <row r="108" ht="15" customHeight="1">
      <c r="A108" t="inlineStr">
        <is>
          <t>A 22784-2024</t>
        </is>
      </c>
      <c r="B108" s="1" t="n">
        <v>45448</v>
      </c>
      <c r="C108" s="1" t="n">
        <v>46197</v>
      </c>
      <c r="D108" t="inlineStr">
        <is>
          <t>DALARNAS LÄN</t>
        </is>
      </c>
      <c r="E108" t="inlineStr">
        <is>
          <t>FALUN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HYPERLINK("https://klasma.github.io/Logging_2080/artfynd/A 22784-2024 artfynd.xlsx", "A 22784-2024")</f>
        <v/>
      </c>
      <c r="T108">
        <f>HYPERLINK("https://klasma.github.io/Logging_2080/kartor/A 22784-2024 karta.png", "A 22784-2024")</f>
        <v/>
      </c>
      <c r="V108">
        <f>HYPERLINK("https://klasma.github.io/Logging_2080/klagomål/A 22784-2024 FSC-klagomål.docx", "A 22784-2024")</f>
        <v/>
      </c>
      <c r="W108">
        <f>HYPERLINK("https://klasma.github.io/Logging_2080/klagomålsmail/A 22784-2024 FSC-klagomål mail.docx", "A 22784-2024")</f>
        <v/>
      </c>
      <c r="X108">
        <f>HYPERLINK("https://klasma.github.io/Logging_2080/tillsyn/A 22784-2024 tillsynsbegäran.docx", "A 22784-2024")</f>
        <v/>
      </c>
      <c r="Y108">
        <f>HYPERLINK("https://klasma.github.io/Logging_2080/tillsynsmail/A 22784-2024 tillsynsbegäran mail.docx", "A 22784-2024")</f>
        <v/>
      </c>
      <c r="Z108">
        <f>HYPERLINK("https://klasma.github.io/Logging_2080/fåglar/A 22784-2024 prioriterade fågelarter.docx", "A 22784-2024")</f>
        <v/>
      </c>
    </row>
    <row r="109" ht="15" customHeight="1">
      <c r="A109" t="inlineStr">
        <is>
          <t>A 6968-2026</t>
        </is>
      </c>
      <c r="B109" s="1" t="n">
        <v>46056</v>
      </c>
      <c r="C109" s="1" t="n">
        <v>46197</v>
      </c>
      <c r="D109" t="inlineStr">
        <is>
          <t>DALARNAS LÄN</t>
        </is>
      </c>
      <c r="E109" t="inlineStr">
        <is>
          <t>FALUN</t>
        </is>
      </c>
      <c r="F109" t="inlineStr">
        <is>
          <t>Allmännings- och besparingsskogar</t>
        </is>
      </c>
      <c r="G109" t="n">
        <v>14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Garnlav</t>
        </is>
      </c>
      <c r="S109">
        <f>HYPERLINK("https://klasma.github.io/Logging_2080/artfynd/A 6968-2026 artfynd.xlsx", "A 6968-2026")</f>
        <v/>
      </c>
      <c r="T109">
        <f>HYPERLINK("https://klasma.github.io/Logging_2080/kartor/A 6968-2026 karta.png", "A 6968-2026")</f>
        <v/>
      </c>
      <c r="V109">
        <f>HYPERLINK("https://klasma.github.io/Logging_2080/klagomål/A 6968-2026 FSC-klagomål.docx", "A 6968-2026")</f>
        <v/>
      </c>
      <c r="W109">
        <f>HYPERLINK("https://klasma.github.io/Logging_2080/klagomålsmail/A 6968-2026 FSC-klagomål mail.docx", "A 6968-2026")</f>
        <v/>
      </c>
      <c r="X109">
        <f>HYPERLINK("https://klasma.github.io/Logging_2080/tillsyn/A 6968-2026 tillsynsbegäran.docx", "A 6968-2026")</f>
        <v/>
      </c>
      <c r="Y109">
        <f>HYPERLINK("https://klasma.github.io/Logging_2080/tillsynsmail/A 6968-2026 tillsynsbegäran mail.docx", "A 6968-2026")</f>
        <v/>
      </c>
    </row>
    <row r="110" ht="15" customHeight="1">
      <c r="A110" t="inlineStr">
        <is>
          <t>A 6962-2026</t>
        </is>
      </c>
      <c r="B110" s="1" t="n">
        <v>46056</v>
      </c>
      <c r="C110" s="1" t="n">
        <v>46197</v>
      </c>
      <c r="D110" t="inlineStr">
        <is>
          <t>DALARNAS LÄN</t>
        </is>
      </c>
      <c r="E110" t="inlineStr">
        <is>
          <t>FALUN</t>
        </is>
      </c>
      <c r="F110" t="inlineStr">
        <is>
          <t>Allmännings- och besparingsskogar</t>
        </is>
      </c>
      <c r="G110" t="n">
        <v>20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Garnlav</t>
        </is>
      </c>
      <c r="S110">
        <f>HYPERLINK("https://klasma.github.io/Logging_2080/artfynd/A 6962-2026 artfynd.xlsx", "A 6962-2026")</f>
        <v/>
      </c>
      <c r="T110">
        <f>HYPERLINK("https://klasma.github.io/Logging_2080/kartor/A 6962-2026 karta.png", "A 6962-2026")</f>
        <v/>
      </c>
      <c r="V110">
        <f>HYPERLINK("https://klasma.github.io/Logging_2080/klagomål/A 6962-2026 FSC-klagomål.docx", "A 6962-2026")</f>
        <v/>
      </c>
      <c r="W110">
        <f>HYPERLINK("https://klasma.github.io/Logging_2080/klagomålsmail/A 6962-2026 FSC-klagomål mail.docx", "A 6962-2026")</f>
        <v/>
      </c>
      <c r="X110">
        <f>HYPERLINK("https://klasma.github.io/Logging_2080/tillsyn/A 6962-2026 tillsynsbegäran.docx", "A 6962-2026")</f>
        <v/>
      </c>
      <c r="Y110">
        <f>HYPERLINK("https://klasma.github.io/Logging_2080/tillsynsmail/A 6962-2026 tillsynsbegäran mail.docx", "A 6962-2026")</f>
        <v/>
      </c>
    </row>
    <row r="111" ht="15" customHeight="1">
      <c r="A111" t="inlineStr">
        <is>
          <t>A 6951-2026</t>
        </is>
      </c>
      <c r="B111" s="1" t="n">
        <v>46057</v>
      </c>
      <c r="C111" s="1" t="n">
        <v>46197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Garnlav</t>
        </is>
      </c>
      <c r="S111">
        <f>HYPERLINK("https://klasma.github.io/Logging_2080/artfynd/A 6951-2026 artfynd.xlsx", "A 6951-2026")</f>
        <v/>
      </c>
      <c r="T111">
        <f>HYPERLINK("https://klasma.github.io/Logging_2080/kartor/A 6951-2026 karta.png", "A 6951-2026")</f>
        <v/>
      </c>
      <c r="V111">
        <f>HYPERLINK("https://klasma.github.io/Logging_2080/klagomål/A 6951-2026 FSC-klagomål.docx", "A 6951-2026")</f>
        <v/>
      </c>
      <c r="W111">
        <f>HYPERLINK("https://klasma.github.io/Logging_2080/klagomålsmail/A 6951-2026 FSC-klagomål mail.docx", "A 6951-2026")</f>
        <v/>
      </c>
      <c r="X111">
        <f>HYPERLINK("https://klasma.github.io/Logging_2080/tillsyn/A 6951-2026 tillsynsbegäran.docx", "A 6951-2026")</f>
        <v/>
      </c>
      <c r="Y111">
        <f>HYPERLINK("https://klasma.github.io/Logging_2080/tillsynsmail/A 6951-2026 tillsynsbegäran mail.docx", "A 6951-2026")</f>
        <v/>
      </c>
    </row>
    <row r="112" ht="15" customHeight="1">
      <c r="A112" t="inlineStr">
        <is>
          <t>A 21813-2023</t>
        </is>
      </c>
      <c r="B112" s="1" t="n">
        <v>45068</v>
      </c>
      <c r="C112" s="1" t="n">
        <v>46197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Brun gräsfjäril</t>
        </is>
      </c>
      <c r="S112">
        <f>HYPERLINK("https://klasma.github.io/Logging_2080/artfynd/A 21813-2023 artfynd.xlsx", "A 21813-2023")</f>
        <v/>
      </c>
      <c r="T112">
        <f>HYPERLINK("https://klasma.github.io/Logging_2080/kartor/A 21813-2023 karta.png", "A 21813-2023")</f>
        <v/>
      </c>
      <c r="V112">
        <f>HYPERLINK("https://klasma.github.io/Logging_2080/klagomål/A 21813-2023 FSC-klagomål.docx", "A 21813-2023")</f>
        <v/>
      </c>
      <c r="W112">
        <f>HYPERLINK("https://klasma.github.io/Logging_2080/klagomålsmail/A 21813-2023 FSC-klagomål mail.docx", "A 21813-2023")</f>
        <v/>
      </c>
      <c r="X112">
        <f>HYPERLINK("https://klasma.github.io/Logging_2080/tillsyn/A 21813-2023 tillsynsbegäran.docx", "A 21813-2023")</f>
        <v/>
      </c>
      <c r="Y112">
        <f>HYPERLINK("https://klasma.github.io/Logging_2080/tillsynsmail/A 21813-2023 tillsynsbegäran mail.docx", "A 21813-2023")</f>
        <v/>
      </c>
    </row>
    <row r="113" ht="15" customHeight="1">
      <c r="A113" t="inlineStr">
        <is>
          <t>A 53454-2025</t>
        </is>
      </c>
      <c r="B113" s="1" t="n">
        <v>45959</v>
      </c>
      <c r="C113" s="1" t="n">
        <v>46197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HYPERLINK("https://klasma.github.io/Logging_2080/artfynd/A 53454-2025 artfynd.xlsx", "A 53454-2025")</f>
        <v/>
      </c>
      <c r="T113">
        <f>HYPERLINK("https://klasma.github.io/Logging_2080/kartor/A 53454-2025 karta.png", "A 53454-2025")</f>
        <v/>
      </c>
      <c r="V113">
        <f>HYPERLINK("https://klasma.github.io/Logging_2080/klagomål/A 53454-2025 FSC-klagomål.docx", "A 53454-2025")</f>
        <v/>
      </c>
      <c r="W113">
        <f>HYPERLINK("https://klasma.github.io/Logging_2080/klagomålsmail/A 53454-2025 FSC-klagomål mail.docx", "A 53454-2025")</f>
        <v/>
      </c>
      <c r="X113">
        <f>HYPERLINK("https://klasma.github.io/Logging_2080/tillsyn/A 53454-2025 tillsynsbegäran.docx", "A 53454-2025")</f>
        <v/>
      </c>
      <c r="Y113">
        <f>HYPERLINK("https://klasma.github.io/Logging_2080/tillsynsmail/A 53454-2025 tillsynsbegäran mail.docx", "A 53454-2025")</f>
        <v/>
      </c>
    </row>
    <row r="114" ht="15" customHeight="1">
      <c r="A114" t="inlineStr">
        <is>
          <t>A 9343-2026</t>
        </is>
      </c>
      <c r="B114" s="1" t="n">
        <v>46070</v>
      </c>
      <c r="C114" s="1" t="n">
        <v>46197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HYPERLINK("https://klasma.github.io/Logging_2080/artfynd/A 9343-2026 artfynd.xlsx", "A 9343-2026")</f>
        <v/>
      </c>
      <c r="T114">
        <f>HYPERLINK("https://klasma.github.io/Logging_2080/kartor/A 9343-2026 karta.png", "A 9343-2026")</f>
        <v/>
      </c>
      <c r="V114">
        <f>HYPERLINK("https://klasma.github.io/Logging_2080/klagomål/A 9343-2026 FSC-klagomål.docx", "A 9343-2026")</f>
        <v/>
      </c>
      <c r="W114">
        <f>HYPERLINK("https://klasma.github.io/Logging_2080/klagomålsmail/A 9343-2026 FSC-klagomål mail.docx", "A 9343-2026")</f>
        <v/>
      </c>
      <c r="X114">
        <f>HYPERLINK("https://klasma.github.io/Logging_2080/tillsyn/A 9343-2026 tillsynsbegäran.docx", "A 9343-2026")</f>
        <v/>
      </c>
      <c r="Y114">
        <f>HYPERLINK("https://klasma.github.io/Logging_2080/tillsynsmail/A 9343-2026 tillsynsbegäran mail.docx", "A 9343-2026")</f>
        <v/>
      </c>
    </row>
    <row r="115" ht="15" customHeight="1">
      <c r="A115" t="inlineStr">
        <is>
          <t>A 55724-2025</t>
        </is>
      </c>
      <c r="B115" s="1" t="n">
        <v>45972</v>
      </c>
      <c r="C115" s="1" t="n">
        <v>46197</v>
      </c>
      <c r="D115" t="inlineStr">
        <is>
          <t>DALARNAS LÄN</t>
        </is>
      </c>
      <c r="E115" t="inlineStr">
        <is>
          <t>FALUN</t>
        </is>
      </c>
      <c r="G115" t="n">
        <v>3.4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HYPERLINK("https://klasma.github.io/Logging_2080/artfynd/A 55724-2025 artfynd.xlsx", "A 55724-2025")</f>
        <v/>
      </c>
      <c r="T115">
        <f>HYPERLINK("https://klasma.github.io/Logging_2080/kartor/A 55724-2025 karta.png", "A 55724-2025")</f>
        <v/>
      </c>
      <c r="V115">
        <f>HYPERLINK("https://klasma.github.io/Logging_2080/klagomål/A 55724-2025 FSC-klagomål.docx", "A 55724-2025")</f>
        <v/>
      </c>
      <c r="W115">
        <f>HYPERLINK("https://klasma.github.io/Logging_2080/klagomålsmail/A 55724-2025 FSC-klagomål mail.docx", "A 55724-2025")</f>
        <v/>
      </c>
      <c r="X115">
        <f>HYPERLINK("https://klasma.github.io/Logging_2080/tillsyn/A 55724-2025 tillsynsbegäran.docx", "A 55724-2025")</f>
        <v/>
      </c>
      <c r="Y115">
        <f>HYPERLINK("https://klasma.github.io/Logging_2080/tillsynsmail/A 55724-2025 tillsynsbegäran mail.docx", "A 55724-2025")</f>
        <v/>
      </c>
    </row>
    <row r="116" ht="15" customHeight="1">
      <c r="A116" t="inlineStr">
        <is>
          <t>A 11038-2026</t>
        </is>
      </c>
      <c r="B116" s="1" t="n">
        <v>46079</v>
      </c>
      <c r="C116" s="1" t="n">
        <v>46197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HYPERLINK("https://klasma.github.io/Logging_2080/artfynd/A 11038-2026 artfynd.xlsx", "A 11038-2026")</f>
        <v/>
      </c>
      <c r="T116">
        <f>HYPERLINK("https://klasma.github.io/Logging_2080/kartor/A 11038-2026 karta.png", "A 11038-2026")</f>
        <v/>
      </c>
      <c r="V116">
        <f>HYPERLINK("https://klasma.github.io/Logging_2080/klagomål/A 11038-2026 FSC-klagomål.docx", "A 11038-2026")</f>
        <v/>
      </c>
      <c r="W116">
        <f>HYPERLINK("https://klasma.github.io/Logging_2080/klagomålsmail/A 11038-2026 FSC-klagomål mail.docx", "A 11038-2026")</f>
        <v/>
      </c>
      <c r="X116">
        <f>HYPERLINK("https://klasma.github.io/Logging_2080/tillsyn/A 11038-2026 tillsynsbegäran.docx", "A 11038-2026")</f>
        <v/>
      </c>
      <c r="Y116">
        <f>HYPERLINK("https://klasma.github.io/Logging_2080/tillsynsmail/A 11038-2026 tillsynsbegäran mail.docx", "A 11038-2026")</f>
        <v/>
      </c>
    </row>
    <row r="117" ht="15" customHeight="1">
      <c r="A117" t="inlineStr">
        <is>
          <t>A 40853-2022</t>
        </is>
      </c>
      <c r="B117" s="1" t="n">
        <v>44825</v>
      </c>
      <c r="C117" s="1" t="n">
        <v>46197</v>
      </c>
      <c r="D117" t="inlineStr">
        <is>
          <t>DALARNAS LÄN</t>
        </is>
      </c>
      <c r="E117" t="inlineStr">
        <is>
          <t>FALUN</t>
        </is>
      </c>
      <c r="G117" t="n">
        <v>7.2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Sparvuggla</t>
        </is>
      </c>
      <c r="S117">
        <f>HYPERLINK("https://klasma.github.io/Logging_2080/artfynd/A 40853-2022 artfynd.xlsx", "A 40853-2022")</f>
        <v/>
      </c>
      <c r="T117">
        <f>HYPERLINK("https://klasma.github.io/Logging_2080/kartor/A 40853-2022 karta.png", "A 40853-2022")</f>
        <v/>
      </c>
      <c r="V117">
        <f>HYPERLINK("https://klasma.github.io/Logging_2080/klagomål/A 40853-2022 FSC-klagomål.docx", "A 40853-2022")</f>
        <v/>
      </c>
      <c r="W117">
        <f>HYPERLINK("https://klasma.github.io/Logging_2080/klagomålsmail/A 40853-2022 FSC-klagomål mail.docx", "A 40853-2022")</f>
        <v/>
      </c>
      <c r="X117">
        <f>HYPERLINK("https://klasma.github.io/Logging_2080/tillsyn/A 40853-2022 tillsynsbegäran.docx", "A 40853-2022")</f>
        <v/>
      </c>
      <c r="Y117">
        <f>HYPERLINK("https://klasma.github.io/Logging_2080/tillsynsmail/A 40853-2022 tillsynsbegäran mail.docx", "A 40853-2022")</f>
        <v/>
      </c>
      <c r="Z117">
        <f>HYPERLINK("https://klasma.github.io/Logging_2080/fåglar/A 40853-2022 prioriterade fågelarter.docx", "A 40853-2022")</f>
        <v/>
      </c>
    </row>
    <row r="118" ht="15" customHeight="1">
      <c r="A118" t="inlineStr">
        <is>
          <t>A 12257-2026</t>
        </is>
      </c>
      <c r="B118" s="1" t="n">
        <v>46087</v>
      </c>
      <c r="C118" s="1" t="n">
        <v>46197</v>
      </c>
      <c r="D118" t="inlineStr">
        <is>
          <t>DALARNAS LÄN</t>
        </is>
      </c>
      <c r="E118" t="inlineStr">
        <is>
          <t>FALUN</t>
        </is>
      </c>
      <c r="G118" t="n">
        <v>1.6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HYPERLINK("https://klasma.github.io/Logging_2080/artfynd/A 12257-2026 artfynd.xlsx", "A 12257-2026")</f>
        <v/>
      </c>
      <c r="T118">
        <f>HYPERLINK("https://klasma.github.io/Logging_2080/kartor/A 12257-2026 karta.png", "A 12257-2026")</f>
        <v/>
      </c>
      <c r="V118">
        <f>HYPERLINK("https://klasma.github.io/Logging_2080/klagomål/A 12257-2026 FSC-klagomål.docx", "A 12257-2026")</f>
        <v/>
      </c>
      <c r="W118">
        <f>HYPERLINK("https://klasma.github.io/Logging_2080/klagomålsmail/A 12257-2026 FSC-klagomål mail.docx", "A 12257-2026")</f>
        <v/>
      </c>
      <c r="X118">
        <f>HYPERLINK("https://klasma.github.io/Logging_2080/tillsyn/A 12257-2026 tillsynsbegäran.docx", "A 12257-2026")</f>
        <v/>
      </c>
      <c r="Y118">
        <f>HYPERLINK("https://klasma.github.io/Logging_2080/tillsynsmail/A 12257-2026 tillsynsbegäran mail.docx", "A 12257-2026")</f>
        <v/>
      </c>
      <c r="Z118">
        <f>HYPERLINK("https://klasma.github.io/Logging_2080/fåglar/A 12257-2026 prioriterade fågelarter.docx", "A 12257-2026")</f>
        <v/>
      </c>
    </row>
    <row r="119" ht="15" customHeight="1">
      <c r="A119" t="inlineStr">
        <is>
          <t>A 13205-2026</t>
        </is>
      </c>
      <c r="B119" s="1" t="n">
        <v>46093</v>
      </c>
      <c r="C119" s="1" t="n">
        <v>46197</v>
      </c>
      <c r="D119" t="inlineStr">
        <is>
          <t>DALARNAS LÄN</t>
        </is>
      </c>
      <c r="E119" t="inlineStr">
        <is>
          <t>FALUN</t>
        </is>
      </c>
      <c r="G119" t="n">
        <v>4.6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Sotriska</t>
        </is>
      </c>
      <c r="S119">
        <f>HYPERLINK("https://klasma.github.io/Logging_2080/artfynd/A 13205-2026 artfynd.xlsx", "A 13205-2026")</f>
        <v/>
      </c>
      <c r="T119">
        <f>HYPERLINK("https://klasma.github.io/Logging_2080/kartor/A 13205-2026 karta.png", "A 13205-2026")</f>
        <v/>
      </c>
      <c r="V119">
        <f>HYPERLINK("https://klasma.github.io/Logging_2080/klagomål/A 13205-2026 FSC-klagomål.docx", "A 13205-2026")</f>
        <v/>
      </c>
      <c r="W119">
        <f>HYPERLINK("https://klasma.github.io/Logging_2080/klagomålsmail/A 13205-2026 FSC-klagomål mail.docx", "A 13205-2026")</f>
        <v/>
      </c>
      <c r="X119">
        <f>HYPERLINK("https://klasma.github.io/Logging_2080/tillsyn/A 13205-2026 tillsynsbegäran.docx", "A 13205-2026")</f>
        <v/>
      </c>
      <c r="Y119">
        <f>HYPERLINK("https://klasma.github.io/Logging_2080/tillsynsmail/A 13205-2026 tillsynsbegäran mail.docx", "A 13205-2026")</f>
        <v/>
      </c>
    </row>
    <row r="120" ht="15" customHeight="1">
      <c r="A120" t="inlineStr">
        <is>
          <t>A 15178-2026</t>
        </is>
      </c>
      <c r="B120" s="1" t="n">
        <v>46105</v>
      </c>
      <c r="C120" s="1" t="n">
        <v>46197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17.1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Stjärntagging</t>
        </is>
      </c>
      <c r="S120">
        <f>HYPERLINK("https://klasma.github.io/Logging_2080/artfynd/A 15178-2026 artfynd.xlsx", "A 15178-2026")</f>
        <v/>
      </c>
      <c r="T120">
        <f>HYPERLINK("https://klasma.github.io/Logging_2080/kartor/A 15178-2026 karta.png", "A 15178-2026")</f>
        <v/>
      </c>
      <c r="V120">
        <f>HYPERLINK("https://klasma.github.io/Logging_2080/klagomål/A 15178-2026 FSC-klagomål.docx", "A 15178-2026")</f>
        <v/>
      </c>
      <c r="W120">
        <f>HYPERLINK("https://klasma.github.io/Logging_2080/klagomålsmail/A 15178-2026 FSC-klagomål mail.docx", "A 15178-2026")</f>
        <v/>
      </c>
      <c r="X120">
        <f>HYPERLINK("https://klasma.github.io/Logging_2080/tillsyn/A 15178-2026 tillsynsbegäran.docx", "A 15178-2026")</f>
        <v/>
      </c>
      <c r="Y120">
        <f>HYPERLINK("https://klasma.github.io/Logging_2080/tillsynsmail/A 15178-2026 tillsynsbegäran mail.docx", "A 15178-2026")</f>
        <v/>
      </c>
    </row>
    <row r="121" ht="15" customHeight="1">
      <c r="A121" t="inlineStr">
        <is>
          <t>A 16084-2026</t>
        </is>
      </c>
      <c r="B121" s="1" t="n">
        <v>46107</v>
      </c>
      <c r="C121" s="1" t="n">
        <v>46197</v>
      </c>
      <c r="D121" t="inlineStr">
        <is>
          <t>DALARNAS LÄN</t>
        </is>
      </c>
      <c r="E121" t="inlineStr">
        <is>
          <t>FALUN</t>
        </is>
      </c>
      <c r="F121" t="inlineStr">
        <is>
          <t>Allmännings- och besparingsskogar</t>
        </is>
      </c>
      <c r="G121" t="n">
        <v>10.4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Älg</t>
        </is>
      </c>
      <c r="S121">
        <f>HYPERLINK("https://klasma.github.io/Logging_2080/artfynd/A 16084-2026 artfynd.xlsx", "A 16084-2026")</f>
        <v/>
      </c>
      <c r="T121">
        <f>HYPERLINK("https://klasma.github.io/Logging_2080/kartor/A 16084-2026 karta.png", "A 16084-2026")</f>
        <v/>
      </c>
      <c r="V121">
        <f>HYPERLINK("https://klasma.github.io/Logging_2080/klagomål/A 16084-2026 FSC-klagomål.docx", "A 16084-2026")</f>
        <v/>
      </c>
      <c r="W121">
        <f>HYPERLINK("https://klasma.github.io/Logging_2080/klagomålsmail/A 16084-2026 FSC-klagomål mail.docx", "A 16084-2026")</f>
        <v/>
      </c>
      <c r="X121">
        <f>HYPERLINK("https://klasma.github.io/Logging_2080/tillsyn/A 16084-2026 tillsynsbegäran.docx", "A 16084-2026")</f>
        <v/>
      </c>
      <c r="Y121">
        <f>HYPERLINK("https://klasma.github.io/Logging_2080/tillsynsmail/A 16084-2026 tillsynsbegäran mail.docx", "A 16084-2026")</f>
        <v/>
      </c>
    </row>
    <row r="122" ht="15" customHeight="1">
      <c r="A122" t="inlineStr">
        <is>
          <t>A 1342-2026</t>
        </is>
      </c>
      <c r="B122" s="1" t="n">
        <v>46031</v>
      </c>
      <c r="C122" s="1" t="n">
        <v>46197</v>
      </c>
      <c r="D122" t="inlineStr">
        <is>
          <t>DALARNAS LÄN</t>
        </is>
      </c>
      <c r="E122" t="inlineStr">
        <is>
          <t>FALUN</t>
        </is>
      </c>
      <c r="G122" t="n">
        <v>14.9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Igelkott</t>
        </is>
      </c>
      <c r="S122">
        <f>HYPERLINK("https://klasma.github.io/Logging_2080/artfynd/A 1342-2026 artfynd.xlsx", "A 1342-2026")</f>
        <v/>
      </c>
      <c r="T122">
        <f>HYPERLINK("https://klasma.github.io/Logging_2080/kartor/A 1342-2026 karta.png", "A 1342-2026")</f>
        <v/>
      </c>
      <c r="V122">
        <f>HYPERLINK("https://klasma.github.io/Logging_2080/klagomål/A 1342-2026 FSC-klagomål.docx", "A 1342-2026")</f>
        <v/>
      </c>
      <c r="W122">
        <f>HYPERLINK("https://klasma.github.io/Logging_2080/klagomålsmail/A 1342-2026 FSC-klagomål mail.docx", "A 1342-2026")</f>
        <v/>
      </c>
      <c r="X122">
        <f>HYPERLINK("https://klasma.github.io/Logging_2080/tillsyn/A 1342-2026 tillsynsbegäran.docx", "A 1342-2026")</f>
        <v/>
      </c>
      <c r="Y122">
        <f>HYPERLINK("https://klasma.github.io/Logging_2080/tillsynsmail/A 1342-2026 tillsynsbegäran mail.docx", "A 1342-2026")</f>
        <v/>
      </c>
    </row>
    <row r="123" ht="15" customHeight="1">
      <c r="A123" t="inlineStr">
        <is>
          <t>A 1317-2026</t>
        </is>
      </c>
      <c r="B123" s="1" t="n">
        <v>46031</v>
      </c>
      <c r="C123" s="1" t="n">
        <v>46197</v>
      </c>
      <c r="D123" t="inlineStr">
        <is>
          <t>DALARNAS LÄN</t>
        </is>
      </c>
      <c r="E123" t="inlineStr">
        <is>
          <t>FALUN</t>
        </is>
      </c>
      <c r="G123" t="n">
        <v>27.3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 groddlummer</t>
        </is>
      </c>
      <c r="S123">
        <f>HYPERLINK("https://klasma.github.io/Logging_2080/artfynd/A 1317-2026 artfynd.xlsx", "A 1317-2026")</f>
        <v/>
      </c>
      <c r="T123">
        <f>HYPERLINK("https://klasma.github.io/Logging_2080/kartor/A 1317-2026 karta.png", "A 1317-2026")</f>
        <v/>
      </c>
      <c r="V123">
        <f>HYPERLINK("https://klasma.github.io/Logging_2080/klagomål/A 1317-2026 FSC-klagomål.docx", "A 1317-2026")</f>
        <v/>
      </c>
      <c r="W123">
        <f>HYPERLINK("https://klasma.github.io/Logging_2080/klagomålsmail/A 1317-2026 FSC-klagomål mail.docx", "A 1317-2026")</f>
        <v/>
      </c>
      <c r="X123">
        <f>HYPERLINK("https://klasma.github.io/Logging_2080/tillsyn/A 1317-2026 tillsynsbegäran.docx", "A 1317-2026")</f>
        <v/>
      </c>
      <c r="Y123">
        <f>HYPERLINK("https://klasma.github.io/Logging_2080/tillsynsmail/A 1317-2026 tillsynsbegäran mail.docx", "A 1317-2026")</f>
        <v/>
      </c>
    </row>
    <row r="124" ht="15" customHeight="1">
      <c r="A124" t="inlineStr">
        <is>
          <t>A 15598-2026</t>
        </is>
      </c>
      <c r="B124" s="1" t="n">
        <v>46106</v>
      </c>
      <c r="C124" s="1" t="n">
        <v>46197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18.2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HYPERLINK("https://klasma.github.io/Logging_2080/artfynd/A 15598-2026 artfynd.xlsx", "A 15598-2026")</f>
        <v/>
      </c>
      <c r="T124">
        <f>HYPERLINK("https://klasma.github.io/Logging_2080/kartor/A 15598-2026 karta.png", "A 15598-2026")</f>
        <v/>
      </c>
      <c r="V124">
        <f>HYPERLINK("https://klasma.github.io/Logging_2080/klagomål/A 15598-2026 FSC-klagomål.docx", "A 15598-2026")</f>
        <v/>
      </c>
      <c r="W124">
        <f>HYPERLINK("https://klasma.github.io/Logging_2080/klagomålsmail/A 15598-2026 FSC-klagomål mail.docx", "A 15598-2026")</f>
        <v/>
      </c>
      <c r="X124">
        <f>HYPERLINK("https://klasma.github.io/Logging_2080/tillsyn/A 15598-2026 tillsynsbegäran.docx", "A 15598-2026")</f>
        <v/>
      </c>
      <c r="Y124">
        <f>HYPERLINK("https://klasma.github.io/Logging_2080/tillsynsmail/A 15598-2026 tillsynsbegäran mail.docx", "A 15598-2026")</f>
        <v/>
      </c>
      <c r="Z124">
        <f>HYPERLINK("https://klasma.github.io/Logging_2080/fåglar/A 15598-2026 prioriterade fågelarter.docx", "A 15598-2026")</f>
        <v/>
      </c>
    </row>
    <row r="125" ht="15" customHeight="1">
      <c r="A125" t="inlineStr">
        <is>
          <t>A 15601-2026</t>
        </is>
      </c>
      <c r="B125" s="1" t="n">
        <v>46106</v>
      </c>
      <c r="C125" s="1" t="n">
        <v>46197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35.5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HYPERLINK("https://klasma.github.io/Logging_2080/artfynd/A 15601-2026 artfynd.xlsx", "A 15601-2026")</f>
        <v/>
      </c>
      <c r="T125">
        <f>HYPERLINK("https://klasma.github.io/Logging_2080/kartor/A 15601-2026 karta.png", "A 15601-2026")</f>
        <v/>
      </c>
      <c r="V125">
        <f>HYPERLINK("https://klasma.github.io/Logging_2080/klagomål/A 15601-2026 FSC-klagomål.docx", "A 15601-2026")</f>
        <v/>
      </c>
      <c r="W125">
        <f>HYPERLINK("https://klasma.github.io/Logging_2080/klagomålsmail/A 15601-2026 FSC-klagomål mail.docx", "A 15601-2026")</f>
        <v/>
      </c>
      <c r="X125">
        <f>HYPERLINK("https://klasma.github.io/Logging_2080/tillsyn/A 15601-2026 tillsynsbegäran.docx", "A 15601-2026")</f>
        <v/>
      </c>
      <c r="Y125">
        <f>HYPERLINK("https://klasma.github.io/Logging_2080/tillsynsmail/A 15601-2026 tillsynsbegäran mail.docx", "A 15601-2026")</f>
        <v/>
      </c>
    </row>
    <row r="126" ht="15" customHeight="1">
      <c r="A126" t="inlineStr">
        <is>
          <t>A 17252-2026</t>
        </is>
      </c>
      <c r="B126" s="1" t="n">
        <v>46119</v>
      </c>
      <c r="C126" s="1" t="n">
        <v>46197</v>
      </c>
      <c r="D126" t="inlineStr">
        <is>
          <t>DALARNAS LÄN</t>
        </is>
      </c>
      <c r="E126" t="inlineStr">
        <is>
          <t>FALUN</t>
        </is>
      </c>
      <c r="G126" t="n">
        <v>88.90000000000001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HYPERLINK("https://klasma.github.io/Logging_2080/artfynd/A 17252-2026 artfynd.xlsx", "A 17252-2026")</f>
        <v/>
      </c>
      <c r="T126">
        <f>HYPERLINK("https://klasma.github.io/Logging_2080/kartor/A 17252-2026 karta.png", "A 17252-2026")</f>
        <v/>
      </c>
      <c r="V126">
        <f>HYPERLINK("https://klasma.github.io/Logging_2080/klagomål/A 17252-2026 FSC-klagomål.docx", "A 17252-2026")</f>
        <v/>
      </c>
      <c r="W126">
        <f>HYPERLINK("https://klasma.github.io/Logging_2080/klagomålsmail/A 17252-2026 FSC-klagomål mail.docx", "A 17252-2026")</f>
        <v/>
      </c>
      <c r="X126">
        <f>HYPERLINK("https://klasma.github.io/Logging_2080/tillsyn/A 17252-2026 tillsynsbegäran.docx", "A 17252-2026")</f>
        <v/>
      </c>
      <c r="Y126">
        <f>HYPERLINK("https://klasma.github.io/Logging_2080/tillsynsmail/A 17252-2026 tillsynsbegäran mail.docx", "A 17252-2026")</f>
        <v/>
      </c>
    </row>
    <row r="127" ht="15" customHeight="1">
      <c r="A127" t="inlineStr">
        <is>
          <t>A 18707-2026</t>
        </is>
      </c>
      <c r="B127" s="1" t="n">
        <v>46128</v>
      </c>
      <c r="C127" s="1" t="n">
        <v>46197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13.1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Blanksvart spiklav</t>
        </is>
      </c>
      <c r="S127">
        <f>HYPERLINK("https://klasma.github.io/Logging_2080/artfynd/A 18707-2026 artfynd.xlsx", "A 18707-2026")</f>
        <v/>
      </c>
      <c r="T127">
        <f>HYPERLINK("https://klasma.github.io/Logging_2080/kartor/A 18707-2026 karta.png", "A 18707-2026")</f>
        <v/>
      </c>
      <c r="V127">
        <f>HYPERLINK("https://klasma.github.io/Logging_2080/klagomål/A 18707-2026 FSC-klagomål.docx", "A 18707-2026")</f>
        <v/>
      </c>
      <c r="W127">
        <f>HYPERLINK("https://klasma.github.io/Logging_2080/klagomålsmail/A 18707-2026 FSC-klagomål mail.docx", "A 18707-2026")</f>
        <v/>
      </c>
      <c r="X127">
        <f>HYPERLINK("https://klasma.github.io/Logging_2080/tillsyn/A 18707-2026 tillsynsbegäran.docx", "A 18707-2026")</f>
        <v/>
      </c>
      <c r="Y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23997-2026</t>
        </is>
      </c>
      <c r="B128" s="1" t="n">
        <v>46167</v>
      </c>
      <c r="C128" s="1" t="n">
        <v>46197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9.699999999999999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Stjärntagging</t>
        </is>
      </c>
      <c r="S128">
        <f>HYPERLINK("https://klasma.github.io/Logging_2080/artfynd/A 23997-2026 artfynd.xlsx", "A 23997-2026")</f>
        <v/>
      </c>
      <c r="T128">
        <f>HYPERLINK("https://klasma.github.io/Logging_2080/kartor/A 23997-2026 karta.png", "A 23997-2026")</f>
        <v/>
      </c>
      <c r="V128">
        <f>HYPERLINK("https://klasma.github.io/Logging_2080/klagomål/A 23997-2026 FSC-klagomål.docx", "A 23997-2026")</f>
        <v/>
      </c>
      <c r="W128">
        <f>HYPERLINK("https://klasma.github.io/Logging_2080/klagomålsmail/A 23997-2026 FSC-klagomål mail.docx", "A 23997-2026")</f>
        <v/>
      </c>
      <c r="X128">
        <f>HYPERLINK("https://klasma.github.io/Logging_2080/tillsyn/A 23997-2026 tillsynsbegäran.docx", "A 23997-2026")</f>
        <v/>
      </c>
      <c r="Y128">
        <f>HYPERLINK("https://klasma.github.io/Logging_2080/tillsynsmail/A 23997-2026 tillsynsbegäran mail.docx", "A 23997-2026")</f>
        <v/>
      </c>
    </row>
    <row r="129" ht="15" customHeight="1">
      <c r="A129" t="inlineStr">
        <is>
          <t>A 25540-2026</t>
        </is>
      </c>
      <c r="B129" s="1" t="n">
        <v>46177</v>
      </c>
      <c r="C129" s="1" t="n">
        <v>46197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HYPERLINK("https://klasma.github.io/Logging_2080/artfynd/A 25540-2026 artfynd.xlsx", "A 25540-2026")</f>
        <v/>
      </c>
      <c r="T129">
        <f>HYPERLINK("https://klasma.github.io/Logging_2080/kartor/A 25540-2026 karta.png", "A 25540-2026")</f>
        <v/>
      </c>
      <c r="V129">
        <f>HYPERLINK("https://klasma.github.io/Logging_2080/klagomål/A 25540-2026 FSC-klagomål.docx", "A 25540-2026")</f>
        <v/>
      </c>
      <c r="W129">
        <f>HYPERLINK("https://klasma.github.io/Logging_2080/klagomålsmail/A 25540-2026 FSC-klagomål mail.docx", "A 25540-2026")</f>
        <v/>
      </c>
      <c r="X129">
        <f>HYPERLINK("https://klasma.github.io/Logging_2080/tillsyn/A 25540-2026 tillsynsbegäran.docx", "A 25540-2026")</f>
        <v/>
      </c>
      <c r="Y129">
        <f>HYPERLINK("https://klasma.github.io/Logging_2080/tillsynsmail/A 25540-2026 tillsynsbegäran mail.docx", "A 25540-2026")</f>
        <v/>
      </c>
    </row>
    <row r="130" ht="15" customHeight="1">
      <c r="A130" t="inlineStr">
        <is>
          <t>A 26096-2026</t>
        </is>
      </c>
      <c r="B130" s="1" t="n">
        <v>46181</v>
      </c>
      <c r="C130" s="1" t="n">
        <v>46197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HYPERLINK("https://klasma.github.io/Logging_2080/artfynd/A 26096-2026 artfynd.xlsx", "A 26096-2026")</f>
        <v/>
      </c>
      <c r="T130">
        <f>HYPERLINK("https://klasma.github.io/Logging_2080/kartor/A 26096-2026 karta.png", "A 26096-2026")</f>
        <v/>
      </c>
      <c r="V130">
        <f>HYPERLINK("https://klasma.github.io/Logging_2080/klagomål/A 26096-2026 FSC-klagomål.docx", "A 26096-2026")</f>
        <v/>
      </c>
      <c r="W130">
        <f>HYPERLINK("https://klasma.github.io/Logging_2080/klagomålsmail/A 26096-2026 FSC-klagomål mail.docx", "A 26096-2026")</f>
        <v/>
      </c>
      <c r="X130">
        <f>HYPERLINK("https://klasma.github.io/Logging_2080/tillsyn/A 26096-2026 tillsynsbegäran.docx", "A 26096-2026")</f>
        <v/>
      </c>
      <c r="Y130">
        <f>HYPERLINK("https://klasma.github.io/Logging_2080/tillsynsmail/A 26096-2026 tillsynsbegäran mail.docx", "A 26096-2026")</f>
        <v/>
      </c>
    </row>
    <row r="131" ht="15" customHeight="1">
      <c r="A131" t="inlineStr">
        <is>
          <t>A 54134-2024</t>
        </is>
      </c>
      <c r="B131" s="1" t="n">
        <v>45616</v>
      </c>
      <c r="C131" s="1" t="n">
        <v>46197</v>
      </c>
      <c r="D131" t="inlineStr">
        <is>
          <t>DALARNAS LÄN</t>
        </is>
      </c>
      <c r="E131" t="inlineStr">
        <is>
          <t>FALUN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HYPERLINK("https://klasma.github.io/Logging_2080/artfynd/A 54134-2024 artfynd.xlsx", "A 54134-2024")</f>
        <v/>
      </c>
      <c r="T131">
        <f>HYPERLINK("https://klasma.github.io/Logging_2080/kartor/A 54134-2024 karta.png", "A 54134-2024")</f>
        <v/>
      </c>
      <c r="V131">
        <f>HYPERLINK("https://klasma.github.io/Logging_2080/klagomål/A 54134-2024 FSC-klagomål.docx", "A 54134-2024")</f>
        <v/>
      </c>
      <c r="W131">
        <f>HYPERLINK("https://klasma.github.io/Logging_2080/klagomålsmail/A 54134-2024 FSC-klagomål mail.docx", "A 54134-2024")</f>
        <v/>
      </c>
      <c r="X131">
        <f>HYPERLINK("https://klasma.github.io/Logging_2080/tillsyn/A 54134-2024 tillsynsbegäran.docx", "A 54134-2024")</f>
        <v/>
      </c>
      <c r="Y131">
        <f>HYPERLINK("https://klasma.github.io/Logging_2080/tillsynsmail/A 54134-2024 tillsynsbegäran mail.docx", "A 54134-2024")</f>
        <v/>
      </c>
    </row>
    <row r="132" ht="15" customHeight="1">
      <c r="A132" t="inlineStr">
        <is>
          <t>A 20419-2026</t>
        </is>
      </c>
      <c r="B132" s="1" t="n">
        <v>46140</v>
      </c>
      <c r="C132" s="1" t="n">
        <v>46197</v>
      </c>
      <c r="D132" t="inlineStr">
        <is>
          <t>DALARNAS LÄN</t>
        </is>
      </c>
      <c r="E132" t="inlineStr">
        <is>
          <t>FALUN</t>
        </is>
      </c>
      <c r="G132" t="n">
        <v>3.6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Mindre märgborre</t>
        </is>
      </c>
      <c r="S132">
        <f>HYPERLINK("https://klasma.github.io/Logging_2080/artfynd/A 20419-2026 artfynd.xlsx", "A 20419-2026")</f>
        <v/>
      </c>
      <c r="T132">
        <f>HYPERLINK("https://klasma.github.io/Logging_2080/kartor/A 20419-2026 karta.png", "A 20419-2026")</f>
        <v/>
      </c>
      <c r="V132">
        <f>HYPERLINK("https://klasma.github.io/Logging_2080/klagomål/A 20419-2026 FSC-klagomål.docx", "A 20419-2026")</f>
        <v/>
      </c>
      <c r="W132">
        <f>HYPERLINK("https://klasma.github.io/Logging_2080/klagomålsmail/A 20419-2026 FSC-klagomål mail.docx", "A 20419-2026")</f>
        <v/>
      </c>
      <c r="X132">
        <f>HYPERLINK("https://klasma.github.io/Logging_2080/tillsyn/A 20419-2026 tillsynsbegäran.docx", "A 20419-2026")</f>
        <v/>
      </c>
      <c r="Y132">
        <f>HYPERLINK("https://klasma.github.io/Logging_2080/tillsynsmail/A 20419-2026 tillsynsbegäran mail.docx", "A 20419-2026")</f>
        <v/>
      </c>
    </row>
    <row r="133" ht="15" customHeight="1">
      <c r="A133" t="inlineStr">
        <is>
          <t>A 43266-2023</t>
        </is>
      </c>
      <c r="B133" s="1" t="n">
        <v>45183</v>
      </c>
      <c r="C133" s="1" t="n">
        <v>46197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gräsfjäril</t>
        </is>
      </c>
      <c r="S133">
        <f>HYPERLINK("https://klasma.github.io/Logging_2080/artfynd/A 43266-2023 artfynd.xlsx", "A 43266-2023")</f>
        <v/>
      </c>
      <c r="T133">
        <f>HYPERLINK("https://klasma.github.io/Logging_2080/kartor/A 43266-2023 karta.png", "A 43266-2023")</f>
        <v/>
      </c>
      <c r="V133">
        <f>HYPERLINK("https://klasma.github.io/Logging_2080/klagomål/A 43266-2023 FSC-klagomål.docx", "A 43266-2023")</f>
        <v/>
      </c>
      <c r="W133">
        <f>HYPERLINK("https://klasma.github.io/Logging_2080/klagomålsmail/A 43266-2023 FSC-klagomål mail.docx", "A 43266-2023")</f>
        <v/>
      </c>
      <c r="X133">
        <f>HYPERLINK("https://klasma.github.io/Logging_2080/tillsyn/A 43266-2023 tillsynsbegäran.docx", "A 43266-2023")</f>
        <v/>
      </c>
      <c r="Y133">
        <f>HYPERLINK("https://klasma.github.io/Logging_2080/tillsynsmail/A 43266-2023 tillsynsbegäran mail.docx", "A 43266-2023")</f>
        <v/>
      </c>
    </row>
    <row r="134" ht="15" customHeight="1">
      <c r="A134" t="inlineStr">
        <is>
          <t>A 4393-2026</t>
        </is>
      </c>
      <c r="B134" s="1" t="n">
        <v>46045</v>
      </c>
      <c r="C134" s="1" t="n">
        <v>46197</v>
      </c>
      <c r="D134" t="inlineStr">
        <is>
          <t>DALARNAS LÄN</t>
        </is>
      </c>
      <c r="E134" t="inlineStr">
        <is>
          <t>FALUN</t>
        </is>
      </c>
      <c r="G134" t="n">
        <v>10.2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Järpe</t>
        </is>
      </c>
      <c r="S134">
        <f>HYPERLINK("https://klasma.github.io/Logging_2080/artfynd/A 4393-2026 artfynd.xlsx", "A 4393-2026")</f>
        <v/>
      </c>
      <c r="T134">
        <f>HYPERLINK("https://klasma.github.io/Logging_2080/kartor/A 4393-2026 karta.png", "A 4393-2026")</f>
        <v/>
      </c>
      <c r="V134">
        <f>HYPERLINK("https://klasma.github.io/Logging_2080/klagomål/A 4393-2026 FSC-klagomål.docx", "A 4393-2026")</f>
        <v/>
      </c>
      <c r="W134">
        <f>HYPERLINK("https://klasma.github.io/Logging_2080/klagomålsmail/A 4393-2026 FSC-klagomål mail.docx", "A 4393-2026")</f>
        <v/>
      </c>
      <c r="X134">
        <f>HYPERLINK("https://klasma.github.io/Logging_2080/tillsyn/A 4393-2026 tillsynsbegäran.docx", "A 4393-2026")</f>
        <v/>
      </c>
      <c r="Y134">
        <f>HYPERLINK("https://klasma.github.io/Logging_2080/tillsynsmail/A 4393-2026 tillsynsbegäran mail.docx", "A 4393-2026")</f>
        <v/>
      </c>
      <c r="Z134">
        <f>HYPERLINK("https://klasma.github.io/Logging_2080/fåglar/A 4393-2026 prioriterade fågelarter.docx", "A 4393-2026")</f>
        <v/>
      </c>
    </row>
    <row r="135" ht="15" customHeight="1">
      <c r="A135" t="inlineStr">
        <is>
          <t>A 11941-2026</t>
        </is>
      </c>
      <c r="B135" s="1" t="n">
        <v>46085</v>
      </c>
      <c r="C135" s="1" t="n">
        <v>46197</v>
      </c>
      <c r="D135" t="inlineStr">
        <is>
          <t>DALARNAS LÄN</t>
        </is>
      </c>
      <c r="E135" t="inlineStr">
        <is>
          <t>FALUN</t>
        </is>
      </c>
      <c r="G135" t="n">
        <v>8.1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Skogsödla</t>
        </is>
      </c>
      <c r="S135">
        <f>HYPERLINK("https://klasma.github.io/Logging_2080/artfynd/A 11941-2026 artfynd.xlsx", "A 11941-2026")</f>
        <v/>
      </c>
      <c r="T135">
        <f>HYPERLINK("https://klasma.github.io/Logging_2080/kartor/A 11941-2026 karta.png", "A 11941-2026")</f>
        <v/>
      </c>
      <c r="V135">
        <f>HYPERLINK("https://klasma.github.io/Logging_2080/klagomål/A 11941-2026 FSC-klagomål.docx", "A 11941-2026")</f>
        <v/>
      </c>
      <c r="W135">
        <f>HYPERLINK("https://klasma.github.io/Logging_2080/klagomålsmail/A 11941-2026 FSC-klagomål mail.docx", "A 11941-2026")</f>
        <v/>
      </c>
      <c r="X135">
        <f>HYPERLINK("https://klasma.github.io/Logging_2080/tillsyn/A 11941-2026 tillsynsbegäran.docx", "A 11941-2026")</f>
        <v/>
      </c>
      <c r="Y135">
        <f>HYPERLINK("https://klasma.github.io/Logging_2080/tillsynsmail/A 11941-2026 tillsynsbegäran mail.docx", "A 11941-2026")</f>
        <v/>
      </c>
    </row>
    <row r="136" ht="15" customHeight="1">
      <c r="A136" t="inlineStr">
        <is>
          <t>A 5764-2026</t>
        </is>
      </c>
      <c r="B136" s="1" t="n">
        <v>46051</v>
      </c>
      <c r="C136" s="1" t="n">
        <v>46197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HYPERLINK("https://klasma.github.io/Logging_2080/artfynd/A 5764-2026 artfynd.xlsx", "A 5764-2026")</f>
        <v/>
      </c>
      <c r="T136">
        <f>HYPERLINK("https://klasma.github.io/Logging_2080/kartor/A 5764-2026 karta.png", "A 5764-2026")</f>
        <v/>
      </c>
      <c r="V136">
        <f>HYPERLINK("https://klasma.github.io/Logging_2080/klagomål/A 5764-2026 FSC-klagomål.docx", "A 5764-2026")</f>
        <v/>
      </c>
      <c r="W136">
        <f>HYPERLINK("https://klasma.github.io/Logging_2080/klagomålsmail/A 5764-2026 FSC-klagomål mail.docx", "A 5764-2026")</f>
        <v/>
      </c>
      <c r="X136">
        <f>HYPERLINK("https://klasma.github.io/Logging_2080/tillsyn/A 5764-2026 tillsynsbegäran.docx", "A 5764-2026")</f>
        <v/>
      </c>
      <c r="Y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s="1" t="n">
        <v>46141</v>
      </c>
      <c r="C137" s="1" t="n">
        <v>46197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Grönsiska</t>
        </is>
      </c>
      <c r="S137">
        <f>HYPERLINK("https://klasma.github.io/Logging_2080/artfynd/A 20701-2026 artfynd.xlsx", "A 20701-2026")</f>
        <v/>
      </c>
      <c r="T137">
        <f>HYPERLINK("https://klasma.github.io/Logging_2080/kartor/A 20701-2026 karta.png", "A 20701-2026")</f>
        <v/>
      </c>
      <c r="V137">
        <f>HYPERLINK("https://klasma.github.io/Logging_2080/klagomål/A 20701-2026 FSC-klagomål.docx", "A 20701-2026")</f>
        <v/>
      </c>
      <c r="W137">
        <f>HYPERLINK("https://klasma.github.io/Logging_2080/klagomålsmail/A 20701-2026 FSC-klagomål mail.docx", "A 20701-2026")</f>
        <v/>
      </c>
      <c r="X137">
        <f>HYPERLINK("https://klasma.github.io/Logging_2080/tillsyn/A 20701-2026 tillsynsbegäran.docx", "A 20701-2026")</f>
        <v/>
      </c>
      <c r="Y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18067-2023</t>
        </is>
      </c>
      <c r="B138" s="1" t="n">
        <v>45040</v>
      </c>
      <c r="C138" s="1" t="n">
        <v>46197</v>
      </c>
      <c r="D138" t="inlineStr">
        <is>
          <t>DALARNAS LÄN</t>
        </is>
      </c>
      <c r="E138" t="inlineStr">
        <is>
          <t>FALUN</t>
        </is>
      </c>
      <c r="G138" t="n">
        <v>7.7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Ögonpyrola</t>
        </is>
      </c>
      <c r="S138">
        <f>HYPERLINK("https://klasma.github.io/Logging_2080/artfynd/A 18067-2023 artfynd.xlsx", "A 18067-2023")</f>
        <v/>
      </c>
      <c r="T138">
        <f>HYPERLINK("https://klasma.github.io/Logging_2080/kartor/A 18067-2023 karta.png", "A 18067-2023")</f>
        <v/>
      </c>
      <c r="V138">
        <f>HYPERLINK("https://klasma.github.io/Logging_2080/klagomål/A 18067-2023 FSC-klagomål.docx", "A 18067-2023")</f>
        <v/>
      </c>
      <c r="W138">
        <f>HYPERLINK("https://klasma.github.io/Logging_2080/klagomålsmail/A 18067-2023 FSC-klagomål mail.docx", "A 18067-2023")</f>
        <v/>
      </c>
      <c r="X138">
        <f>HYPERLINK("https://klasma.github.io/Logging_2080/tillsyn/A 18067-2023 tillsynsbegäran.docx", "A 18067-2023")</f>
        <v/>
      </c>
      <c r="Y138">
        <f>HYPERLINK("https://klasma.github.io/Logging_2080/tillsynsmail/A 18067-2023 tillsynsbegäran mail.docx", "A 18067-2023")</f>
        <v/>
      </c>
    </row>
    <row r="139" ht="15" customHeight="1">
      <c r="A139" t="inlineStr">
        <is>
          <t>A 27316-2026</t>
        </is>
      </c>
      <c r="B139" s="1" t="n">
        <v>46188</v>
      </c>
      <c r="C139" s="1" t="n">
        <v>46197</v>
      </c>
      <c r="D139" t="inlineStr">
        <is>
          <t>DALARNAS LÄN</t>
        </is>
      </c>
      <c r="E139" t="inlineStr">
        <is>
          <t>FALUN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Garnlav</t>
        </is>
      </c>
      <c r="S139">
        <f>HYPERLINK("https://klasma.github.io/Logging_2080/artfynd/A 27316-2026 artfynd.xlsx", "A 27316-2026")</f>
        <v/>
      </c>
      <c r="T139">
        <f>HYPERLINK("https://klasma.github.io/Logging_2080/kartor/A 27316-2026 karta.png", "A 27316-2026")</f>
        <v/>
      </c>
      <c r="V139">
        <f>HYPERLINK("https://klasma.github.io/Logging_2080/klagomål/A 27316-2026 FSC-klagomål.docx", "A 27316-2026")</f>
        <v/>
      </c>
      <c r="W139">
        <f>HYPERLINK("https://klasma.github.io/Logging_2080/klagomålsmail/A 27316-2026 FSC-klagomål mail.docx", "A 27316-2026")</f>
        <v/>
      </c>
      <c r="X139">
        <f>HYPERLINK("https://klasma.github.io/Logging_2080/tillsyn/A 27316-2026 tillsynsbegäran.docx", "A 27316-2026")</f>
        <v/>
      </c>
      <c r="Y139">
        <f>HYPERLINK("https://klasma.github.io/Logging_2080/tillsynsmail/A 27316-2026 tillsynsbegäran mail.docx", "A 27316-2026")</f>
        <v/>
      </c>
    </row>
    <row r="140" ht="15" customHeight="1">
      <c r="A140" t="inlineStr">
        <is>
          <t>A 27263-2026</t>
        </is>
      </c>
      <c r="B140" s="1" t="n">
        <v>46188</v>
      </c>
      <c r="C140" s="1" t="n">
        <v>46197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HYPERLINK("https://klasma.github.io/Logging_2080/artfynd/A 27263-2026 artfynd.xlsx", "A 27263-2026")</f>
        <v/>
      </c>
      <c r="T140">
        <f>HYPERLINK("https://klasma.github.io/Logging_2080/kartor/A 27263-2026 karta.png", "A 27263-2026")</f>
        <v/>
      </c>
      <c r="V140">
        <f>HYPERLINK("https://klasma.github.io/Logging_2080/klagomål/A 27263-2026 FSC-klagomål.docx", "A 27263-2026")</f>
        <v/>
      </c>
      <c r="W140">
        <f>HYPERLINK("https://klasma.github.io/Logging_2080/klagomålsmail/A 27263-2026 FSC-klagomål mail.docx", "A 27263-2026")</f>
        <v/>
      </c>
      <c r="X140">
        <f>HYPERLINK("https://klasma.github.io/Logging_2080/tillsyn/A 27263-2026 tillsynsbegäran.docx", "A 27263-2026")</f>
        <v/>
      </c>
      <c r="Y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27627-2026</t>
        </is>
      </c>
      <c r="B141" s="1" t="n">
        <v>46190</v>
      </c>
      <c r="C141" s="1" t="n">
        <v>46197</v>
      </c>
      <c r="D141" t="inlineStr">
        <is>
          <t>DALARNAS LÄN</t>
        </is>
      </c>
      <c r="E141" t="inlineStr">
        <is>
          <t>FALUN</t>
        </is>
      </c>
      <c r="G141" t="n">
        <v>1.7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HYPERLINK("https://klasma.github.io/Logging_2080/artfynd/A 27627-2026 artfynd.xlsx", "A 27627-2026")</f>
        <v/>
      </c>
      <c r="T141">
        <f>HYPERLINK("https://klasma.github.io/Logging_2080/kartor/A 27627-2026 karta.png", "A 27627-2026")</f>
        <v/>
      </c>
      <c r="U141">
        <f>HYPERLINK("https://klasma.github.io/Logging_2080/knärot/A 27627-2026 karta knärot.png", "A 27627-2026")</f>
        <v/>
      </c>
      <c r="V141">
        <f>HYPERLINK("https://klasma.github.io/Logging_2080/klagomål/A 27627-2026 FSC-klagomål.docx", "A 27627-2026")</f>
        <v/>
      </c>
      <c r="W141">
        <f>HYPERLINK("https://klasma.github.io/Logging_2080/klagomålsmail/A 27627-2026 FSC-klagomål mail.docx", "A 27627-2026")</f>
        <v/>
      </c>
      <c r="X141">
        <f>HYPERLINK("https://klasma.github.io/Logging_2080/tillsyn/A 27627-2026 tillsynsbegäran.docx", "A 27627-2026")</f>
        <v/>
      </c>
      <c r="Y141">
        <f>HYPERLINK("https://klasma.github.io/Logging_2080/tillsynsmail/A 27627-2026 tillsynsbegäran mail.docx", "A 27627-2026")</f>
        <v/>
      </c>
    </row>
    <row r="142" ht="15" customHeight="1">
      <c r="A142" t="inlineStr">
        <is>
          <t>A 27831-2026</t>
        </is>
      </c>
      <c r="B142" s="1" t="n">
        <v>46191</v>
      </c>
      <c r="C142" s="1" t="n">
        <v>46197</v>
      </c>
      <c r="D142" t="inlineStr">
        <is>
          <t>DALARNAS LÄN</t>
        </is>
      </c>
      <c r="E142" t="inlineStr">
        <is>
          <t>FALUN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HYPERLINK("https://klasma.github.io/Logging_2080/artfynd/A 27831-2026 artfynd.xlsx", "A 27831-2026")</f>
        <v/>
      </c>
      <c r="T142">
        <f>HYPERLINK("https://klasma.github.io/Logging_2080/kartor/A 27831-2026 karta.png", "A 27831-2026")</f>
        <v/>
      </c>
      <c r="V142">
        <f>HYPERLINK("https://klasma.github.io/Logging_2080/klagomål/A 27831-2026 FSC-klagomål.docx", "A 27831-2026")</f>
        <v/>
      </c>
      <c r="W142">
        <f>HYPERLINK("https://klasma.github.io/Logging_2080/klagomålsmail/A 27831-2026 FSC-klagomål mail.docx", "A 27831-2026")</f>
        <v/>
      </c>
      <c r="X142">
        <f>HYPERLINK("https://klasma.github.io/Logging_2080/tillsyn/A 27831-2026 tillsynsbegäran.docx", "A 27831-2026")</f>
        <v/>
      </c>
      <c r="Y142">
        <f>HYPERLINK("https://klasma.github.io/Logging_2080/tillsynsmail/A 27831-2026 tillsynsbegäran mail.docx", "A 27831-2026")</f>
        <v/>
      </c>
    </row>
    <row r="143" ht="15" customHeight="1">
      <c r="A143" t="inlineStr">
        <is>
          <t>A 19727-2026</t>
        </is>
      </c>
      <c r="B143" s="1" t="n">
        <v>46135</v>
      </c>
      <c r="C143" s="1" t="n">
        <v>46197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Flodpärlmussla</t>
        </is>
      </c>
      <c r="S143">
        <f>HYPERLINK("https://klasma.github.io/Logging_2080/artfynd/A 19727-2026 artfynd.xlsx", "A 19727-2026")</f>
        <v/>
      </c>
      <c r="T143">
        <f>HYPERLINK("https://klasma.github.io/Logging_2080/kartor/A 19727-2026 karta.png", "A 19727-2026")</f>
        <v/>
      </c>
      <c r="V143">
        <f>HYPERLINK("https://klasma.github.io/Logging_2080/klagomål/A 19727-2026 FSC-klagomål.docx", "A 19727-2026")</f>
        <v/>
      </c>
      <c r="W143">
        <f>HYPERLINK("https://klasma.github.io/Logging_2080/klagomålsmail/A 19727-2026 FSC-klagomål mail.docx", "A 19727-2026")</f>
        <v/>
      </c>
      <c r="X143">
        <f>HYPERLINK("https://klasma.github.io/Logging_2080/tillsyn/A 19727-2026 tillsynsbegäran.docx", "A 19727-2026")</f>
        <v/>
      </c>
      <c r="Y143">
        <f>HYPERLINK("https://klasma.github.io/Logging_2080/tillsynsmail/A 19727-2026 tillsynsbegäran mail.docx", "A 19727-2026")</f>
        <v/>
      </c>
    </row>
    <row r="144" ht="15" customHeight="1">
      <c r="A144" t="inlineStr">
        <is>
          <t>A 13830-2026</t>
        </is>
      </c>
      <c r="B144" s="1" t="n">
        <v>46098</v>
      </c>
      <c r="C144" s="1" t="n">
        <v>46197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40.2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HYPERLINK("https://klasma.github.io/Logging_2080/artfynd/A 13830-2026 artfynd.xlsx", "A 13830-2026")</f>
        <v/>
      </c>
      <c r="T144">
        <f>HYPERLINK("https://klasma.github.io/Logging_2080/kartor/A 13830-2026 karta.png", "A 13830-2026")</f>
        <v/>
      </c>
      <c r="V144">
        <f>HYPERLINK("https://klasma.github.io/Logging_2080/klagomål/A 13830-2026 FSC-klagomål.docx", "A 13830-2026")</f>
        <v/>
      </c>
      <c r="W144">
        <f>HYPERLINK("https://klasma.github.io/Logging_2080/klagomålsmail/A 13830-2026 FSC-klagomål mail.docx", "A 13830-2026")</f>
        <v/>
      </c>
      <c r="X144">
        <f>HYPERLINK("https://klasma.github.io/Logging_2080/tillsyn/A 13830-2026 tillsynsbegäran.docx", "A 13830-2026")</f>
        <v/>
      </c>
      <c r="Y144">
        <f>HYPERLINK("https://klasma.github.io/Logging_2080/tillsynsmail/A 13830-2026 tillsynsbegäran mail.docx", "A 13830-2026")</f>
        <v/>
      </c>
      <c r="Z144">
        <f>HYPERLINK("https://klasma.github.io/Logging_2080/fåglar/A 13830-2026 prioriterade fågelarter.docx", "A 13830-2026")</f>
        <v/>
      </c>
    </row>
    <row r="145" ht="15" customHeight="1">
      <c r="A145" t="inlineStr">
        <is>
          <t>A 22345-2026</t>
        </is>
      </c>
      <c r="B145" s="1" t="n">
        <v>46154</v>
      </c>
      <c r="C145" s="1" t="n">
        <v>46197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HYPERLINK("https://klasma.github.io/Logging_2080/artfynd/A 22345-2026 artfynd.xlsx", "A 22345-2026")</f>
        <v/>
      </c>
      <c r="T145">
        <f>HYPERLINK("https://klasma.github.io/Logging_2080/kartor/A 22345-2026 karta.png", "A 22345-2026")</f>
        <v/>
      </c>
      <c r="V145">
        <f>HYPERLINK("https://klasma.github.io/Logging_2080/klagomål/A 22345-2026 FSC-klagomål.docx", "A 22345-2026")</f>
        <v/>
      </c>
      <c r="W145">
        <f>HYPERLINK("https://klasma.github.io/Logging_2080/klagomålsmail/A 22345-2026 FSC-klagomål mail.docx", "A 22345-2026")</f>
        <v/>
      </c>
      <c r="X145">
        <f>HYPERLINK("https://klasma.github.io/Logging_2080/tillsyn/A 22345-2026 tillsynsbegäran.docx", "A 22345-2026")</f>
        <v/>
      </c>
      <c r="Y145">
        <f>HYPERLINK("https://klasma.github.io/Logging_2080/tillsynsmail/A 22345-2026 tillsynsbegäran mail.docx", "A 22345-2026")</f>
        <v/>
      </c>
    </row>
    <row r="146" ht="15" customHeight="1">
      <c r="A146" t="inlineStr">
        <is>
          <t>A 28096-2026</t>
        </is>
      </c>
      <c r="B146" s="1" t="n">
        <v>46195</v>
      </c>
      <c r="C146" s="1" t="n">
        <v>46197</v>
      </c>
      <c r="D146" t="inlineStr">
        <is>
          <t>DALARNAS LÄN</t>
        </is>
      </c>
      <c r="E146" t="inlineStr">
        <is>
          <t>FALUN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Garnlav</t>
        </is>
      </c>
      <c r="S146">
        <f>HYPERLINK("https://klasma.github.io/Logging_2080/artfynd/A 28096-2026 artfynd.xlsx", "A 28096-2026")</f>
        <v/>
      </c>
      <c r="T146">
        <f>HYPERLINK("https://klasma.github.io/Logging_2080/kartor/A 28096-2026 karta.png", "A 28096-2026")</f>
        <v/>
      </c>
      <c r="V146">
        <f>HYPERLINK("https://klasma.github.io/Logging_2080/klagomål/A 28096-2026 FSC-klagomål.docx", "A 28096-2026")</f>
        <v/>
      </c>
      <c r="W146">
        <f>HYPERLINK("https://klasma.github.io/Logging_2080/klagomålsmail/A 28096-2026 FSC-klagomål mail.docx", "A 28096-2026")</f>
        <v/>
      </c>
      <c r="X146">
        <f>HYPERLINK("https://klasma.github.io/Logging_2080/tillsyn/A 28096-2026 tillsynsbegäran.docx", "A 28096-2026")</f>
        <v/>
      </c>
      <c r="Y146">
        <f>HYPERLINK("https://klasma.github.io/Logging_2080/tillsynsmail/A 28096-2026 tillsynsbegäran mail.docx", "A 28096-2026")</f>
        <v/>
      </c>
    </row>
    <row r="147" ht="15" customHeight="1">
      <c r="A147" t="inlineStr">
        <is>
          <t>A 20186-2024</t>
        </is>
      </c>
      <c r="B147" s="1" t="n">
        <v>45434</v>
      </c>
      <c r="C147" s="1" t="n">
        <v>46197</v>
      </c>
      <c r="D147" t="inlineStr">
        <is>
          <t>DALARNAS LÄN</t>
        </is>
      </c>
      <c r="E147" t="inlineStr">
        <is>
          <t>FALUN</t>
        </is>
      </c>
      <c r="G147" t="n">
        <v>0.9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HYPERLINK("https://klasma.github.io/Logging_2080/artfynd/A 20186-2024 artfynd.xlsx", "A 20186-2024")</f>
        <v/>
      </c>
      <c r="T147">
        <f>HYPERLINK("https://klasma.github.io/Logging_2080/kartor/A 20186-2024 karta.png", "A 20186-2024")</f>
        <v/>
      </c>
      <c r="U147">
        <f>HYPERLINK("https://klasma.github.io/Logging_2080/knärot/A 20186-2024 karta knärot.png", "A 20186-2024")</f>
        <v/>
      </c>
      <c r="V147">
        <f>HYPERLINK("https://klasma.github.io/Logging_2080/klagomål/A 20186-2024 FSC-klagomål.docx", "A 20186-2024")</f>
        <v/>
      </c>
      <c r="W147">
        <f>HYPERLINK("https://klasma.github.io/Logging_2080/klagomålsmail/A 20186-2024 FSC-klagomål mail.docx", "A 20186-2024")</f>
        <v/>
      </c>
      <c r="X147">
        <f>HYPERLINK("https://klasma.github.io/Logging_2080/tillsyn/A 20186-2024 tillsynsbegäran.docx", "A 20186-2024")</f>
        <v/>
      </c>
      <c r="Y147">
        <f>HYPERLINK("https://klasma.github.io/Logging_2080/tillsynsmail/A 20186-2024 tillsynsbegäran mail.docx", "A 20186-2024")</f>
        <v/>
      </c>
    </row>
    <row r="148" ht="15" customHeight="1">
      <c r="A148" t="inlineStr">
        <is>
          <t>A 48693-2023</t>
        </is>
      </c>
      <c r="B148" s="1" t="n">
        <v>45208</v>
      </c>
      <c r="C148" s="1" t="n">
        <v>46197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HYPERLINK("https://klasma.github.io/Logging_2080/artfynd/A 48693-2023 artfynd.xlsx", "A 48693-2023")</f>
        <v/>
      </c>
      <c r="T148">
        <f>HYPERLINK("https://klasma.github.io/Logging_2080/kartor/A 48693-2023 karta.png", "A 48693-2023")</f>
        <v/>
      </c>
      <c r="V148">
        <f>HYPERLINK("https://klasma.github.io/Logging_2080/klagomål/A 48693-2023 FSC-klagomål.docx", "A 48693-2023")</f>
        <v/>
      </c>
      <c r="W148">
        <f>HYPERLINK("https://klasma.github.io/Logging_2080/klagomålsmail/A 48693-2023 FSC-klagomål mail.docx", "A 48693-2023")</f>
        <v/>
      </c>
      <c r="X148">
        <f>HYPERLINK("https://klasma.github.io/Logging_2080/tillsyn/A 48693-2023 tillsynsbegäran.docx", "A 48693-2023")</f>
        <v/>
      </c>
      <c r="Y148">
        <f>HYPERLINK("https://klasma.github.io/Logging_2080/tillsynsmail/A 48693-2023 tillsynsbegäran mail.docx", "A 48693-2023")</f>
        <v/>
      </c>
    </row>
    <row r="149" ht="15" customHeight="1">
      <c r="A149" t="inlineStr">
        <is>
          <t>A 46963-2023</t>
        </is>
      </c>
      <c r="B149" s="1" t="n">
        <v>45201</v>
      </c>
      <c r="C149" s="1" t="n">
        <v>46197</v>
      </c>
      <c r="D149" t="inlineStr">
        <is>
          <t>DALARNAS LÄN</t>
        </is>
      </c>
      <c r="E149" t="inlineStr">
        <is>
          <t>FALUN</t>
        </is>
      </c>
      <c r="G149" t="n">
        <v>13.6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HYPERLINK("https://klasma.github.io/Logging_2080/artfynd/A 46963-2023 artfynd.xlsx", "A 46963-2023")</f>
        <v/>
      </c>
      <c r="T149">
        <f>HYPERLINK("https://klasma.github.io/Logging_2080/kartor/A 46963-2023 karta.png", "A 46963-2023")</f>
        <v/>
      </c>
      <c r="V149">
        <f>HYPERLINK("https://klasma.github.io/Logging_2080/klagomål/A 46963-2023 FSC-klagomål.docx", "A 46963-2023")</f>
        <v/>
      </c>
      <c r="W149">
        <f>HYPERLINK("https://klasma.github.io/Logging_2080/klagomålsmail/A 46963-2023 FSC-klagomål mail.docx", "A 46963-2023")</f>
        <v/>
      </c>
      <c r="X149">
        <f>HYPERLINK("https://klasma.github.io/Logging_2080/tillsyn/A 46963-2023 tillsynsbegäran.docx", "A 46963-2023")</f>
        <v/>
      </c>
      <c r="Y149">
        <f>HYPERLINK("https://klasma.github.io/Logging_2080/tillsynsmail/A 46963-2023 tillsynsbegäran mail.docx", "A 46963-2023")</f>
        <v/>
      </c>
      <c r="Z149">
        <f>HYPERLINK("https://klasma.github.io/Logging_2080/fåglar/A 46963-2023 prioriterade fågelarter.docx", "A 46963-2023")</f>
        <v/>
      </c>
    </row>
    <row r="150" ht="15" customHeight="1">
      <c r="A150" t="inlineStr">
        <is>
          <t>A 6936-2024</t>
        </is>
      </c>
      <c r="B150" s="1" t="n">
        <v>45343</v>
      </c>
      <c r="C150" s="1" t="n">
        <v>46197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HYPERLINK("https://klasma.github.io/Logging_2080/artfynd/A 6936-2024 artfynd.xlsx", "A 6936-2024")</f>
        <v/>
      </c>
      <c r="T150">
        <f>HYPERLINK("https://klasma.github.io/Logging_2080/kartor/A 6936-2024 karta.png", "A 6936-2024")</f>
        <v/>
      </c>
      <c r="V150">
        <f>HYPERLINK("https://klasma.github.io/Logging_2080/klagomål/A 6936-2024 FSC-klagomål.docx", "A 6936-2024")</f>
        <v/>
      </c>
      <c r="W150">
        <f>HYPERLINK("https://klasma.github.io/Logging_2080/klagomålsmail/A 6936-2024 FSC-klagomål mail.docx", "A 6936-2024")</f>
        <v/>
      </c>
      <c r="X150">
        <f>HYPERLINK("https://klasma.github.io/Logging_2080/tillsyn/A 6936-2024 tillsynsbegäran.docx", "A 6936-2024")</f>
        <v/>
      </c>
      <c r="Y150">
        <f>HYPERLINK("https://klasma.github.io/Logging_2080/tillsynsmail/A 6936-2024 tillsynsbegäran mail.docx", "A 6936-2024")</f>
        <v/>
      </c>
      <c r="Z150">
        <f>HYPERLINK("https://klasma.github.io/Logging_2080/fåglar/A 6936-2024 prioriterade fågelarter.docx", "A 6936-2024")</f>
        <v/>
      </c>
    </row>
    <row r="151" ht="15" customHeight="1">
      <c r="A151" t="inlineStr">
        <is>
          <t>A 64224-2021</t>
        </is>
      </c>
      <c r="B151" s="1" t="n">
        <v>44510</v>
      </c>
      <c r="C151" s="1" t="n">
        <v>46197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11593-2022</t>
        </is>
      </c>
      <c r="B152" s="1" t="n">
        <v>44631</v>
      </c>
      <c r="C152" s="1" t="n">
        <v>46197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70456-2021</t>
        </is>
      </c>
      <c r="B153" s="1" t="n">
        <v>44536</v>
      </c>
      <c r="C153" s="1" t="n">
        <v>46197</v>
      </c>
      <c r="D153" t="inlineStr">
        <is>
          <t>DALARNAS LÄN</t>
        </is>
      </c>
      <c r="E153" t="inlineStr">
        <is>
          <t>FALUN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3965-2022</t>
        </is>
      </c>
      <c r="B154" s="1" t="n">
        <v>44587</v>
      </c>
      <c r="C154" s="1" t="n">
        <v>46197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15936-2022</t>
        </is>
      </c>
      <c r="B155" s="1" t="n">
        <v>44664</v>
      </c>
      <c r="C155" s="1" t="n">
        <v>46197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53982-2021</t>
        </is>
      </c>
      <c r="B156" s="1" t="n">
        <v>44470</v>
      </c>
      <c r="C156" s="1" t="n">
        <v>46197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13536-2022</t>
        </is>
      </c>
      <c r="B157" s="1" t="n">
        <v>44648</v>
      </c>
      <c r="C157" s="1" t="n">
        <v>46197</v>
      </c>
      <c r="D157" t="inlineStr">
        <is>
          <t>DALARNAS LÄN</t>
        </is>
      </c>
      <c r="E157" t="inlineStr">
        <is>
          <t>FALUN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13538-2022</t>
        </is>
      </c>
      <c r="B158" s="1" t="n">
        <v>44648</v>
      </c>
      <c r="C158" s="1" t="n">
        <v>46197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31623-2022</t>
        </is>
      </c>
      <c r="B159" s="1" t="n">
        <v>44775</v>
      </c>
      <c r="C159" s="1" t="n">
        <v>46197</v>
      </c>
      <c r="D159" t="inlineStr">
        <is>
          <t>DALARNAS LÄN</t>
        </is>
      </c>
      <c r="E159" t="inlineStr">
        <is>
          <t>FALUN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27501-2022</t>
        </is>
      </c>
      <c r="B160" s="1" t="n">
        <v>44742</v>
      </c>
      <c r="C160" s="1" t="n">
        <v>46197</v>
      </c>
      <c r="D160" t="inlineStr">
        <is>
          <t>DALARNAS LÄN</t>
        </is>
      </c>
      <c r="E160" t="inlineStr">
        <is>
          <t>FALUN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29878-2022</t>
        </is>
      </c>
      <c r="B161" s="1" t="n">
        <v>44755</v>
      </c>
      <c r="C161" s="1" t="n">
        <v>46197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41436-2022</t>
        </is>
      </c>
      <c r="B162" s="1" t="n">
        <v>44826</v>
      </c>
      <c r="C162" s="1" t="n">
        <v>46197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49152-2022</t>
        </is>
      </c>
      <c r="B163" s="1" t="n">
        <v>44860</v>
      </c>
      <c r="C163" s="1" t="n">
        <v>46197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38454-2021</t>
        </is>
      </c>
      <c r="B164" s="1" t="n">
        <v>44407</v>
      </c>
      <c r="C164" s="1" t="n">
        <v>46197</v>
      </c>
      <c r="D164" t="inlineStr">
        <is>
          <t>DALARNAS LÄN</t>
        </is>
      </c>
      <c r="E164" t="inlineStr">
        <is>
          <t>FALUN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46259-2022</t>
        </is>
      </c>
      <c r="B165" s="1" t="n">
        <v>44847</v>
      </c>
      <c r="C165" s="1" t="n">
        <v>46197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12049-2022</t>
        </is>
      </c>
      <c r="B166" s="1" t="n">
        <v>44636</v>
      </c>
      <c r="C166" s="1" t="n">
        <v>46197</v>
      </c>
      <c r="D166" t="inlineStr">
        <is>
          <t>DALARNAS LÄN</t>
        </is>
      </c>
      <c r="E166" t="inlineStr">
        <is>
          <t>FALUN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55567-2021</t>
        </is>
      </c>
      <c r="B167" s="1" t="n">
        <v>44475</v>
      </c>
      <c r="C167" s="1" t="n">
        <v>46197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52381-2022</t>
        </is>
      </c>
      <c r="B168" s="1" t="n">
        <v>44874</v>
      </c>
      <c r="C168" s="1" t="n">
        <v>46197</v>
      </c>
      <c r="D168" t="inlineStr">
        <is>
          <t>DALARNAS LÄN</t>
        </is>
      </c>
      <c r="E168" t="inlineStr">
        <is>
          <t>FALUN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41593-2022</t>
        </is>
      </c>
      <c r="B169" s="1" t="n">
        <v>44827</v>
      </c>
      <c r="C169" s="1" t="n">
        <v>46197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883-2022</t>
        </is>
      </c>
      <c r="B170" s="1" t="n">
        <v>44571</v>
      </c>
      <c r="C170" s="1" t="n">
        <v>46197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13531-2022</t>
        </is>
      </c>
      <c r="B171" s="1" t="n">
        <v>44648</v>
      </c>
      <c r="C171" s="1" t="n">
        <v>46197</v>
      </c>
      <c r="D171" t="inlineStr">
        <is>
          <t>DALARNAS LÄN</t>
        </is>
      </c>
      <c r="E171" t="inlineStr">
        <is>
          <t>FALUN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13569-2022</t>
        </is>
      </c>
      <c r="B172" s="1" t="n">
        <v>44648</v>
      </c>
      <c r="C172" s="1" t="n">
        <v>46197</v>
      </c>
      <c r="D172" t="inlineStr">
        <is>
          <t>DALARNAS LÄN</t>
        </is>
      </c>
      <c r="E172" t="inlineStr">
        <is>
          <t>FALUN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52671-2021</t>
        </is>
      </c>
      <c r="B173" s="1" t="n">
        <v>44466</v>
      </c>
      <c r="C173" s="1" t="n">
        <v>46197</v>
      </c>
      <c r="D173" t="inlineStr">
        <is>
          <t>DALARNAS LÄN</t>
        </is>
      </c>
      <c r="E173" t="inlineStr">
        <is>
          <t>FALUN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38329-2022</t>
        </is>
      </c>
      <c r="B174" s="1" t="n">
        <v>44812</v>
      </c>
      <c r="C174" s="1" t="n">
        <v>46197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68515-2021</t>
        </is>
      </c>
      <c r="B175" s="1" t="n">
        <v>44529</v>
      </c>
      <c r="C175" s="1" t="n">
        <v>46197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558-2022</t>
        </is>
      </c>
      <c r="B176" s="1" t="n">
        <v>44566</v>
      </c>
      <c r="C176" s="1" t="n">
        <v>46197</v>
      </c>
      <c r="D176" t="inlineStr">
        <is>
          <t>DALARNAS LÄN</t>
        </is>
      </c>
      <c r="E176" t="inlineStr">
        <is>
          <t>FALUN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53540-2022</t>
        </is>
      </c>
      <c r="B177" s="1" t="n">
        <v>44879</v>
      </c>
      <c r="C177" s="1" t="n">
        <v>46197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4314-2022</t>
        </is>
      </c>
      <c r="B178" s="1" t="n">
        <v>44588</v>
      </c>
      <c r="C178" s="1" t="n">
        <v>46197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4249-2022</t>
        </is>
      </c>
      <c r="B179" s="1" t="n">
        <v>44588</v>
      </c>
      <c r="C179" s="1" t="n">
        <v>46197</v>
      </c>
      <c r="D179" t="inlineStr">
        <is>
          <t>DALARNAS LÄN</t>
        </is>
      </c>
      <c r="E179" t="inlineStr">
        <is>
          <t>FALUN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38561-2021</t>
        </is>
      </c>
      <c r="B180" s="1" t="n">
        <v>44407</v>
      </c>
      <c r="C180" s="1" t="n">
        <v>46197</v>
      </c>
      <c r="D180" t="inlineStr">
        <is>
          <t>DALARNAS LÄN</t>
        </is>
      </c>
      <c r="E180" t="inlineStr">
        <is>
          <t>FALUN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42135-2022</t>
        </is>
      </c>
      <c r="B181" s="1" t="n">
        <v>44830</v>
      </c>
      <c r="C181" s="1" t="n">
        <v>46197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15250-2022</t>
        </is>
      </c>
      <c r="B182" s="1" t="n">
        <v>44658</v>
      </c>
      <c r="C182" s="1" t="n">
        <v>46197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52633-2021</t>
        </is>
      </c>
      <c r="B183" s="1" t="n">
        <v>44466</v>
      </c>
      <c r="C183" s="1" t="n">
        <v>46197</v>
      </c>
      <c r="D183" t="inlineStr">
        <is>
          <t>DALARNAS LÄN</t>
        </is>
      </c>
      <c r="E183" t="inlineStr">
        <is>
          <t>FALUN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52619-2021</t>
        </is>
      </c>
      <c r="B184" s="1" t="n">
        <v>44466</v>
      </c>
      <c r="C184" s="1" t="n">
        <v>46197</v>
      </c>
      <c r="D184" t="inlineStr">
        <is>
          <t>DALARNAS LÄN</t>
        </is>
      </c>
      <c r="E184" t="inlineStr">
        <is>
          <t>FALUN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66006-2021</t>
        </is>
      </c>
      <c r="B185" s="1" t="n">
        <v>44517</v>
      </c>
      <c r="C185" s="1" t="n">
        <v>46197</v>
      </c>
      <c r="D185" t="inlineStr">
        <is>
          <t>DALARNAS LÄN</t>
        </is>
      </c>
      <c r="E185" t="inlineStr">
        <is>
          <t>FALUN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40374-2021</t>
        </is>
      </c>
      <c r="B186" s="1" t="n">
        <v>44419</v>
      </c>
      <c r="C186" s="1" t="n">
        <v>46197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73804-2021</t>
        </is>
      </c>
      <c r="B187" s="1" t="n">
        <v>44552</v>
      </c>
      <c r="C187" s="1" t="n">
        <v>46197</v>
      </c>
      <c r="D187" t="inlineStr">
        <is>
          <t>DALARNAS LÄN</t>
        </is>
      </c>
      <c r="E187" t="inlineStr">
        <is>
          <t>FALUN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13557-2022</t>
        </is>
      </c>
      <c r="B188" s="1" t="n">
        <v>44648</v>
      </c>
      <c r="C188" s="1" t="n">
        <v>46197</v>
      </c>
      <c r="D188" t="inlineStr">
        <is>
          <t>DALARNAS LÄN</t>
        </is>
      </c>
      <c r="E188" t="inlineStr">
        <is>
          <t>FALUN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13561-2022</t>
        </is>
      </c>
      <c r="B189" s="1" t="n">
        <v>44648</v>
      </c>
      <c r="C189" s="1" t="n">
        <v>46197</v>
      </c>
      <c r="D189" t="inlineStr">
        <is>
          <t>DALARNAS LÄN</t>
        </is>
      </c>
      <c r="E189" t="inlineStr">
        <is>
          <t>FALUN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13566-2022</t>
        </is>
      </c>
      <c r="B190" s="1" t="n">
        <v>44648</v>
      </c>
      <c r="C190" s="1" t="n">
        <v>46197</v>
      </c>
      <c r="D190" t="inlineStr">
        <is>
          <t>DALARNAS LÄN</t>
        </is>
      </c>
      <c r="E190" t="inlineStr">
        <is>
          <t>FALUN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40915-2021</t>
        </is>
      </c>
      <c r="B191" s="1" t="n">
        <v>44421</v>
      </c>
      <c r="C191" s="1" t="n">
        <v>46197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46239-2021</t>
        </is>
      </c>
      <c r="B192" s="1" t="n">
        <v>44442</v>
      </c>
      <c r="C192" s="1" t="n">
        <v>46197</v>
      </c>
      <c r="D192" t="inlineStr">
        <is>
          <t>DALARNAS LÄN</t>
        </is>
      </c>
      <c r="E192" t="inlineStr">
        <is>
          <t>FALUN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68590-2021</t>
        </is>
      </c>
      <c r="B193" s="1" t="n">
        <v>44529</v>
      </c>
      <c r="C193" s="1" t="n">
        <v>46197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36132-2021</t>
        </is>
      </c>
      <c r="B194" s="1" t="n">
        <v>44389</v>
      </c>
      <c r="C194" s="1" t="n">
        <v>46197</v>
      </c>
      <c r="D194" t="inlineStr">
        <is>
          <t>DALARNAS LÄN</t>
        </is>
      </c>
      <c r="E194" t="inlineStr">
        <is>
          <t>FALUN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34763-2021</t>
        </is>
      </c>
      <c r="B195" s="1" t="n">
        <v>44382</v>
      </c>
      <c r="C195" s="1" t="n">
        <v>46197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37291-2021</t>
        </is>
      </c>
      <c r="B196" s="1" t="n">
        <v>44397</v>
      </c>
      <c r="C196" s="1" t="n">
        <v>46197</v>
      </c>
      <c r="D196" t="inlineStr">
        <is>
          <t>DALARNAS LÄN</t>
        </is>
      </c>
      <c r="E196" t="inlineStr">
        <is>
          <t>FALUN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2686-2022</t>
        </is>
      </c>
      <c r="B197" s="1" t="n">
        <v>44580</v>
      </c>
      <c r="C197" s="1" t="n">
        <v>46197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37314-2022</t>
        </is>
      </c>
      <c r="B198" s="1" t="n">
        <v>44809</v>
      </c>
      <c r="C198" s="1" t="n">
        <v>46197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38512-2021</t>
        </is>
      </c>
      <c r="B199" s="1" t="n">
        <v>44407</v>
      </c>
      <c r="C199" s="1" t="n">
        <v>46197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56147-2022</t>
        </is>
      </c>
      <c r="B200" s="1" t="n">
        <v>44889</v>
      </c>
      <c r="C200" s="1" t="n">
        <v>46197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23626-2022</t>
        </is>
      </c>
      <c r="B201" s="1" t="n">
        <v>44721</v>
      </c>
      <c r="C201" s="1" t="n">
        <v>46197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34511-2022</t>
        </is>
      </c>
      <c r="B202" s="1" t="n">
        <v>44792</v>
      </c>
      <c r="C202" s="1" t="n">
        <v>46197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39233-2021</t>
        </is>
      </c>
      <c r="B203" s="1" t="n">
        <v>44413</v>
      </c>
      <c r="C203" s="1" t="n">
        <v>46197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21169-2022</t>
        </is>
      </c>
      <c r="B204" s="1" t="n">
        <v>44704</v>
      </c>
      <c r="C204" s="1" t="n">
        <v>46197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69013-2021</t>
        </is>
      </c>
      <c r="B205" s="1" t="n">
        <v>44530</v>
      </c>
      <c r="C205" s="1" t="n">
        <v>46197</v>
      </c>
      <c r="D205" t="inlineStr">
        <is>
          <t>DALARNAS LÄN</t>
        </is>
      </c>
      <c r="E205" t="inlineStr">
        <is>
          <t>FALUN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69780-2021</t>
        </is>
      </c>
      <c r="B206" s="1" t="n">
        <v>44532</v>
      </c>
      <c r="C206" s="1" t="n">
        <v>46197</v>
      </c>
      <c r="D206" t="inlineStr">
        <is>
          <t>DALARNAS LÄN</t>
        </is>
      </c>
      <c r="E206" t="inlineStr">
        <is>
          <t>FALUN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40135-2021</t>
        </is>
      </c>
      <c r="B207" s="1" t="n">
        <v>44418</v>
      </c>
      <c r="C207" s="1" t="n">
        <v>46197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66012-2021</t>
        </is>
      </c>
      <c r="B208" s="1" t="n">
        <v>44517</v>
      </c>
      <c r="C208" s="1" t="n">
        <v>46197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15929-2022</t>
        </is>
      </c>
      <c r="B209" s="1" t="n">
        <v>44664</v>
      </c>
      <c r="C209" s="1" t="n">
        <v>46197</v>
      </c>
      <c r="D209" t="inlineStr">
        <is>
          <t>DALARNAS LÄN</t>
        </is>
      </c>
      <c r="E209" t="inlineStr">
        <is>
          <t>FALUN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52134-2022</t>
        </is>
      </c>
      <c r="B210" s="1" t="n">
        <v>44873</v>
      </c>
      <c r="C210" s="1" t="n">
        <v>46197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4000-2022</t>
        </is>
      </c>
      <c r="B211" s="1" t="n">
        <v>44587</v>
      </c>
      <c r="C211" s="1" t="n">
        <v>46197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39824-2022</t>
        </is>
      </c>
      <c r="B212" s="1" t="n">
        <v>44819</v>
      </c>
      <c r="C212" s="1" t="n">
        <v>46197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4923-2024</t>
        </is>
      </c>
      <c r="B213" s="1" t="n">
        <v>45329</v>
      </c>
      <c r="C213" s="1" t="n">
        <v>46197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15999-2024</t>
        </is>
      </c>
      <c r="B214" s="1" t="n">
        <v>45405</v>
      </c>
      <c r="C214" s="1" t="n">
        <v>46197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19917-2023</t>
        </is>
      </c>
      <c r="B215" s="1" t="n">
        <v>45054</v>
      </c>
      <c r="C215" s="1" t="n">
        <v>46197</v>
      </c>
      <c r="D215" t="inlineStr">
        <is>
          <t>DALARNAS LÄN</t>
        </is>
      </c>
      <c r="E215" t="inlineStr">
        <is>
          <t>FALUN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43193-2024</t>
        </is>
      </c>
      <c r="B216" s="1" t="n">
        <v>45567</v>
      </c>
      <c r="C216" s="1" t="n">
        <v>46197</v>
      </c>
      <c r="D216" t="inlineStr">
        <is>
          <t>DALARNAS LÄN</t>
        </is>
      </c>
      <c r="E216" t="inlineStr">
        <is>
          <t>FALUN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42455-2022</t>
        </is>
      </c>
      <c r="B217" s="1" t="n">
        <v>44831</v>
      </c>
      <c r="C217" s="1" t="n">
        <v>46197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39135-2022</t>
        </is>
      </c>
      <c r="B218" s="1" t="n">
        <v>44817</v>
      </c>
      <c r="C218" s="1" t="n">
        <v>46197</v>
      </c>
      <c r="D218" t="inlineStr">
        <is>
          <t>DALARNAS LÄN</t>
        </is>
      </c>
      <c r="E218" t="inlineStr">
        <is>
          <t>FALUN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8757-2024</t>
        </is>
      </c>
      <c r="B219" s="1" t="n">
        <v>45356</v>
      </c>
      <c r="C219" s="1" t="n">
        <v>46197</v>
      </c>
      <c r="D219" t="inlineStr">
        <is>
          <t>DALARNAS LÄN</t>
        </is>
      </c>
      <c r="E219" t="inlineStr">
        <is>
          <t>FALUN</t>
        </is>
      </c>
      <c r="G219" t="n">
        <v>23.3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27506-2023</t>
        </is>
      </c>
      <c r="B220" s="1" t="n">
        <v>45097</v>
      </c>
      <c r="C220" s="1" t="n">
        <v>46197</v>
      </c>
      <c r="D220" t="inlineStr">
        <is>
          <t>DALARNAS LÄN</t>
        </is>
      </c>
      <c r="E220" t="inlineStr">
        <is>
          <t>FALUN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33548-2022</t>
        </is>
      </c>
      <c r="B221" s="1" t="n">
        <v>44789</v>
      </c>
      <c r="C221" s="1" t="n">
        <v>46197</v>
      </c>
      <c r="D221" t="inlineStr">
        <is>
          <t>DALARNAS LÄN</t>
        </is>
      </c>
      <c r="E221" t="inlineStr">
        <is>
          <t>FALUN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9716-2024</t>
        </is>
      </c>
      <c r="B222" s="1" t="n">
        <v>45362</v>
      </c>
      <c r="C222" s="1" t="n">
        <v>46197</v>
      </c>
      <c r="D222" t="inlineStr">
        <is>
          <t>DALARNAS LÄN</t>
        </is>
      </c>
      <c r="E222" t="inlineStr">
        <is>
          <t>FALUN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9835-2024</t>
        </is>
      </c>
      <c r="B223" s="1" t="n">
        <v>45363</v>
      </c>
      <c r="C223" s="1" t="n">
        <v>46197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41961-2022</t>
        </is>
      </c>
      <c r="B224" s="1" t="n">
        <v>44830</v>
      </c>
      <c r="C224" s="1" t="n">
        <v>46197</v>
      </c>
      <c r="D224" t="inlineStr">
        <is>
          <t>DALARNAS LÄN</t>
        </is>
      </c>
      <c r="E224" t="inlineStr">
        <is>
          <t>FALUN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13567-2024</t>
        </is>
      </c>
      <c r="B225" s="1" t="n">
        <v>45389</v>
      </c>
      <c r="C225" s="1" t="n">
        <v>46197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12926-2025</t>
        </is>
      </c>
      <c r="B226" s="1" t="n">
        <v>45734</v>
      </c>
      <c r="C226" s="1" t="n">
        <v>46197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41664-2022</t>
        </is>
      </c>
      <c r="B227" s="1" t="n">
        <v>44827</v>
      </c>
      <c r="C227" s="1" t="n">
        <v>46197</v>
      </c>
      <c r="D227" t="inlineStr">
        <is>
          <t>DALARNAS LÄN</t>
        </is>
      </c>
      <c r="E227" t="inlineStr">
        <is>
          <t>FALUN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52040-2023</t>
        </is>
      </c>
      <c r="B228" s="1" t="n">
        <v>45223</v>
      </c>
      <c r="C228" s="1" t="n">
        <v>46197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52081-2023</t>
        </is>
      </c>
      <c r="B229" s="1" t="n">
        <v>45223</v>
      </c>
      <c r="C229" s="1" t="n">
        <v>46197</v>
      </c>
      <c r="D229" t="inlineStr">
        <is>
          <t>DALARNAS LÄN</t>
        </is>
      </c>
      <c r="E229" t="inlineStr">
        <is>
          <t>FALUN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21288-2024</t>
        </is>
      </c>
      <c r="B230" s="1" t="n">
        <v>45440</v>
      </c>
      <c r="C230" s="1" t="n">
        <v>46197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1758-2024</t>
        </is>
      </c>
      <c r="B231" s="1" t="n">
        <v>45307</v>
      </c>
      <c r="C231" s="1" t="n">
        <v>46197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35063-2022</t>
        </is>
      </c>
      <c r="B232" s="1" t="n">
        <v>44797</v>
      </c>
      <c r="C232" s="1" t="n">
        <v>46197</v>
      </c>
      <c r="D232" t="inlineStr">
        <is>
          <t>DALARNAS LÄN</t>
        </is>
      </c>
      <c r="E232" t="inlineStr">
        <is>
          <t>FALUN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58336-2022</t>
        </is>
      </c>
      <c r="B233" s="1" t="n">
        <v>44901</v>
      </c>
      <c r="C233" s="1" t="n">
        <v>46197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61035-2021</t>
        </is>
      </c>
      <c r="B234" s="1" t="n">
        <v>44497</v>
      </c>
      <c r="C234" s="1" t="n">
        <v>46197</v>
      </c>
      <c r="D234" t="inlineStr">
        <is>
          <t>DALARNAS LÄN</t>
        </is>
      </c>
      <c r="E234" t="inlineStr">
        <is>
          <t>FALUN</t>
        </is>
      </c>
      <c r="F234" t="inlineStr">
        <is>
          <t>Kyrkan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46252-2022</t>
        </is>
      </c>
      <c r="B235" s="1" t="n">
        <v>44847</v>
      </c>
      <c r="C235" s="1" t="n">
        <v>46197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43005-2022</t>
        </is>
      </c>
      <c r="B236" s="1" t="n">
        <v>44833</v>
      </c>
      <c r="C236" s="1" t="n">
        <v>46197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1466-2023</t>
        </is>
      </c>
      <c r="B237" s="1" t="n">
        <v>44937</v>
      </c>
      <c r="C237" s="1" t="n">
        <v>46197</v>
      </c>
      <c r="D237" t="inlineStr">
        <is>
          <t>DALARNAS LÄN</t>
        </is>
      </c>
      <c r="E237" t="inlineStr">
        <is>
          <t>FALUN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33611-2024</t>
        </is>
      </c>
      <c r="B238" s="1" t="n">
        <v>45520</v>
      </c>
      <c r="C238" s="1" t="n">
        <v>46197</v>
      </c>
      <c r="D238" t="inlineStr">
        <is>
          <t>DALARNAS LÄN</t>
        </is>
      </c>
      <c r="E238" t="inlineStr">
        <is>
          <t>FALUN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4057-2024</t>
        </is>
      </c>
      <c r="B239" s="1" t="n">
        <v>45323</v>
      </c>
      <c r="C239" s="1" t="n">
        <v>46197</v>
      </c>
      <c r="D239" t="inlineStr">
        <is>
          <t>DALARNAS LÄN</t>
        </is>
      </c>
      <c r="E239" t="inlineStr">
        <is>
          <t>FALUN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4700-2023</t>
        </is>
      </c>
      <c r="B240" s="1" t="n">
        <v>44957</v>
      </c>
      <c r="C240" s="1" t="n">
        <v>46197</v>
      </c>
      <c r="D240" t="inlineStr">
        <is>
          <t>DALARNAS LÄN</t>
        </is>
      </c>
      <c r="E240" t="inlineStr">
        <is>
          <t>FALUN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56149-2022</t>
        </is>
      </c>
      <c r="B241" s="1" t="n">
        <v>44889</v>
      </c>
      <c r="C241" s="1" t="n">
        <v>46197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35446-2024</t>
        </is>
      </c>
      <c r="B242" s="1" t="n">
        <v>45531</v>
      </c>
      <c r="C242" s="1" t="n">
        <v>46197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3360-2023</t>
        </is>
      </c>
      <c r="B243" s="1" t="n">
        <v>44949</v>
      </c>
      <c r="C243" s="1" t="n">
        <v>46197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1836-2026</t>
        </is>
      </c>
      <c r="B244" s="1" t="n">
        <v>46035</v>
      </c>
      <c r="C244" s="1" t="n">
        <v>46197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11579-2024</t>
        </is>
      </c>
      <c r="B245" s="1" t="n">
        <v>45373</v>
      </c>
      <c r="C245" s="1" t="n">
        <v>46197</v>
      </c>
      <c r="D245" t="inlineStr">
        <is>
          <t>DALARNAS LÄN</t>
        </is>
      </c>
      <c r="E245" t="inlineStr">
        <is>
          <t>FALUN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1-2026</t>
        </is>
      </c>
      <c r="B246" s="1" t="n">
        <v>46023</v>
      </c>
      <c r="C246" s="1" t="n">
        <v>46197</v>
      </c>
      <c r="D246" t="inlineStr">
        <is>
          <t>DALARNAS LÄN</t>
        </is>
      </c>
      <c r="E246" t="inlineStr">
        <is>
          <t>FALUN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2273-2026</t>
        </is>
      </c>
      <c r="B247" s="1" t="n">
        <v>46036</v>
      </c>
      <c r="C247" s="1" t="n">
        <v>46197</v>
      </c>
      <c r="D247" t="inlineStr">
        <is>
          <t>DALARNAS LÄN</t>
        </is>
      </c>
      <c r="E247" t="inlineStr">
        <is>
          <t>FALUN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2323-2026</t>
        </is>
      </c>
      <c r="B248" s="1" t="n">
        <v>46036</v>
      </c>
      <c r="C248" s="1" t="n">
        <v>46197</v>
      </c>
      <c r="D248" t="inlineStr">
        <is>
          <t>DALARNAS LÄN</t>
        </is>
      </c>
      <c r="E248" t="inlineStr">
        <is>
          <t>FALUN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11584-2024</t>
        </is>
      </c>
      <c r="B249" s="1" t="n">
        <v>45373</v>
      </c>
      <c r="C249" s="1" t="n">
        <v>46197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2333-2026</t>
        </is>
      </c>
      <c r="B250" s="1" t="n">
        <v>46036</v>
      </c>
      <c r="C250" s="1" t="n">
        <v>46197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2654-2026</t>
        </is>
      </c>
      <c r="B251" s="1" t="n">
        <v>46037</v>
      </c>
      <c r="C251" s="1" t="n">
        <v>46197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2676-2026</t>
        </is>
      </c>
      <c r="B252" s="1" t="n">
        <v>46037</v>
      </c>
      <c r="C252" s="1" t="n">
        <v>46197</v>
      </c>
      <c r="D252" t="inlineStr">
        <is>
          <t>DALARNAS LÄN</t>
        </is>
      </c>
      <c r="E252" t="inlineStr">
        <is>
          <t>FALUN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2967-2026</t>
        </is>
      </c>
      <c r="B253" s="1" t="n">
        <v>46037</v>
      </c>
      <c r="C253" s="1" t="n">
        <v>46197</v>
      </c>
      <c r="D253" t="inlineStr">
        <is>
          <t>DALARNAS LÄN</t>
        </is>
      </c>
      <c r="E253" t="inlineStr">
        <is>
          <t>FALUN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2722-2026</t>
        </is>
      </c>
      <c r="B254" s="1" t="n">
        <v>46037</v>
      </c>
      <c r="C254" s="1" t="n">
        <v>46197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44597-2023</t>
        </is>
      </c>
      <c r="B255" s="1" t="n">
        <v>45189</v>
      </c>
      <c r="C255" s="1" t="n">
        <v>46197</v>
      </c>
      <c r="D255" t="inlineStr">
        <is>
          <t>DALARNAS LÄN</t>
        </is>
      </c>
      <c r="E255" t="inlineStr">
        <is>
          <t>FALUN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2683-2026</t>
        </is>
      </c>
      <c r="B256" s="1" t="n">
        <v>46037</v>
      </c>
      <c r="C256" s="1" t="n">
        <v>46197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2554-2026</t>
        </is>
      </c>
      <c r="B257" s="1" t="n">
        <v>46037</v>
      </c>
      <c r="C257" s="1" t="n">
        <v>46197</v>
      </c>
      <c r="D257" t="inlineStr">
        <is>
          <t>DALARNAS LÄN</t>
        </is>
      </c>
      <c r="E257" t="inlineStr">
        <is>
          <t>FALUN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2558-2026</t>
        </is>
      </c>
      <c r="B258" s="1" t="n">
        <v>46037</v>
      </c>
      <c r="C258" s="1" t="n">
        <v>46197</v>
      </c>
      <c r="D258" t="inlineStr">
        <is>
          <t>DALARNAS LÄN</t>
        </is>
      </c>
      <c r="E258" t="inlineStr">
        <is>
          <t>FALUN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6223-2023</t>
        </is>
      </c>
      <c r="B259" s="1" t="n">
        <v>44964</v>
      </c>
      <c r="C259" s="1" t="n">
        <v>46197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15207-2025</t>
        </is>
      </c>
      <c r="B260" s="1" t="n">
        <v>45744</v>
      </c>
      <c r="C260" s="1" t="n">
        <v>46197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38143-2024</t>
        </is>
      </c>
      <c r="B261" s="1" t="n">
        <v>45545</v>
      </c>
      <c r="C261" s="1" t="n">
        <v>46197</v>
      </c>
      <c r="D261" t="inlineStr">
        <is>
          <t>DALARNAS LÄN</t>
        </is>
      </c>
      <c r="E261" t="inlineStr">
        <is>
          <t>FALUN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2568-2026</t>
        </is>
      </c>
      <c r="B262" s="1" t="n">
        <v>46037</v>
      </c>
      <c r="C262" s="1" t="n">
        <v>46197</v>
      </c>
      <c r="D262" t="inlineStr">
        <is>
          <t>DALARNAS LÄN</t>
        </is>
      </c>
      <c r="E262" t="inlineStr">
        <is>
          <t>FALUN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2812-2026</t>
        </is>
      </c>
      <c r="B263" s="1" t="n">
        <v>46038</v>
      </c>
      <c r="C263" s="1" t="n">
        <v>46197</v>
      </c>
      <c r="D263" t="inlineStr">
        <is>
          <t>DALARNAS LÄN</t>
        </is>
      </c>
      <c r="E263" t="inlineStr">
        <is>
          <t>FALUN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3454-2026</t>
        </is>
      </c>
      <c r="B264" s="1" t="n">
        <v>46042</v>
      </c>
      <c r="C264" s="1" t="n">
        <v>46197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3587-2026</t>
        </is>
      </c>
      <c r="B265" s="1" t="n">
        <v>46042</v>
      </c>
      <c r="C265" s="1" t="n">
        <v>46197</v>
      </c>
      <c r="D265" t="inlineStr">
        <is>
          <t>DALARNAS LÄN</t>
        </is>
      </c>
      <c r="E265" t="inlineStr">
        <is>
          <t>FALUN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60088-2022</t>
        </is>
      </c>
      <c r="B266" s="1" t="n">
        <v>44909</v>
      </c>
      <c r="C266" s="1" t="n">
        <v>46197</v>
      </c>
      <c r="D266" t="inlineStr">
        <is>
          <t>DALARNAS LÄN</t>
        </is>
      </c>
      <c r="E266" t="inlineStr">
        <is>
          <t>FALUN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3057-2026</t>
        </is>
      </c>
      <c r="B267" s="1" t="n">
        <v>46039</v>
      </c>
      <c r="C267" s="1" t="n">
        <v>46197</v>
      </c>
      <c r="D267" t="inlineStr">
        <is>
          <t>DALARNAS LÄN</t>
        </is>
      </c>
      <c r="E267" t="inlineStr">
        <is>
          <t>FALUN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26771-2025</t>
        </is>
      </c>
      <c r="B268" s="1" t="n">
        <v>45810</v>
      </c>
      <c r="C268" s="1" t="n">
        <v>46197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3347-2026</t>
        </is>
      </c>
      <c r="B269" s="1" t="n">
        <v>46041</v>
      </c>
      <c r="C269" s="1" t="n">
        <v>46197</v>
      </c>
      <c r="D269" t="inlineStr">
        <is>
          <t>DALARNAS LÄN</t>
        </is>
      </c>
      <c r="E269" t="inlineStr">
        <is>
          <t>FALUN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18463-2022</t>
        </is>
      </c>
      <c r="B270" s="1" t="n">
        <v>44686</v>
      </c>
      <c r="C270" s="1" t="n">
        <v>46197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12224-2022</t>
        </is>
      </c>
      <c r="B271" s="1" t="n">
        <v>44637</v>
      </c>
      <c r="C271" s="1" t="n">
        <v>46197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3603-2026</t>
        </is>
      </c>
      <c r="B272" s="1" t="n">
        <v>46042</v>
      </c>
      <c r="C272" s="1" t="n">
        <v>46197</v>
      </c>
      <c r="D272" t="inlineStr">
        <is>
          <t>DALARNAS LÄN</t>
        </is>
      </c>
      <c r="E272" t="inlineStr">
        <is>
          <t>FALUN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3480-2026</t>
        </is>
      </c>
      <c r="B273" s="1" t="n">
        <v>46042</v>
      </c>
      <c r="C273" s="1" t="n">
        <v>46197</v>
      </c>
      <c r="D273" t="inlineStr">
        <is>
          <t>DALARNAS LÄN</t>
        </is>
      </c>
      <c r="E273" t="inlineStr">
        <is>
          <t>FALUN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3339-2026</t>
        </is>
      </c>
      <c r="B274" s="1" t="n">
        <v>46041</v>
      </c>
      <c r="C274" s="1" t="n">
        <v>46197</v>
      </c>
      <c r="D274" t="inlineStr">
        <is>
          <t>DALARNAS LÄN</t>
        </is>
      </c>
      <c r="E274" t="inlineStr">
        <is>
          <t>FALUN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26800-2025</t>
        </is>
      </c>
      <c r="B275" s="1" t="n">
        <v>45810</v>
      </c>
      <c r="C275" s="1" t="n">
        <v>46197</v>
      </c>
      <c r="D275" t="inlineStr">
        <is>
          <t>DALARNAS LÄN</t>
        </is>
      </c>
      <c r="E275" t="inlineStr">
        <is>
          <t>FALUN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3085-2026</t>
        </is>
      </c>
      <c r="B276" s="1" t="n">
        <v>46040</v>
      </c>
      <c r="C276" s="1" t="n">
        <v>46197</v>
      </c>
      <c r="D276" t="inlineStr">
        <is>
          <t>DALARNAS LÄN</t>
        </is>
      </c>
      <c r="E276" t="inlineStr">
        <is>
          <t>FALUN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3276-2026</t>
        </is>
      </c>
      <c r="B277" s="1" t="n">
        <v>46041</v>
      </c>
      <c r="C277" s="1" t="n">
        <v>46197</v>
      </c>
      <c r="D277" t="inlineStr">
        <is>
          <t>DALARNAS LÄN</t>
        </is>
      </c>
      <c r="E277" t="inlineStr">
        <is>
          <t>FALUN</t>
        </is>
      </c>
      <c r="G277" t="n">
        <v>17.3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3185-2026</t>
        </is>
      </c>
      <c r="B278" s="1" t="n">
        <v>46041</v>
      </c>
      <c r="C278" s="1" t="n">
        <v>46197</v>
      </c>
      <c r="D278" t="inlineStr">
        <is>
          <t>DALARNAS LÄN</t>
        </is>
      </c>
      <c r="E278" t="inlineStr">
        <is>
          <t>FALUN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48296-2024</t>
        </is>
      </c>
      <c r="B279" s="1" t="n">
        <v>45590</v>
      </c>
      <c r="C279" s="1" t="n">
        <v>46197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3406-2026</t>
        </is>
      </c>
      <c r="B280" s="1" t="n">
        <v>46042</v>
      </c>
      <c r="C280" s="1" t="n">
        <v>46197</v>
      </c>
      <c r="D280" t="inlineStr">
        <is>
          <t>DALARNAS LÄN</t>
        </is>
      </c>
      <c r="E280" t="inlineStr">
        <is>
          <t>FALUN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3064-2026</t>
        </is>
      </c>
      <c r="B281" s="1" t="n">
        <v>46040</v>
      </c>
      <c r="C281" s="1" t="n">
        <v>46197</v>
      </c>
      <c r="D281" t="inlineStr">
        <is>
          <t>DALARNAS LÄN</t>
        </is>
      </c>
      <c r="E281" t="inlineStr">
        <is>
          <t>FALUN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3372-2026</t>
        </is>
      </c>
      <c r="B282" s="1" t="n">
        <v>46042</v>
      </c>
      <c r="C282" s="1" t="n">
        <v>46197</v>
      </c>
      <c r="D282" t="inlineStr">
        <is>
          <t>DALARNAS LÄN</t>
        </is>
      </c>
      <c r="E282" t="inlineStr">
        <is>
          <t>FALUN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27158-2025</t>
        </is>
      </c>
      <c r="B283" s="1" t="n">
        <v>45812</v>
      </c>
      <c r="C283" s="1" t="n">
        <v>46197</v>
      </c>
      <c r="D283" t="inlineStr">
        <is>
          <t>DALARNAS LÄN</t>
        </is>
      </c>
      <c r="E283" t="inlineStr">
        <is>
          <t>FALUN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3343-2026</t>
        </is>
      </c>
      <c r="B284" s="1" t="n">
        <v>46041</v>
      </c>
      <c r="C284" s="1" t="n">
        <v>46197</v>
      </c>
      <c r="D284" t="inlineStr">
        <is>
          <t>DALARNAS LÄN</t>
        </is>
      </c>
      <c r="E284" t="inlineStr">
        <is>
          <t>FALUN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26927-2025</t>
        </is>
      </c>
      <c r="B285" s="1" t="n">
        <v>45811</v>
      </c>
      <c r="C285" s="1" t="n">
        <v>46197</v>
      </c>
      <c r="D285" t="inlineStr">
        <is>
          <t>DALARNAS LÄN</t>
        </is>
      </c>
      <c r="E285" t="inlineStr">
        <is>
          <t>FALUN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3689-2022</t>
        </is>
      </c>
      <c r="B286" s="1" t="n">
        <v>44586</v>
      </c>
      <c r="C286" s="1" t="n">
        <v>46197</v>
      </c>
      <c r="D286" t="inlineStr">
        <is>
          <t>DALARNAS LÄN</t>
        </is>
      </c>
      <c r="E286" t="inlineStr">
        <is>
          <t>FALUN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29740-2025</t>
        </is>
      </c>
      <c r="B287" s="1" t="n">
        <v>45825</v>
      </c>
      <c r="C287" s="1" t="n">
        <v>46197</v>
      </c>
      <c r="D287" t="inlineStr">
        <is>
          <t>DALARNAS LÄN</t>
        </is>
      </c>
      <c r="E287" t="inlineStr">
        <is>
          <t>FALUN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27469-2025</t>
        </is>
      </c>
      <c r="B288" s="1" t="n">
        <v>45813</v>
      </c>
      <c r="C288" s="1" t="n">
        <v>46197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38748-2025</t>
        </is>
      </c>
      <c r="B289" s="1" t="n">
        <v>45887</v>
      </c>
      <c r="C289" s="1" t="n">
        <v>46197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1697-2025</t>
        </is>
      </c>
      <c r="B290" s="1" t="n">
        <v>45670</v>
      </c>
      <c r="C290" s="1" t="n">
        <v>46197</v>
      </c>
      <c r="D290" t="inlineStr">
        <is>
          <t>DALARNAS LÄN</t>
        </is>
      </c>
      <c r="E290" t="inlineStr">
        <is>
          <t>FALUN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16004-2024</t>
        </is>
      </c>
      <c r="B291" s="1" t="n">
        <v>45405</v>
      </c>
      <c r="C291" s="1" t="n">
        <v>46197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39639-2025</t>
        </is>
      </c>
      <c r="B292" s="1" t="n">
        <v>45890</v>
      </c>
      <c r="C292" s="1" t="n">
        <v>46197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39276-2025</t>
        </is>
      </c>
      <c r="B293" s="1" t="n">
        <v>45889</v>
      </c>
      <c r="C293" s="1" t="n">
        <v>46197</v>
      </c>
      <c r="D293" t="inlineStr">
        <is>
          <t>DALARNAS LÄN</t>
        </is>
      </c>
      <c r="E293" t="inlineStr">
        <is>
          <t>FALUN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3932-2026</t>
        </is>
      </c>
      <c r="B294" s="1" t="n">
        <v>46043</v>
      </c>
      <c r="C294" s="1" t="n">
        <v>46197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6070-2023</t>
        </is>
      </c>
      <c r="B295" s="1" t="n">
        <v>44964</v>
      </c>
      <c r="C295" s="1" t="n">
        <v>46197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52989-2024</t>
        </is>
      </c>
      <c r="B296" s="1" t="n">
        <v>45611</v>
      </c>
      <c r="C296" s="1" t="n">
        <v>46197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3687-2026</t>
        </is>
      </c>
      <c r="B297" s="1" t="n">
        <v>46043</v>
      </c>
      <c r="C297" s="1" t="n">
        <v>46197</v>
      </c>
      <c r="D297" t="inlineStr">
        <is>
          <t>DALARNAS LÄN</t>
        </is>
      </c>
      <c r="E297" t="inlineStr">
        <is>
          <t>FALUN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5679-2023</t>
        </is>
      </c>
      <c r="B298" s="1" t="n">
        <v>44960</v>
      </c>
      <c r="C298" s="1" t="n">
        <v>46197</v>
      </c>
      <c r="D298" t="inlineStr">
        <is>
          <t>DALARNAS LÄN</t>
        </is>
      </c>
      <c r="E298" t="inlineStr">
        <is>
          <t>FALUN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24467-2025</t>
        </is>
      </c>
      <c r="B299" s="1" t="n">
        <v>45798</v>
      </c>
      <c r="C299" s="1" t="n">
        <v>46197</v>
      </c>
      <c r="D299" t="inlineStr">
        <is>
          <t>DALARNAS LÄN</t>
        </is>
      </c>
      <c r="E299" t="inlineStr">
        <is>
          <t>FALUN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28828-2025</t>
        </is>
      </c>
      <c r="B300" s="1" t="n">
        <v>45820</v>
      </c>
      <c r="C300" s="1" t="n">
        <v>46197</v>
      </c>
      <c r="D300" t="inlineStr">
        <is>
          <t>DALARNAS LÄN</t>
        </is>
      </c>
      <c r="E300" t="inlineStr">
        <is>
          <t>FALUN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49639-2024</t>
        </is>
      </c>
      <c r="B301" s="1" t="n">
        <v>45596</v>
      </c>
      <c r="C301" s="1" t="n">
        <v>46197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28730-2025</t>
        </is>
      </c>
      <c r="B302" s="1" t="n">
        <v>45820</v>
      </c>
      <c r="C302" s="1" t="n">
        <v>46197</v>
      </c>
      <c r="D302" t="inlineStr">
        <is>
          <t>DALARNAS LÄN</t>
        </is>
      </c>
      <c r="E302" t="inlineStr">
        <is>
          <t>FALUN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40593-2025</t>
        </is>
      </c>
      <c r="B303" s="1" t="n">
        <v>45896</v>
      </c>
      <c r="C303" s="1" t="n">
        <v>46197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28721-2025</t>
        </is>
      </c>
      <c r="B304" s="1" t="n">
        <v>45820</v>
      </c>
      <c r="C304" s="1" t="n">
        <v>46197</v>
      </c>
      <c r="D304" t="inlineStr">
        <is>
          <t>DALARNAS LÄN</t>
        </is>
      </c>
      <c r="E304" t="inlineStr">
        <is>
          <t>FALUN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40582-2025</t>
        </is>
      </c>
      <c r="B305" s="1" t="n">
        <v>45896</v>
      </c>
      <c r="C305" s="1" t="n">
        <v>46197</v>
      </c>
      <c r="D305" t="inlineStr">
        <is>
          <t>DALARNAS LÄN</t>
        </is>
      </c>
      <c r="E305" t="inlineStr">
        <is>
          <t>FALUN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62334-2025</t>
        </is>
      </c>
      <c r="B306" s="1" t="n">
        <v>46005</v>
      </c>
      <c r="C306" s="1" t="n">
        <v>46197</v>
      </c>
      <c r="D306" t="inlineStr">
        <is>
          <t>DALARNAS LÄN</t>
        </is>
      </c>
      <c r="E306" t="inlineStr">
        <is>
          <t>FALUN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40459-2025</t>
        </is>
      </c>
      <c r="B307" s="1" t="n">
        <v>45895</v>
      </c>
      <c r="C307" s="1" t="n">
        <v>46197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14459-2025</t>
        </is>
      </c>
      <c r="B308" s="1" t="n">
        <v>45741</v>
      </c>
      <c r="C308" s="1" t="n">
        <v>46197</v>
      </c>
      <c r="D308" t="inlineStr">
        <is>
          <t>DALARNAS LÄN</t>
        </is>
      </c>
      <c r="E308" t="inlineStr">
        <is>
          <t>FALUN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29294-2025</t>
        </is>
      </c>
      <c r="B309" s="1" t="n">
        <v>45824</v>
      </c>
      <c r="C309" s="1" t="n">
        <v>46197</v>
      </c>
      <c r="D309" t="inlineStr">
        <is>
          <t>DALARNAS LÄN</t>
        </is>
      </c>
      <c r="E309" t="inlineStr">
        <is>
          <t>FALUN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29355-2025</t>
        </is>
      </c>
      <c r="B310" s="1" t="n">
        <v>45824</v>
      </c>
      <c r="C310" s="1" t="n">
        <v>46197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40775-2025</t>
        </is>
      </c>
      <c r="B311" s="1" t="n">
        <v>45897</v>
      </c>
      <c r="C311" s="1" t="n">
        <v>46197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55390-2022</t>
        </is>
      </c>
      <c r="B312" s="1" t="n">
        <v>44887</v>
      </c>
      <c r="C312" s="1" t="n">
        <v>46197</v>
      </c>
      <c r="D312" t="inlineStr">
        <is>
          <t>DALARNAS LÄN</t>
        </is>
      </c>
      <c r="E312" t="inlineStr">
        <is>
          <t>FALUN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33912-2024</t>
        </is>
      </c>
      <c r="B313" s="1" t="n">
        <v>45523</v>
      </c>
      <c r="C313" s="1" t="n">
        <v>46197</v>
      </c>
      <c r="D313" t="inlineStr">
        <is>
          <t>DALARNAS LÄN</t>
        </is>
      </c>
      <c r="E313" t="inlineStr">
        <is>
          <t>FALUN</t>
        </is>
      </c>
      <c r="F313" t="inlineStr">
        <is>
          <t>Allmännings- och besparingsskogar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33408-2024</t>
        </is>
      </c>
      <c r="B314" s="1" t="n">
        <v>45519</v>
      </c>
      <c r="C314" s="1" t="n">
        <v>46197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40877-2025</t>
        </is>
      </c>
      <c r="B315" s="1" t="n">
        <v>45897</v>
      </c>
      <c r="C315" s="1" t="n">
        <v>46197</v>
      </c>
      <c r="D315" t="inlineStr">
        <is>
          <t>DALARNAS LÄN</t>
        </is>
      </c>
      <c r="E315" t="inlineStr">
        <is>
          <t>FALUN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3791-2026</t>
        </is>
      </c>
      <c r="B316" s="1" t="n">
        <v>46043</v>
      </c>
      <c r="C316" s="1" t="n">
        <v>46197</v>
      </c>
      <c r="D316" t="inlineStr">
        <is>
          <t>DALARNAS LÄN</t>
        </is>
      </c>
      <c r="E316" t="inlineStr">
        <is>
          <t>FALUN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3915-2026</t>
        </is>
      </c>
      <c r="B317" s="1" t="n">
        <v>46043</v>
      </c>
      <c r="C317" s="1" t="n">
        <v>46197</v>
      </c>
      <c r="D317" t="inlineStr">
        <is>
          <t>DALARNAS LÄN</t>
        </is>
      </c>
      <c r="E317" t="inlineStr">
        <is>
          <t>FALUN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46560-2023</t>
        </is>
      </c>
      <c r="B318" s="1" t="n">
        <v>45198</v>
      </c>
      <c r="C318" s="1" t="n">
        <v>46197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41006-2025</t>
        </is>
      </c>
      <c r="B319" s="1" t="n">
        <v>45898</v>
      </c>
      <c r="C319" s="1" t="n">
        <v>46197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4218-2026</t>
        </is>
      </c>
      <c r="B320" s="1" t="n">
        <v>46044</v>
      </c>
      <c r="C320" s="1" t="n">
        <v>46197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3604-2026</t>
        </is>
      </c>
      <c r="B321" s="1" t="n">
        <v>46042</v>
      </c>
      <c r="C321" s="1" t="n">
        <v>46197</v>
      </c>
      <c r="D321" t="inlineStr">
        <is>
          <t>DALARNAS LÄN</t>
        </is>
      </c>
      <c r="E321" t="inlineStr">
        <is>
          <t>FALUN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41371-2025</t>
        </is>
      </c>
      <c r="B322" s="1" t="n">
        <v>45900</v>
      </c>
      <c r="C322" s="1" t="n">
        <v>46197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41370-2025</t>
        </is>
      </c>
      <c r="B323" s="1" t="n">
        <v>45900</v>
      </c>
      <c r="C323" s="1" t="n">
        <v>46197</v>
      </c>
      <c r="D323" t="inlineStr">
        <is>
          <t>DALARNAS LÄN</t>
        </is>
      </c>
      <c r="E323" t="inlineStr">
        <is>
          <t>FALUN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14473-2025</t>
        </is>
      </c>
      <c r="B324" s="1" t="n">
        <v>45741</v>
      </c>
      <c r="C324" s="1" t="n">
        <v>46197</v>
      </c>
      <c r="D324" t="inlineStr">
        <is>
          <t>DALARNAS LÄN</t>
        </is>
      </c>
      <c r="E324" t="inlineStr">
        <is>
          <t>FALUN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60306-2022</t>
        </is>
      </c>
      <c r="B325" s="1" t="n">
        <v>44910</v>
      </c>
      <c r="C325" s="1" t="n">
        <v>46197</v>
      </c>
      <c r="D325" t="inlineStr">
        <is>
          <t>DALARNAS LÄN</t>
        </is>
      </c>
      <c r="E325" t="inlineStr">
        <is>
          <t>FALUN</t>
        </is>
      </c>
      <c r="G325" t="n">
        <v>18.2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34670-2021</t>
        </is>
      </c>
      <c r="B326" s="1" t="n">
        <v>44382</v>
      </c>
      <c r="C326" s="1" t="n">
        <v>46197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51914-2024</t>
        </is>
      </c>
      <c r="B327" s="1" t="n">
        <v>45607</v>
      </c>
      <c r="C327" s="1" t="n">
        <v>46197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30927-2025</t>
        </is>
      </c>
      <c r="B328" s="1" t="n">
        <v>45832</v>
      </c>
      <c r="C328" s="1" t="n">
        <v>46197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4216-2026</t>
        </is>
      </c>
      <c r="B329" s="1" t="n">
        <v>46044</v>
      </c>
      <c r="C329" s="1" t="n">
        <v>46197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30869-2025</t>
        </is>
      </c>
      <c r="B330" s="1" t="n">
        <v>45832</v>
      </c>
      <c r="C330" s="1" t="n">
        <v>46197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41974-2025</t>
        </is>
      </c>
      <c r="B331" s="1" t="n">
        <v>45903</v>
      </c>
      <c r="C331" s="1" t="n">
        <v>46197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6010-2025</t>
        </is>
      </c>
      <c r="B332" s="1" t="n">
        <v>45695</v>
      </c>
      <c r="C332" s="1" t="n">
        <v>46197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42364-2025</t>
        </is>
      </c>
      <c r="B333" s="1" t="n">
        <v>45905</v>
      </c>
      <c r="C333" s="1" t="n">
        <v>46197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2993-2025</t>
        </is>
      </c>
      <c r="B334" s="1" t="n">
        <v>45678</v>
      </c>
      <c r="C334" s="1" t="n">
        <v>46197</v>
      </c>
      <c r="D334" t="inlineStr">
        <is>
          <t>DALARNAS LÄN</t>
        </is>
      </c>
      <c r="E334" t="inlineStr">
        <is>
          <t>FALUN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3633-2026</t>
        </is>
      </c>
      <c r="B335" s="1" t="n">
        <v>46043</v>
      </c>
      <c r="C335" s="1" t="n">
        <v>46197</v>
      </c>
      <c r="D335" t="inlineStr">
        <is>
          <t>DALARNAS LÄN</t>
        </is>
      </c>
      <c r="E335" t="inlineStr">
        <is>
          <t>FALUN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43092-2025</t>
        </is>
      </c>
      <c r="B336" s="1" t="n">
        <v>45909</v>
      </c>
      <c r="C336" s="1" t="n">
        <v>46197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3674-2026</t>
        </is>
      </c>
      <c r="B337" s="1" t="n">
        <v>46043</v>
      </c>
      <c r="C337" s="1" t="n">
        <v>46197</v>
      </c>
      <c r="D337" t="inlineStr">
        <is>
          <t>DALARNAS LÄN</t>
        </is>
      </c>
      <c r="E337" t="inlineStr">
        <is>
          <t>FALUN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58412-2024</t>
        </is>
      </c>
      <c r="B338" s="1" t="n">
        <v>45634</v>
      </c>
      <c r="C338" s="1" t="n">
        <v>46197</v>
      </c>
      <c r="D338" t="inlineStr">
        <is>
          <t>DALARNAS LÄN</t>
        </is>
      </c>
      <c r="E338" t="inlineStr">
        <is>
          <t>FALUN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43257-2025</t>
        </is>
      </c>
      <c r="B339" s="1" t="n">
        <v>45910</v>
      </c>
      <c r="C339" s="1" t="n">
        <v>46197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22739-2022</t>
        </is>
      </c>
      <c r="B340" s="1" t="n">
        <v>44714</v>
      </c>
      <c r="C340" s="1" t="n">
        <v>46197</v>
      </c>
      <c r="D340" t="inlineStr">
        <is>
          <t>DALARNAS LÄN</t>
        </is>
      </c>
      <c r="E340" t="inlineStr">
        <is>
          <t>FALUN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58842-2023</t>
        </is>
      </c>
      <c r="B341" s="1" t="n">
        <v>45252</v>
      </c>
      <c r="C341" s="1" t="n">
        <v>46197</v>
      </c>
      <c r="D341" t="inlineStr">
        <is>
          <t>DALARNAS LÄN</t>
        </is>
      </c>
      <c r="E341" t="inlineStr">
        <is>
          <t>FALUN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58864-2023</t>
        </is>
      </c>
      <c r="B342" s="1" t="n">
        <v>45252</v>
      </c>
      <c r="C342" s="1" t="n">
        <v>46197</v>
      </c>
      <c r="D342" t="inlineStr">
        <is>
          <t>DALARNAS LÄN</t>
        </is>
      </c>
      <c r="E342" t="inlineStr">
        <is>
          <t>FALUN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43202-2025</t>
        </is>
      </c>
      <c r="B343" s="1" t="n">
        <v>45910</v>
      </c>
      <c r="C343" s="1" t="n">
        <v>46197</v>
      </c>
      <c r="D343" t="inlineStr">
        <is>
          <t>DALARNAS LÄN</t>
        </is>
      </c>
      <c r="E343" t="inlineStr">
        <is>
          <t>FALUN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43545-2025</t>
        </is>
      </c>
      <c r="B344" s="1" t="n">
        <v>45911</v>
      </c>
      <c r="C344" s="1" t="n">
        <v>46197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43508-2025</t>
        </is>
      </c>
      <c r="B345" s="1" t="n">
        <v>45911</v>
      </c>
      <c r="C345" s="1" t="n">
        <v>46197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69306-2021</t>
        </is>
      </c>
      <c r="B346" s="1" t="n">
        <v>44531</v>
      </c>
      <c r="C346" s="1" t="n">
        <v>46197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43576-2025</t>
        </is>
      </c>
      <c r="B347" s="1" t="n">
        <v>45911</v>
      </c>
      <c r="C347" s="1" t="n">
        <v>46197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46197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43856-2025</t>
        </is>
      </c>
      <c r="B349" s="1" t="n">
        <v>45912</v>
      </c>
      <c r="C349" s="1" t="n">
        <v>46197</v>
      </c>
      <c r="D349" t="inlineStr">
        <is>
          <t>DALARNAS LÄN</t>
        </is>
      </c>
      <c r="E349" t="inlineStr">
        <is>
          <t>FALUN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7656-2023</t>
        </is>
      </c>
      <c r="B350" s="1" t="n">
        <v>44972</v>
      </c>
      <c r="C350" s="1" t="n">
        <v>46197</v>
      </c>
      <c r="D350" t="inlineStr">
        <is>
          <t>DALARNAS LÄN</t>
        </is>
      </c>
      <c r="E350" t="inlineStr">
        <is>
          <t>FALUN</t>
        </is>
      </c>
      <c r="G350" t="n">
        <v>26.1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43917-2025</t>
        </is>
      </c>
      <c r="B351" s="1" t="n">
        <v>45914</v>
      </c>
      <c r="C351" s="1" t="n">
        <v>46197</v>
      </c>
      <c r="D351" t="inlineStr">
        <is>
          <t>DALARNAS LÄN</t>
        </is>
      </c>
      <c r="E351" t="inlineStr">
        <is>
          <t>FALUN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33542-2025</t>
        </is>
      </c>
      <c r="B352" s="1" t="n">
        <v>45841</v>
      </c>
      <c r="C352" s="1" t="n">
        <v>46197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14538-2022</t>
        </is>
      </c>
      <c r="B353" s="1" t="n">
        <v>44655</v>
      </c>
      <c r="C353" s="1" t="n">
        <v>46197</v>
      </c>
      <c r="D353" t="inlineStr">
        <is>
          <t>DALARNAS LÄN</t>
        </is>
      </c>
      <c r="E353" t="inlineStr">
        <is>
          <t>FALUN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44863-2025</t>
        </is>
      </c>
      <c r="B354" s="1" t="n">
        <v>45918</v>
      </c>
      <c r="C354" s="1" t="n">
        <v>46197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23.6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24782-2025</t>
        </is>
      </c>
      <c r="B355" s="1" t="n">
        <v>45799</v>
      </c>
      <c r="C355" s="1" t="n">
        <v>46197</v>
      </c>
      <c r="D355" t="inlineStr">
        <is>
          <t>DALARNAS LÄN</t>
        </is>
      </c>
      <c r="E355" t="inlineStr">
        <is>
          <t>FALUN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34443-2025</t>
        </is>
      </c>
      <c r="B356" s="1" t="n">
        <v>45845</v>
      </c>
      <c r="C356" s="1" t="n">
        <v>46197</v>
      </c>
      <c r="D356" t="inlineStr">
        <is>
          <t>DALARNAS LÄN</t>
        </is>
      </c>
      <c r="E356" t="inlineStr">
        <is>
          <t>FALUN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48702-2022</t>
        </is>
      </c>
      <c r="B357" s="1" t="n">
        <v>44859</v>
      </c>
      <c r="C357" s="1" t="n">
        <v>46197</v>
      </c>
      <c r="D357" t="inlineStr">
        <is>
          <t>DALARNAS LÄN</t>
        </is>
      </c>
      <c r="E357" t="inlineStr">
        <is>
          <t>FALUN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3956-2026</t>
        </is>
      </c>
      <c r="B358" s="1" t="n">
        <v>46044</v>
      </c>
      <c r="C358" s="1" t="n">
        <v>46197</v>
      </c>
      <c r="D358" t="inlineStr">
        <is>
          <t>DALARNAS LÄN</t>
        </is>
      </c>
      <c r="E358" t="inlineStr">
        <is>
          <t>FALUN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4068-2026</t>
        </is>
      </c>
      <c r="B359" s="1" t="n">
        <v>46043</v>
      </c>
      <c r="C359" s="1" t="n">
        <v>46197</v>
      </c>
      <c r="D359" t="inlineStr">
        <is>
          <t>DALARNAS LÄN</t>
        </is>
      </c>
      <c r="E359" t="inlineStr">
        <is>
          <t>FALUN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61387-2024</t>
        </is>
      </c>
      <c r="B360" s="1" t="n">
        <v>45646</v>
      </c>
      <c r="C360" s="1" t="n">
        <v>46197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54537-2023</t>
        </is>
      </c>
      <c r="B361" s="1" t="n">
        <v>45233</v>
      </c>
      <c r="C361" s="1" t="n">
        <v>46197</v>
      </c>
      <c r="D361" t="inlineStr">
        <is>
          <t>DALARNAS LÄN</t>
        </is>
      </c>
      <c r="E361" t="inlineStr">
        <is>
          <t>FALUN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37337-2023</t>
        </is>
      </c>
      <c r="B362" s="1" t="n">
        <v>45156</v>
      </c>
      <c r="C362" s="1" t="n">
        <v>46197</v>
      </c>
      <c r="D362" t="inlineStr">
        <is>
          <t>DALARNAS LÄN</t>
        </is>
      </c>
      <c r="E362" t="inlineStr">
        <is>
          <t>FALUN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45549-2025</t>
        </is>
      </c>
      <c r="B363" s="1" t="n">
        <v>45922</v>
      </c>
      <c r="C363" s="1" t="n">
        <v>46197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22925-2023</t>
        </is>
      </c>
      <c r="B364" s="1" t="n">
        <v>45072</v>
      </c>
      <c r="C364" s="1" t="n">
        <v>46197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3679-2026</t>
        </is>
      </c>
      <c r="B365" s="1" t="n">
        <v>46043</v>
      </c>
      <c r="C365" s="1" t="n">
        <v>46197</v>
      </c>
      <c r="D365" t="inlineStr">
        <is>
          <t>DALARNAS LÄN</t>
        </is>
      </c>
      <c r="E365" t="inlineStr">
        <is>
          <t>FALUN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45584-2025</t>
        </is>
      </c>
      <c r="B366" s="1" t="n">
        <v>45922</v>
      </c>
      <c r="C366" s="1" t="n">
        <v>46197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13583-2022</t>
        </is>
      </c>
      <c r="B367" s="1" t="n">
        <v>44648</v>
      </c>
      <c r="C367" s="1" t="n">
        <v>46197</v>
      </c>
      <c r="D367" t="inlineStr">
        <is>
          <t>DALARNAS LÄN</t>
        </is>
      </c>
      <c r="E367" t="inlineStr">
        <is>
          <t>FALUN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34941-2025</t>
        </is>
      </c>
      <c r="B368" s="1" t="n">
        <v>45849</v>
      </c>
      <c r="C368" s="1" t="n">
        <v>46197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4536-2026</t>
        </is>
      </c>
      <c r="B369" s="1" t="n">
        <v>46046</v>
      </c>
      <c r="C369" s="1" t="n">
        <v>46197</v>
      </c>
      <c r="D369" t="inlineStr">
        <is>
          <t>DALARNAS LÄN</t>
        </is>
      </c>
      <c r="E369" t="inlineStr">
        <is>
          <t>FALUN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2973-2023</t>
        </is>
      </c>
      <c r="B370" s="1" t="n">
        <v>44945</v>
      </c>
      <c r="C370" s="1" t="n">
        <v>46197</v>
      </c>
      <c r="D370" t="inlineStr">
        <is>
          <t>DALARNAS LÄN</t>
        </is>
      </c>
      <c r="E370" t="inlineStr">
        <is>
          <t>FALUN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50123-2024</t>
        </is>
      </c>
      <c r="B371" s="1" t="n">
        <v>45600</v>
      </c>
      <c r="C371" s="1" t="n">
        <v>46197</v>
      </c>
      <c r="D371" t="inlineStr">
        <is>
          <t>DALARNAS LÄN</t>
        </is>
      </c>
      <c r="E371" t="inlineStr">
        <is>
          <t>FALUN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35323-2025</t>
        </is>
      </c>
      <c r="B372" s="1" t="n">
        <v>45854</v>
      </c>
      <c r="C372" s="1" t="n">
        <v>46197</v>
      </c>
      <c r="D372" t="inlineStr">
        <is>
          <t>DALARNAS LÄN</t>
        </is>
      </c>
      <c r="E372" t="inlineStr">
        <is>
          <t>FALUN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4224-2026</t>
        </is>
      </c>
      <c r="B373" s="1" t="n">
        <v>46044</v>
      </c>
      <c r="C373" s="1" t="n">
        <v>46197</v>
      </c>
      <c r="D373" t="inlineStr">
        <is>
          <t>DALARNAS LÄN</t>
        </is>
      </c>
      <c r="E373" t="inlineStr">
        <is>
          <t>FALUN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2487-2026</t>
        </is>
      </c>
      <c r="B374" s="1" t="n">
        <v>46037</v>
      </c>
      <c r="C374" s="1" t="n">
        <v>46197</v>
      </c>
      <c r="D374" t="inlineStr">
        <is>
          <t>DALARNAS LÄN</t>
        </is>
      </c>
      <c r="E374" t="inlineStr">
        <is>
          <t>FALUN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1582-2026</t>
        </is>
      </c>
      <c r="B375" s="1" t="n">
        <v>46031</v>
      </c>
      <c r="C375" s="1" t="n">
        <v>46197</v>
      </c>
      <c r="D375" t="inlineStr">
        <is>
          <t>DALARNAS LÄN</t>
        </is>
      </c>
      <c r="E375" t="inlineStr">
        <is>
          <t>FALUN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46538-2025</t>
        </is>
      </c>
      <c r="B376" s="1" t="n">
        <v>45926</v>
      </c>
      <c r="C376" s="1" t="n">
        <v>46197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4792-2026</t>
        </is>
      </c>
      <c r="B377" s="1" t="n">
        <v>46048</v>
      </c>
      <c r="C377" s="1" t="n">
        <v>46197</v>
      </c>
      <c r="D377" t="inlineStr">
        <is>
          <t>DALARNAS LÄN</t>
        </is>
      </c>
      <c r="E377" t="inlineStr">
        <is>
          <t>FALUN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46364-2025</t>
        </is>
      </c>
      <c r="B378" s="1" t="n">
        <v>45925</v>
      </c>
      <c r="C378" s="1" t="n">
        <v>46197</v>
      </c>
      <c r="D378" t="inlineStr">
        <is>
          <t>DALARNAS LÄN</t>
        </is>
      </c>
      <c r="E378" t="inlineStr">
        <is>
          <t>FALUN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56136-2024</t>
        </is>
      </c>
      <c r="B379" s="1" t="n">
        <v>45624</v>
      </c>
      <c r="C379" s="1" t="n">
        <v>46197</v>
      </c>
      <c r="D379" t="inlineStr">
        <is>
          <t>DALARNAS LÄN</t>
        </is>
      </c>
      <c r="E379" t="inlineStr">
        <is>
          <t>FALUN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47403-2025</t>
        </is>
      </c>
      <c r="B380" s="1" t="n">
        <v>45930</v>
      </c>
      <c r="C380" s="1" t="n">
        <v>46197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4738-2026</t>
        </is>
      </c>
      <c r="B381" s="1" t="n">
        <v>46048</v>
      </c>
      <c r="C381" s="1" t="n">
        <v>46197</v>
      </c>
      <c r="D381" t="inlineStr">
        <is>
          <t>DALARNAS LÄN</t>
        </is>
      </c>
      <c r="E381" t="inlineStr">
        <is>
          <t>FALUN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23323-2024</t>
        </is>
      </c>
      <c r="B382" s="1" t="n">
        <v>45453</v>
      </c>
      <c r="C382" s="1" t="n">
        <v>46197</v>
      </c>
      <c r="D382" t="inlineStr">
        <is>
          <t>DALARNAS LÄN</t>
        </is>
      </c>
      <c r="E382" t="inlineStr">
        <is>
          <t>FALUN</t>
        </is>
      </c>
      <c r="F382" t="inlineStr">
        <is>
          <t>Övriga statliga verk och myndigheter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1329-2026</t>
        </is>
      </c>
      <c r="B383" s="1" t="n">
        <v>46029</v>
      </c>
      <c r="C383" s="1" t="n">
        <v>46197</v>
      </c>
      <c r="D383" t="inlineStr">
        <is>
          <t>DALARNAS LÄN</t>
        </is>
      </c>
      <c r="E383" t="inlineStr">
        <is>
          <t>FALUN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4899-2026</t>
        </is>
      </c>
      <c r="B384" s="1" t="n">
        <v>46048</v>
      </c>
      <c r="C384" s="1" t="n">
        <v>46197</v>
      </c>
      <c r="D384" t="inlineStr">
        <is>
          <t>DALARNAS LÄN</t>
        </is>
      </c>
      <c r="E384" t="inlineStr">
        <is>
          <t>FALUN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4919-2026</t>
        </is>
      </c>
      <c r="B385" s="1" t="n">
        <v>46048</v>
      </c>
      <c r="C385" s="1" t="n">
        <v>46197</v>
      </c>
      <c r="D385" t="inlineStr">
        <is>
          <t>DALARNAS LÄN</t>
        </is>
      </c>
      <c r="E385" t="inlineStr">
        <is>
          <t>FALUN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4766-2026</t>
        </is>
      </c>
      <c r="B386" s="1" t="n">
        <v>46048</v>
      </c>
      <c r="C386" s="1" t="n">
        <v>46197</v>
      </c>
      <c r="D386" t="inlineStr">
        <is>
          <t>DALARNAS LÄN</t>
        </is>
      </c>
      <c r="E386" t="inlineStr">
        <is>
          <t>FALUN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4784-2026</t>
        </is>
      </c>
      <c r="B387" s="1" t="n">
        <v>46048</v>
      </c>
      <c r="C387" s="1" t="n">
        <v>46197</v>
      </c>
      <c r="D387" t="inlineStr">
        <is>
          <t>DALARNAS LÄN</t>
        </is>
      </c>
      <c r="E387" t="inlineStr">
        <is>
          <t>FALUN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47407-2025</t>
        </is>
      </c>
      <c r="B388" s="1" t="n">
        <v>45930</v>
      </c>
      <c r="C388" s="1" t="n">
        <v>46197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4398-2026</t>
        </is>
      </c>
      <c r="B389" s="1" t="n">
        <v>46045</v>
      </c>
      <c r="C389" s="1" t="n">
        <v>46197</v>
      </c>
      <c r="D389" t="inlineStr">
        <is>
          <t>DALARNAS LÄN</t>
        </is>
      </c>
      <c r="E389" t="inlineStr">
        <is>
          <t>FALUN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63312-2023</t>
        </is>
      </c>
      <c r="B390" s="1" t="n">
        <v>45274</v>
      </c>
      <c r="C390" s="1" t="n">
        <v>46197</v>
      </c>
      <c r="D390" t="inlineStr">
        <is>
          <t>DALARNAS LÄN</t>
        </is>
      </c>
      <c r="E390" t="inlineStr">
        <is>
          <t>FALUN</t>
        </is>
      </c>
      <c r="G390" t="n">
        <v>16.2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4917-2026</t>
        </is>
      </c>
      <c r="B391" s="1" t="n">
        <v>46048</v>
      </c>
      <c r="C391" s="1" t="n">
        <v>46197</v>
      </c>
      <c r="D391" t="inlineStr">
        <is>
          <t>DALARNAS LÄN</t>
        </is>
      </c>
      <c r="E391" t="inlineStr">
        <is>
          <t>FALUN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4918-2026</t>
        </is>
      </c>
      <c r="B392" s="1" t="n">
        <v>46048</v>
      </c>
      <c r="C392" s="1" t="n">
        <v>46197</v>
      </c>
      <c r="D392" t="inlineStr">
        <is>
          <t>DALARNAS LÄN</t>
        </is>
      </c>
      <c r="E392" t="inlineStr">
        <is>
          <t>FALUN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4922-2026</t>
        </is>
      </c>
      <c r="B393" s="1" t="n">
        <v>46045</v>
      </c>
      <c r="C393" s="1" t="n">
        <v>46197</v>
      </c>
      <c r="D393" t="inlineStr">
        <is>
          <t>DALARNAS LÄN</t>
        </is>
      </c>
      <c r="E393" t="inlineStr">
        <is>
          <t>FALUN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4840-2026</t>
        </is>
      </c>
      <c r="B394" s="1" t="n">
        <v>46048</v>
      </c>
      <c r="C394" s="1" t="n">
        <v>46197</v>
      </c>
      <c r="D394" t="inlineStr">
        <is>
          <t>DALARNAS LÄN</t>
        </is>
      </c>
      <c r="E394" t="inlineStr">
        <is>
          <t>FALUN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4812-2026</t>
        </is>
      </c>
      <c r="B395" s="1" t="n">
        <v>46048</v>
      </c>
      <c r="C395" s="1" t="n">
        <v>46197</v>
      </c>
      <c r="D395" t="inlineStr">
        <is>
          <t>DALARNAS LÄN</t>
        </is>
      </c>
      <c r="E395" t="inlineStr">
        <is>
          <t>FALUN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4825-2026</t>
        </is>
      </c>
      <c r="B396" s="1" t="n">
        <v>46048</v>
      </c>
      <c r="C396" s="1" t="n">
        <v>46197</v>
      </c>
      <c r="D396" t="inlineStr">
        <is>
          <t>DALARNAS LÄN</t>
        </is>
      </c>
      <c r="E396" t="inlineStr">
        <is>
          <t>FALUN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9730-2026</t>
        </is>
      </c>
      <c r="B397" s="1" t="n">
        <v>46071</v>
      </c>
      <c r="C397" s="1" t="n">
        <v>46197</v>
      </c>
      <c r="D397" t="inlineStr">
        <is>
          <t>DALARNAS LÄN</t>
        </is>
      </c>
      <c r="E397" t="inlineStr">
        <is>
          <t>FALUN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4509-2026</t>
        </is>
      </c>
      <c r="B398" s="1" t="n">
        <v>46045</v>
      </c>
      <c r="C398" s="1" t="n">
        <v>46197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4322-2026</t>
        </is>
      </c>
      <c r="B399" s="1" t="n">
        <v>46045</v>
      </c>
      <c r="C399" s="1" t="n">
        <v>46197</v>
      </c>
      <c r="D399" t="inlineStr">
        <is>
          <t>DALARNAS LÄN</t>
        </is>
      </c>
      <c r="E399" t="inlineStr">
        <is>
          <t>FALUN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4511-2026</t>
        </is>
      </c>
      <c r="B400" s="1" t="n">
        <v>46045</v>
      </c>
      <c r="C400" s="1" t="n">
        <v>46197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4246-2026</t>
        </is>
      </c>
      <c r="B401" s="1" t="n">
        <v>46045</v>
      </c>
      <c r="C401" s="1" t="n">
        <v>46197</v>
      </c>
      <c r="D401" t="inlineStr">
        <is>
          <t>DALARNAS LÄN</t>
        </is>
      </c>
      <c r="E401" t="inlineStr">
        <is>
          <t>FALUN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4517-2026</t>
        </is>
      </c>
      <c r="B402" s="1" t="n">
        <v>46045</v>
      </c>
      <c r="C402" s="1" t="n">
        <v>46197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4883-2026</t>
        </is>
      </c>
      <c r="B403" s="1" t="n">
        <v>46048</v>
      </c>
      <c r="C403" s="1" t="n">
        <v>46197</v>
      </c>
      <c r="D403" t="inlineStr">
        <is>
          <t>DALARNAS LÄN</t>
        </is>
      </c>
      <c r="E403" t="inlineStr">
        <is>
          <t>FALUN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4894-2026</t>
        </is>
      </c>
      <c r="B404" s="1" t="n">
        <v>46048</v>
      </c>
      <c r="C404" s="1" t="n">
        <v>46197</v>
      </c>
      <c r="D404" t="inlineStr">
        <is>
          <t>DALARNAS LÄN</t>
        </is>
      </c>
      <c r="E404" t="inlineStr">
        <is>
          <t>FALUN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4995-2026</t>
        </is>
      </c>
      <c r="B405" s="1" t="n">
        <v>46049</v>
      </c>
      <c r="C405" s="1" t="n">
        <v>46197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5001-2026</t>
        </is>
      </c>
      <c r="B406" s="1" t="n">
        <v>46049</v>
      </c>
      <c r="C406" s="1" t="n">
        <v>46197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5017-2026</t>
        </is>
      </c>
      <c r="B407" s="1" t="n">
        <v>46049</v>
      </c>
      <c r="C407" s="1" t="n">
        <v>46197</v>
      </c>
      <c r="D407" t="inlineStr">
        <is>
          <t>DALARNAS LÄN</t>
        </is>
      </c>
      <c r="E407" t="inlineStr">
        <is>
          <t>FALUN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5409-2026</t>
        </is>
      </c>
      <c r="B408" s="1" t="n">
        <v>46050</v>
      </c>
      <c r="C408" s="1" t="n">
        <v>46197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4971-2026</t>
        </is>
      </c>
      <c r="B409" s="1" t="n">
        <v>46049</v>
      </c>
      <c r="C409" s="1" t="n">
        <v>46197</v>
      </c>
      <c r="D409" t="inlineStr">
        <is>
          <t>DALARNAS LÄN</t>
        </is>
      </c>
      <c r="E409" t="inlineStr">
        <is>
          <t>FALUN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5244-2026</t>
        </is>
      </c>
      <c r="B410" s="1" t="n">
        <v>46049</v>
      </c>
      <c r="C410" s="1" t="n">
        <v>46197</v>
      </c>
      <c r="D410" t="inlineStr">
        <is>
          <t>DALARNAS LÄN</t>
        </is>
      </c>
      <c r="E410" t="inlineStr">
        <is>
          <t>FALUN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5141-2026</t>
        </is>
      </c>
      <c r="B411" s="1" t="n">
        <v>46049</v>
      </c>
      <c r="C411" s="1" t="n">
        <v>46197</v>
      </c>
      <c r="D411" t="inlineStr">
        <is>
          <t>DALARNAS LÄN</t>
        </is>
      </c>
      <c r="E411" t="inlineStr">
        <is>
          <t>FALUN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5012-2026</t>
        </is>
      </c>
      <c r="B412" s="1" t="n">
        <v>46049</v>
      </c>
      <c r="C412" s="1" t="n">
        <v>46197</v>
      </c>
      <c r="D412" t="inlineStr">
        <is>
          <t>DALARNAS LÄN</t>
        </is>
      </c>
      <c r="E412" t="inlineStr">
        <is>
          <t>FALUN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4985-2026</t>
        </is>
      </c>
      <c r="B413" s="1" t="n">
        <v>46049</v>
      </c>
      <c r="C413" s="1" t="n">
        <v>46197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5139-2026</t>
        </is>
      </c>
      <c r="B414" s="1" t="n">
        <v>46049</v>
      </c>
      <c r="C414" s="1" t="n">
        <v>46197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47910-2025</t>
        </is>
      </c>
      <c r="B415" s="1" t="n">
        <v>45932</v>
      </c>
      <c r="C415" s="1" t="n">
        <v>46197</v>
      </c>
      <c r="D415" t="inlineStr">
        <is>
          <t>DALARNAS LÄN</t>
        </is>
      </c>
      <c r="E415" t="inlineStr">
        <is>
          <t>FALUN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47945-2025</t>
        </is>
      </c>
      <c r="B416" s="1" t="n">
        <v>45932</v>
      </c>
      <c r="C416" s="1" t="n">
        <v>46197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5363-2026</t>
        </is>
      </c>
      <c r="B417" s="1" t="n">
        <v>46050</v>
      </c>
      <c r="C417" s="1" t="n">
        <v>46197</v>
      </c>
      <c r="D417" t="inlineStr">
        <is>
          <t>DALARNAS LÄN</t>
        </is>
      </c>
      <c r="E417" t="inlineStr">
        <is>
          <t>FALUN</t>
        </is>
      </c>
      <c r="F417" t="inlineStr">
        <is>
          <t>Kommuner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5019-2026</t>
        </is>
      </c>
      <c r="B418" s="1" t="n">
        <v>46049</v>
      </c>
      <c r="C418" s="1" t="n">
        <v>46197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36271-2025</t>
        </is>
      </c>
      <c r="B419" s="1" t="n">
        <v>45867</v>
      </c>
      <c r="C419" s="1" t="n">
        <v>46197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191-2026</t>
        </is>
      </c>
      <c r="B420" s="1" t="n">
        <v>46025</v>
      </c>
      <c r="C420" s="1" t="n">
        <v>46197</v>
      </c>
      <c r="D420" t="inlineStr">
        <is>
          <t>DALARNAS LÄN</t>
        </is>
      </c>
      <c r="E420" t="inlineStr">
        <is>
          <t>FALUN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5486-2026</t>
        </is>
      </c>
      <c r="B421" s="1" t="n">
        <v>46050</v>
      </c>
      <c r="C421" s="1" t="n">
        <v>46197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5242-2026</t>
        </is>
      </c>
      <c r="B422" s="1" t="n">
        <v>46049</v>
      </c>
      <c r="C422" s="1" t="n">
        <v>46197</v>
      </c>
      <c r="D422" t="inlineStr">
        <is>
          <t>DALARNAS LÄN</t>
        </is>
      </c>
      <c r="E422" t="inlineStr">
        <is>
          <t>FALUN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47838-2025</t>
        </is>
      </c>
      <c r="B423" s="1" t="n">
        <v>45931</v>
      </c>
      <c r="C423" s="1" t="n">
        <v>46197</v>
      </c>
      <c r="D423" t="inlineStr">
        <is>
          <t>DALARNAS LÄN</t>
        </is>
      </c>
      <c r="E423" t="inlineStr">
        <is>
          <t>FALUN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5071-2026</t>
        </is>
      </c>
      <c r="B424" s="1" t="n">
        <v>46049</v>
      </c>
      <c r="C424" s="1" t="n">
        <v>46197</v>
      </c>
      <c r="D424" t="inlineStr">
        <is>
          <t>DALARNAS LÄN</t>
        </is>
      </c>
      <c r="E424" t="inlineStr">
        <is>
          <t>FALUN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5916-2026</t>
        </is>
      </c>
      <c r="B425" s="1" t="n">
        <v>46052</v>
      </c>
      <c r="C425" s="1" t="n">
        <v>46197</v>
      </c>
      <c r="D425" t="inlineStr">
        <is>
          <t>DALARNAS LÄN</t>
        </is>
      </c>
      <c r="E425" t="inlineStr">
        <is>
          <t>FALUN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5734-2026</t>
        </is>
      </c>
      <c r="B426" s="1" t="n">
        <v>46051</v>
      </c>
      <c r="C426" s="1" t="n">
        <v>46197</v>
      </c>
      <c r="D426" t="inlineStr">
        <is>
          <t>DALARNAS LÄN</t>
        </is>
      </c>
      <c r="E426" t="inlineStr">
        <is>
          <t>FALUN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5695-2026</t>
        </is>
      </c>
      <c r="B427" s="1" t="n">
        <v>46051</v>
      </c>
      <c r="C427" s="1" t="n">
        <v>46197</v>
      </c>
      <c r="D427" t="inlineStr">
        <is>
          <t>DALARNAS LÄN</t>
        </is>
      </c>
      <c r="E427" t="inlineStr">
        <is>
          <t>FALUN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6609-2026</t>
        </is>
      </c>
      <c r="B428" s="1" t="n">
        <v>46052</v>
      </c>
      <c r="C428" s="1" t="n">
        <v>46197</v>
      </c>
      <c r="D428" t="inlineStr">
        <is>
          <t>DALARNAS LÄN</t>
        </is>
      </c>
      <c r="E428" t="inlineStr">
        <is>
          <t>FALUN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10318-2024</t>
        </is>
      </c>
      <c r="B429" s="1" t="n">
        <v>45365</v>
      </c>
      <c r="C429" s="1" t="n">
        <v>46197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56141-2024</t>
        </is>
      </c>
      <c r="B430" s="1" t="n">
        <v>45624</v>
      </c>
      <c r="C430" s="1" t="n">
        <v>46197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5921-2026</t>
        </is>
      </c>
      <c r="B431" s="1" t="n">
        <v>46052</v>
      </c>
      <c r="C431" s="1" t="n">
        <v>46197</v>
      </c>
      <c r="D431" t="inlineStr">
        <is>
          <t>DALARNAS LÄN</t>
        </is>
      </c>
      <c r="E431" t="inlineStr">
        <is>
          <t>FALUN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6607-2026</t>
        </is>
      </c>
      <c r="B432" s="1" t="n">
        <v>46052</v>
      </c>
      <c r="C432" s="1" t="n">
        <v>46197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35379-2022</t>
        </is>
      </c>
      <c r="B433" s="1" t="n">
        <v>44798</v>
      </c>
      <c r="C433" s="1" t="n">
        <v>46197</v>
      </c>
      <c r="D433" t="inlineStr">
        <is>
          <t>DALARNAS LÄN</t>
        </is>
      </c>
      <c r="E433" t="inlineStr">
        <is>
          <t>FALUN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6029-2026</t>
        </is>
      </c>
      <c r="B434" s="1" t="n">
        <v>46052</v>
      </c>
      <c r="C434" s="1" t="n">
        <v>46197</v>
      </c>
      <c r="D434" t="inlineStr">
        <is>
          <t>DALARNAS LÄN</t>
        </is>
      </c>
      <c r="E434" t="inlineStr">
        <is>
          <t>FALUN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58133-2024</t>
        </is>
      </c>
      <c r="B435" s="1" t="n">
        <v>45632</v>
      </c>
      <c r="C435" s="1" t="n">
        <v>46197</v>
      </c>
      <c r="D435" t="inlineStr">
        <is>
          <t>DALARNAS LÄN</t>
        </is>
      </c>
      <c r="E435" t="inlineStr">
        <is>
          <t>FALUN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5770-2026</t>
        </is>
      </c>
      <c r="B436" s="1" t="n">
        <v>46051</v>
      </c>
      <c r="C436" s="1" t="n">
        <v>46197</v>
      </c>
      <c r="D436" t="inlineStr">
        <is>
          <t>DALARNAS LÄN</t>
        </is>
      </c>
      <c r="E436" t="inlineStr">
        <is>
          <t>FALUN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44531-2024</t>
        </is>
      </c>
      <c r="B437" s="1" t="n">
        <v>45574</v>
      </c>
      <c r="C437" s="1" t="n">
        <v>46197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5913-2026</t>
        </is>
      </c>
      <c r="B438" s="1" t="n">
        <v>46052</v>
      </c>
      <c r="C438" s="1" t="n">
        <v>46197</v>
      </c>
      <c r="D438" t="inlineStr">
        <is>
          <t>DALARNAS LÄN</t>
        </is>
      </c>
      <c r="E438" t="inlineStr">
        <is>
          <t>FALUN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53008-2024</t>
        </is>
      </c>
      <c r="B439" s="1" t="n">
        <v>45611</v>
      </c>
      <c r="C439" s="1" t="n">
        <v>46197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6022-2026</t>
        </is>
      </c>
      <c r="B440" s="1" t="n">
        <v>46052</v>
      </c>
      <c r="C440" s="1" t="n">
        <v>46197</v>
      </c>
      <c r="D440" t="inlineStr">
        <is>
          <t>DALARNAS LÄN</t>
        </is>
      </c>
      <c r="E440" t="inlineStr">
        <is>
          <t>FALUN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5902-2026</t>
        </is>
      </c>
      <c r="B441" s="1" t="n">
        <v>46052</v>
      </c>
      <c r="C441" s="1" t="n">
        <v>46197</v>
      </c>
      <c r="D441" t="inlineStr">
        <is>
          <t>DALARNAS LÄN</t>
        </is>
      </c>
      <c r="E441" t="inlineStr">
        <is>
          <t>FALUN</t>
        </is>
      </c>
      <c r="G441" t="n">
        <v>18.9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48866-2025</t>
        </is>
      </c>
      <c r="B442" s="1" t="n">
        <v>45937</v>
      </c>
      <c r="C442" s="1" t="n">
        <v>46197</v>
      </c>
      <c r="D442" t="inlineStr">
        <is>
          <t>DALARNAS LÄN</t>
        </is>
      </c>
      <c r="E442" t="inlineStr">
        <is>
          <t>FALUN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49134-2025</t>
        </is>
      </c>
      <c r="B443" s="1" t="n">
        <v>45937</v>
      </c>
      <c r="C443" s="1" t="n">
        <v>46197</v>
      </c>
      <c r="D443" t="inlineStr">
        <is>
          <t>DALARNAS LÄN</t>
        </is>
      </c>
      <c r="E443" t="inlineStr">
        <is>
          <t>FALUN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49150-2025</t>
        </is>
      </c>
      <c r="B444" s="1" t="n">
        <v>45938</v>
      </c>
      <c r="C444" s="1" t="n">
        <v>46197</v>
      </c>
      <c r="D444" t="inlineStr">
        <is>
          <t>DALARNAS LÄN</t>
        </is>
      </c>
      <c r="E444" t="inlineStr">
        <is>
          <t>FALUN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6231-2026</t>
        </is>
      </c>
      <c r="B445" s="1" t="n">
        <v>46055</v>
      </c>
      <c r="C445" s="1" t="n">
        <v>46197</v>
      </c>
      <c r="D445" t="inlineStr">
        <is>
          <t>DALARNAS LÄN</t>
        </is>
      </c>
      <c r="E445" t="inlineStr">
        <is>
          <t>FALUN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6435-2026</t>
        </is>
      </c>
      <c r="B446" s="1" t="n">
        <v>46055</v>
      </c>
      <c r="C446" s="1" t="n">
        <v>46197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6747-2026</t>
        </is>
      </c>
      <c r="B447" s="1" t="n">
        <v>46056</v>
      </c>
      <c r="C447" s="1" t="n">
        <v>46197</v>
      </c>
      <c r="D447" t="inlineStr">
        <is>
          <t>DALARNAS LÄN</t>
        </is>
      </c>
      <c r="E447" t="inlineStr">
        <is>
          <t>FALUN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49877-2025</t>
        </is>
      </c>
      <c r="B448" s="1" t="n">
        <v>45940</v>
      </c>
      <c r="C448" s="1" t="n">
        <v>46197</v>
      </c>
      <c r="D448" t="inlineStr">
        <is>
          <t>DALARNAS LÄN</t>
        </is>
      </c>
      <c r="E448" t="inlineStr">
        <is>
          <t>FALUN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53062-2024</t>
        </is>
      </c>
      <c r="B449" s="1" t="n">
        <v>45611</v>
      </c>
      <c r="C449" s="1" t="n">
        <v>46197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6552-2026</t>
        </is>
      </c>
      <c r="B450" s="1" t="n">
        <v>46056</v>
      </c>
      <c r="C450" s="1" t="n">
        <v>46197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49891-2025</t>
        </is>
      </c>
      <c r="B451" s="1" t="n">
        <v>45940</v>
      </c>
      <c r="C451" s="1" t="n">
        <v>46197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6284-2026</t>
        </is>
      </c>
      <c r="B452" s="1" t="n">
        <v>46055</v>
      </c>
      <c r="C452" s="1" t="n">
        <v>46197</v>
      </c>
      <c r="D452" t="inlineStr">
        <is>
          <t>DALARNAS LÄN</t>
        </is>
      </c>
      <c r="E452" t="inlineStr">
        <is>
          <t>FALUN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37456-2025</t>
        </is>
      </c>
      <c r="B453" s="1" t="n">
        <v>45877</v>
      </c>
      <c r="C453" s="1" t="n">
        <v>46197</v>
      </c>
      <c r="D453" t="inlineStr">
        <is>
          <t>DALARNAS LÄN</t>
        </is>
      </c>
      <c r="E453" t="inlineStr">
        <is>
          <t>FALUN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49905-2025</t>
        </is>
      </c>
      <c r="B454" s="1" t="n">
        <v>45940</v>
      </c>
      <c r="C454" s="1" t="n">
        <v>46197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59673-2024</t>
        </is>
      </c>
      <c r="B455" s="1" t="n">
        <v>45639</v>
      </c>
      <c r="C455" s="1" t="n">
        <v>46197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6229-2026</t>
        </is>
      </c>
      <c r="B456" s="1" t="n">
        <v>46055</v>
      </c>
      <c r="C456" s="1" t="n">
        <v>46197</v>
      </c>
      <c r="D456" t="inlineStr">
        <is>
          <t>DALARNAS LÄN</t>
        </is>
      </c>
      <c r="E456" t="inlineStr">
        <is>
          <t>FALUN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6515-2026</t>
        </is>
      </c>
      <c r="B457" s="1" t="n">
        <v>46056</v>
      </c>
      <c r="C457" s="1" t="n">
        <v>46197</v>
      </c>
      <c r="D457" t="inlineStr">
        <is>
          <t>DALARNAS LÄN</t>
        </is>
      </c>
      <c r="E457" t="inlineStr">
        <is>
          <t>FALUN</t>
        </is>
      </c>
      <c r="G457" t="n">
        <v>27.4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6568-2026</t>
        </is>
      </c>
      <c r="B458" s="1" t="n">
        <v>46056</v>
      </c>
      <c r="C458" s="1" t="n">
        <v>46197</v>
      </c>
      <c r="D458" t="inlineStr">
        <is>
          <t>DALARNAS LÄN</t>
        </is>
      </c>
      <c r="E458" t="inlineStr">
        <is>
          <t>FALUN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6604-2026</t>
        </is>
      </c>
      <c r="B459" s="1" t="n">
        <v>46056</v>
      </c>
      <c r="C459" s="1" t="n">
        <v>46197</v>
      </c>
      <c r="D459" t="inlineStr">
        <is>
          <t>DALARNAS LÄN</t>
        </is>
      </c>
      <c r="E459" t="inlineStr">
        <is>
          <t>FALUN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21747-2024</t>
        </is>
      </c>
      <c r="B460" s="1" t="n">
        <v>45442</v>
      </c>
      <c r="C460" s="1" t="n">
        <v>46197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6736-2026</t>
        </is>
      </c>
      <c r="B461" s="1" t="n">
        <v>46056</v>
      </c>
      <c r="C461" s="1" t="n">
        <v>46197</v>
      </c>
      <c r="D461" t="inlineStr">
        <is>
          <t>DALARNAS LÄN</t>
        </is>
      </c>
      <c r="E461" t="inlineStr">
        <is>
          <t>FALUN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24297-2024</t>
        </is>
      </c>
      <c r="B462" s="1" t="n">
        <v>45457</v>
      </c>
      <c r="C462" s="1" t="n">
        <v>46197</v>
      </c>
      <c r="D462" t="inlineStr">
        <is>
          <t>DALARNAS LÄN</t>
        </is>
      </c>
      <c r="E462" t="inlineStr">
        <is>
          <t>FALUN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37998-2025</t>
        </is>
      </c>
      <c r="B463" s="1" t="n">
        <v>45881</v>
      </c>
      <c r="C463" s="1" t="n">
        <v>46197</v>
      </c>
      <c r="D463" t="inlineStr">
        <is>
          <t>DALARNAS LÄN</t>
        </is>
      </c>
      <c r="E463" t="inlineStr">
        <is>
          <t>FALUN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37999-2025</t>
        </is>
      </c>
      <c r="B464" s="1" t="n">
        <v>45881</v>
      </c>
      <c r="C464" s="1" t="n">
        <v>46197</v>
      </c>
      <c r="D464" t="inlineStr">
        <is>
          <t>DALARNAS LÄN</t>
        </is>
      </c>
      <c r="E464" t="inlineStr">
        <is>
          <t>FALUN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6213-2026</t>
        </is>
      </c>
      <c r="B465" s="1" t="n">
        <v>46055</v>
      </c>
      <c r="C465" s="1" t="n">
        <v>46197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50300-2025</t>
        </is>
      </c>
      <c r="B466" s="1" t="n">
        <v>45944</v>
      </c>
      <c r="C466" s="1" t="n">
        <v>46197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50630-2025</t>
        </is>
      </c>
      <c r="B467" s="1" t="n">
        <v>45945</v>
      </c>
      <c r="C467" s="1" t="n">
        <v>46197</v>
      </c>
      <c r="D467" t="inlineStr">
        <is>
          <t>DALARNAS LÄN</t>
        </is>
      </c>
      <c r="E467" t="inlineStr">
        <is>
          <t>FALUN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55917-2022</t>
        </is>
      </c>
      <c r="B468" s="1" t="n">
        <v>44889</v>
      </c>
      <c r="C468" s="1" t="n">
        <v>46197</v>
      </c>
      <c r="D468" t="inlineStr">
        <is>
          <t>DALARNAS LÄN</t>
        </is>
      </c>
      <c r="E468" t="inlineStr">
        <is>
          <t>FALUN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6703-2026</t>
        </is>
      </c>
      <c r="B469" s="1" t="n">
        <v>46056</v>
      </c>
      <c r="C469" s="1" t="n">
        <v>46197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6573-2026</t>
        </is>
      </c>
      <c r="B470" s="1" t="n">
        <v>46056</v>
      </c>
      <c r="C470" s="1" t="n">
        <v>46197</v>
      </c>
      <c r="D470" t="inlineStr">
        <is>
          <t>DALARNAS LÄN</t>
        </is>
      </c>
      <c r="E470" t="inlineStr">
        <is>
          <t>FALUN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6955-2026</t>
        </is>
      </c>
      <c r="B471" s="1" t="n">
        <v>46056</v>
      </c>
      <c r="C471" s="1" t="n">
        <v>46197</v>
      </c>
      <c r="D471" t="inlineStr">
        <is>
          <t>DALARNAS LÄN</t>
        </is>
      </c>
      <c r="E471" t="inlineStr">
        <is>
          <t>FALUN</t>
        </is>
      </c>
      <c r="F471" t="inlineStr">
        <is>
          <t>Allmännings- och besparingsskogar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6159-2026</t>
        </is>
      </c>
      <c r="B472" s="1" t="n">
        <v>46055</v>
      </c>
      <c r="C472" s="1" t="n">
        <v>46197</v>
      </c>
      <c r="D472" t="inlineStr">
        <is>
          <t>DALARNAS LÄN</t>
        </is>
      </c>
      <c r="E472" t="inlineStr">
        <is>
          <t>FALUN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6556-2026</t>
        </is>
      </c>
      <c r="B473" s="1" t="n">
        <v>46056</v>
      </c>
      <c r="C473" s="1" t="n">
        <v>46197</v>
      </c>
      <c r="D473" t="inlineStr">
        <is>
          <t>DALARNAS LÄN</t>
        </is>
      </c>
      <c r="E473" t="inlineStr">
        <is>
          <t>FALUN</t>
        </is>
      </c>
      <c r="G473" t="n">
        <v>17.2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6899-2026</t>
        </is>
      </c>
      <c r="B474" s="1" t="n">
        <v>46057</v>
      </c>
      <c r="C474" s="1" t="n">
        <v>46197</v>
      </c>
      <c r="D474" t="inlineStr">
        <is>
          <t>DALARNAS LÄN</t>
        </is>
      </c>
      <c r="E474" t="inlineStr">
        <is>
          <t>FALUN</t>
        </is>
      </c>
      <c r="G474" t="n">
        <v>21.7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143-2025</t>
        </is>
      </c>
      <c r="B475" s="1" t="n">
        <v>45659</v>
      </c>
      <c r="C475" s="1" t="n">
        <v>46197</v>
      </c>
      <c r="D475" t="inlineStr">
        <is>
          <t>DALARNAS LÄN</t>
        </is>
      </c>
      <c r="E475" t="inlineStr">
        <is>
          <t>FALUN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7293-2026</t>
        </is>
      </c>
      <c r="B476" s="1" t="n">
        <v>46058</v>
      </c>
      <c r="C476" s="1" t="n">
        <v>46197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22843-2022</t>
        </is>
      </c>
      <c r="B477" s="1" t="n">
        <v>44715</v>
      </c>
      <c r="C477" s="1" t="n">
        <v>46197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37750-2023</t>
        </is>
      </c>
      <c r="B478" s="1" t="n">
        <v>45159</v>
      </c>
      <c r="C478" s="1" t="n">
        <v>46197</v>
      </c>
      <c r="D478" t="inlineStr">
        <is>
          <t>DALARNAS LÄN</t>
        </is>
      </c>
      <c r="E478" t="inlineStr">
        <is>
          <t>FALUN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6756-2026</t>
        </is>
      </c>
      <c r="B479" s="1" t="n">
        <v>46056</v>
      </c>
      <c r="C479" s="1" t="n">
        <v>46197</v>
      </c>
      <c r="D479" t="inlineStr">
        <is>
          <t>DALARNAS LÄN</t>
        </is>
      </c>
      <c r="E479" t="inlineStr">
        <is>
          <t>FALUN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6754-2026</t>
        </is>
      </c>
      <c r="B480" s="1" t="n">
        <v>46056</v>
      </c>
      <c r="C480" s="1" t="n">
        <v>46197</v>
      </c>
      <c r="D480" t="inlineStr">
        <is>
          <t>DALARNAS LÄN</t>
        </is>
      </c>
      <c r="E480" t="inlineStr">
        <is>
          <t>FALUN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7314-2026</t>
        </is>
      </c>
      <c r="B481" s="1" t="n">
        <v>46058</v>
      </c>
      <c r="C481" s="1" t="n">
        <v>46197</v>
      </c>
      <c r="D481" t="inlineStr">
        <is>
          <t>DALARNAS LÄN</t>
        </is>
      </c>
      <c r="E481" t="inlineStr">
        <is>
          <t>FALUN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7218-2026</t>
        </is>
      </c>
      <c r="B482" s="1" t="n">
        <v>46058</v>
      </c>
      <c r="C482" s="1" t="n">
        <v>46197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51306-2025</t>
        </is>
      </c>
      <c r="B483" s="1" t="n">
        <v>45950</v>
      </c>
      <c r="C483" s="1" t="n">
        <v>46197</v>
      </c>
      <c r="D483" t="inlineStr">
        <is>
          <t>DALARNAS LÄN</t>
        </is>
      </c>
      <c r="E483" t="inlineStr">
        <is>
          <t>FALUN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7055-2026</t>
        </is>
      </c>
      <c r="B484" s="1" t="n">
        <v>46057</v>
      </c>
      <c r="C484" s="1" t="n">
        <v>46197</v>
      </c>
      <c r="D484" t="inlineStr">
        <is>
          <t>DALARNAS LÄN</t>
        </is>
      </c>
      <c r="E484" t="inlineStr">
        <is>
          <t>FALUN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6974-2026</t>
        </is>
      </c>
      <c r="B485" s="1" t="n">
        <v>46057</v>
      </c>
      <c r="C485" s="1" t="n">
        <v>46197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6985-2026</t>
        </is>
      </c>
      <c r="B486" s="1" t="n">
        <v>46057</v>
      </c>
      <c r="C486" s="1" t="n">
        <v>46197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50241-2024</t>
        </is>
      </c>
      <c r="B487" s="1" t="n">
        <v>45600</v>
      </c>
      <c r="C487" s="1" t="n">
        <v>46197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13973-2026</t>
        </is>
      </c>
      <c r="B488" s="1" t="n">
        <v>46090</v>
      </c>
      <c r="C488" s="1" t="n">
        <v>46197</v>
      </c>
      <c r="D488" t="inlineStr">
        <is>
          <t>DALARNAS LÄN</t>
        </is>
      </c>
      <c r="E488" t="inlineStr">
        <is>
          <t>FALUN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6931-2026</t>
        </is>
      </c>
      <c r="B489" s="1" t="n">
        <v>46057</v>
      </c>
      <c r="C489" s="1" t="n">
        <v>46197</v>
      </c>
      <c r="D489" t="inlineStr">
        <is>
          <t>DALARNAS LÄN</t>
        </is>
      </c>
      <c r="E489" t="inlineStr">
        <is>
          <t>FALUN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37049-2023</t>
        </is>
      </c>
      <c r="B490" s="1" t="n">
        <v>45155</v>
      </c>
      <c r="C490" s="1" t="n">
        <v>46197</v>
      </c>
      <c r="D490" t="inlineStr">
        <is>
          <t>DALARNAS LÄN</t>
        </is>
      </c>
      <c r="E490" t="inlineStr">
        <is>
          <t>FALUN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7696-2026</t>
        </is>
      </c>
      <c r="B491" s="1" t="n">
        <v>46062</v>
      </c>
      <c r="C491" s="1" t="n">
        <v>46197</v>
      </c>
      <c r="D491" t="inlineStr">
        <is>
          <t>DALARNAS LÄN</t>
        </is>
      </c>
      <c r="E491" t="inlineStr">
        <is>
          <t>FALUN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7493-2026</t>
        </is>
      </c>
      <c r="B492" s="1" t="n">
        <v>46059</v>
      </c>
      <c r="C492" s="1" t="n">
        <v>46197</v>
      </c>
      <c r="D492" t="inlineStr">
        <is>
          <t>DALARNAS LÄN</t>
        </is>
      </c>
      <c r="E492" t="inlineStr">
        <is>
          <t>FALUN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28249-2023</t>
        </is>
      </c>
      <c r="B493" s="1" t="n">
        <v>45099</v>
      </c>
      <c r="C493" s="1" t="n">
        <v>46197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61377-2021</t>
        </is>
      </c>
      <c r="B494" s="1" t="n">
        <v>44500</v>
      </c>
      <c r="C494" s="1" t="n">
        <v>46197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47685-2023</t>
        </is>
      </c>
      <c r="B495" s="1" t="n">
        <v>45203</v>
      </c>
      <c r="C495" s="1" t="n">
        <v>46197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42954-2023</t>
        </is>
      </c>
      <c r="B496" s="1" t="n">
        <v>45182</v>
      </c>
      <c r="C496" s="1" t="n">
        <v>46197</v>
      </c>
      <c r="D496" t="inlineStr">
        <is>
          <t>DALARNAS LÄN</t>
        </is>
      </c>
      <c r="E496" t="inlineStr">
        <is>
          <t>FALUN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3657-2026</t>
        </is>
      </c>
      <c r="B497" s="1" t="n">
        <v>46043</v>
      </c>
      <c r="C497" s="1" t="n">
        <v>46197</v>
      </c>
      <c r="D497" t="inlineStr">
        <is>
          <t>DALARNAS LÄN</t>
        </is>
      </c>
      <c r="E497" t="inlineStr">
        <is>
          <t>FALUN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7587-2025</t>
        </is>
      </c>
      <c r="B498" s="1" t="n">
        <v>45705</v>
      </c>
      <c r="C498" s="1" t="n">
        <v>46197</v>
      </c>
      <c r="D498" t="inlineStr">
        <is>
          <t>DALARNAS LÄN</t>
        </is>
      </c>
      <c r="E498" t="inlineStr">
        <is>
          <t>FALUN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43238-2024</t>
        </is>
      </c>
      <c r="B499" s="1" t="n">
        <v>45567</v>
      </c>
      <c r="C499" s="1" t="n">
        <v>46197</v>
      </c>
      <c r="D499" t="inlineStr">
        <is>
          <t>DALARNAS LÄN</t>
        </is>
      </c>
      <c r="E499" t="inlineStr">
        <is>
          <t>FALUN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53643-2024</t>
        </is>
      </c>
      <c r="B500" s="1" t="n">
        <v>45614</v>
      </c>
      <c r="C500" s="1" t="n">
        <v>46197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52752-2025</t>
        </is>
      </c>
      <c r="B501" s="1" t="n">
        <v>45957</v>
      </c>
      <c r="C501" s="1" t="n">
        <v>46197</v>
      </c>
      <c r="D501" t="inlineStr">
        <is>
          <t>DALARNAS LÄN</t>
        </is>
      </c>
      <c r="E501" t="inlineStr">
        <is>
          <t>FALUN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7916-2023</t>
        </is>
      </c>
      <c r="B502" s="1" t="n">
        <v>44973</v>
      </c>
      <c r="C502" s="1" t="n">
        <v>46197</v>
      </c>
      <c r="D502" t="inlineStr">
        <is>
          <t>DALARNAS LÄN</t>
        </is>
      </c>
      <c r="E502" t="inlineStr">
        <is>
          <t>FALUN</t>
        </is>
      </c>
      <c r="G502" t="n">
        <v>22.8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51608-2024</t>
        </is>
      </c>
      <c r="B503" s="1" t="n">
        <v>45604</v>
      </c>
      <c r="C503" s="1" t="n">
        <v>46197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43030-2023</t>
        </is>
      </c>
      <c r="B504" s="1" t="n">
        <v>45182</v>
      </c>
      <c r="C504" s="1" t="n">
        <v>46197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7857-2026</t>
        </is>
      </c>
      <c r="B505" s="1" t="n">
        <v>46062</v>
      </c>
      <c r="C505" s="1" t="n">
        <v>46197</v>
      </c>
      <c r="D505" t="inlineStr">
        <is>
          <t>DALARNAS LÄN</t>
        </is>
      </c>
      <c r="E505" t="inlineStr">
        <is>
          <t>FALUN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7476-2026</t>
        </is>
      </c>
      <c r="B506" s="1" t="n">
        <v>46059</v>
      </c>
      <c r="C506" s="1" t="n">
        <v>46197</v>
      </c>
      <c r="D506" t="inlineStr">
        <is>
          <t>DALARNAS LÄN</t>
        </is>
      </c>
      <c r="E506" t="inlineStr">
        <is>
          <t>FALUN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52460-2025</t>
        </is>
      </c>
      <c r="B507" s="1" t="n">
        <v>45954</v>
      </c>
      <c r="C507" s="1" t="n">
        <v>46197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8161-2026</t>
        </is>
      </c>
      <c r="B508" s="1" t="n">
        <v>46064</v>
      </c>
      <c r="C508" s="1" t="n">
        <v>46197</v>
      </c>
      <c r="D508" t="inlineStr">
        <is>
          <t>DALARNAS LÄN</t>
        </is>
      </c>
      <c r="E508" t="inlineStr">
        <is>
          <t>FALUN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53202-2025</t>
        </is>
      </c>
      <c r="B509" s="1" t="n">
        <v>45958</v>
      </c>
      <c r="C509" s="1" t="n">
        <v>46197</v>
      </c>
      <c r="D509" t="inlineStr">
        <is>
          <t>DALARNAS LÄN</t>
        </is>
      </c>
      <c r="E509" t="inlineStr">
        <is>
          <t>FALUN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4799-2026</t>
        </is>
      </c>
      <c r="B510" s="1" t="n">
        <v>46048</v>
      </c>
      <c r="C510" s="1" t="n">
        <v>46197</v>
      </c>
      <c r="D510" t="inlineStr">
        <is>
          <t>DALARNAS LÄN</t>
        </is>
      </c>
      <c r="E510" t="inlineStr">
        <is>
          <t>FALUN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52836-2025</t>
        </is>
      </c>
      <c r="B511" s="1" t="n">
        <v>45957</v>
      </c>
      <c r="C511" s="1" t="n">
        <v>46197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52605-2025</t>
        </is>
      </c>
      <c r="B512" s="1" t="n">
        <v>45954</v>
      </c>
      <c r="C512" s="1" t="n">
        <v>46197</v>
      </c>
      <c r="D512" t="inlineStr">
        <is>
          <t>DALARNAS LÄN</t>
        </is>
      </c>
      <c r="E512" t="inlineStr">
        <is>
          <t>FALUN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31077-2023</t>
        </is>
      </c>
      <c r="B513" s="1" t="n">
        <v>45113</v>
      </c>
      <c r="C513" s="1" t="n">
        <v>46197</v>
      </c>
      <c r="D513" t="inlineStr">
        <is>
          <t>DALARNAS LÄN</t>
        </is>
      </c>
      <c r="E513" t="inlineStr">
        <is>
          <t>FALUN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7965-2026</t>
        </is>
      </c>
      <c r="B514" s="1" t="n">
        <v>46063</v>
      </c>
      <c r="C514" s="1" t="n">
        <v>46197</v>
      </c>
      <c r="D514" t="inlineStr">
        <is>
          <t>DALARNAS LÄN</t>
        </is>
      </c>
      <c r="E514" t="inlineStr">
        <is>
          <t>FALUN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7967-2026</t>
        </is>
      </c>
      <c r="B515" s="1" t="n">
        <v>46063</v>
      </c>
      <c r="C515" s="1" t="n">
        <v>46197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25894-2025</t>
        </is>
      </c>
      <c r="B516" s="1" t="n">
        <v>45804</v>
      </c>
      <c r="C516" s="1" t="n">
        <v>46197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8626-2026</t>
        </is>
      </c>
      <c r="B517" s="1" t="n">
        <v>46066</v>
      </c>
      <c r="C517" s="1" t="n">
        <v>46197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8599-2026</t>
        </is>
      </c>
      <c r="B518" s="1" t="n">
        <v>46065</v>
      </c>
      <c r="C518" s="1" t="n">
        <v>46197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53996-2025</t>
        </is>
      </c>
      <c r="B519" s="1" t="n">
        <v>45961</v>
      </c>
      <c r="C519" s="1" t="n">
        <v>46197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8821-2026</t>
        </is>
      </c>
      <c r="B520" s="1" t="n">
        <v>46066</v>
      </c>
      <c r="C520" s="1" t="n">
        <v>46197</v>
      </c>
      <c r="D520" t="inlineStr">
        <is>
          <t>DALARNAS LÄN</t>
        </is>
      </c>
      <c r="E520" t="inlineStr">
        <is>
          <t>FALUN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8760-2026</t>
        </is>
      </c>
      <c r="B521" s="1" t="n">
        <v>46066</v>
      </c>
      <c r="C521" s="1" t="n">
        <v>46197</v>
      </c>
      <c r="D521" t="inlineStr">
        <is>
          <t>DALARNAS LÄN</t>
        </is>
      </c>
      <c r="E521" t="inlineStr">
        <is>
          <t>FALUN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8808-2026</t>
        </is>
      </c>
      <c r="B522" s="1" t="n">
        <v>46066</v>
      </c>
      <c r="C522" s="1" t="n">
        <v>46197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37300-2021</t>
        </is>
      </c>
      <c r="B523" s="1" t="n">
        <v>44397</v>
      </c>
      <c r="C523" s="1" t="n">
        <v>46197</v>
      </c>
      <c r="D523" t="inlineStr">
        <is>
          <t>DALARNAS LÄN</t>
        </is>
      </c>
      <c r="E523" t="inlineStr">
        <is>
          <t>FALUN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8797-2026</t>
        </is>
      </c>
      <c r="B524" s="1" t="n">
        <v>46066</v>
      </c>
      <c r="C524" s="1" t="n">
        <v>46197</v>
      </c>
      <c r="D524" t="inlineStr">
        <is>
          <t>DALARNAS LÄN</t>
        </is>
      </c>
      <c r="E524" t="inlineStr">
        <is>
          <t>FALUN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8770-2026</t>
        </is>
      </c>
      <c r="B525" s="1" t="n">
        <v>46066</v>
      </c>
      <c r="C525" s="1" t="n">
        <v>46197</v>
      </c>
      <c r="D525" t="inlineStr">
        <is>
          <t>DALARNAS LÄN</t>
        </is>
      </c>
      <c r="E525" t="inlineStr">
        <is>
          <t>FALUN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6799-2026</t>
        </is>
      </c>
      <c r="B526" s="1" t="n">
        <v>46055</v>
      </c>
      <c r="C526" s="1" t="n">
        <v>46197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8409-2026</t>
        </is>
      </c>
      <c r="B527" s="1" t="n">
        <v>46065</v>
      </c>
      <c r="C527" s="1" t="n">
        <v>46197</v>
      </c>
      <c r="D527" t="inlineStr">
        <is>
          <t>DALARNAS LÄN</t>
        </is>
      </c>
      <c r="E527" t="inlineStr">
        <is>
          <t>FALUN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8589-2026</t>
        </is>
      </c>
      <c r="B528" s="1" t="n">
        <v>46065</v>
      </c>
      <c r="C528" s="1" t="n">
        <v>46197</v>
      </c>
      <c r="D528" t="inlineStr">
        <is>
          <t>DALARNAS LÄN</t>
        </is>
      </c>
      <c r="E528" t="inlineStr">
        <is>
          <t>FALUN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8904-2026</t>
        </is>
      </c>
      <c r="B529" s="1" t="n">
        <v>46068</v>
      </c>
      <c r="C529" s="1" t="n">
        <v>46197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4719-2026</t>
        </is>
      </c>
      <c r="B530" s="1" t="n">
        <v>46048</v>
      </c>
      <c r="C530" s="1" t="n">
        <v>46197</v>
      </c>
      <c r="D530" t="inlineStr">
        <is>
          <t>DALARNAS LÄN</t>
        </is>
      </c>
      <c r="E530" t="inlineStr">
        <is>
          <t>FALUN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54335-2025</t>
        </is>
      </c>
      <c r="B531" s="1" t="n">
        <v>45965</v>
      </c>
      <c r="C531" s="1" t="n">
        <v>46197</v>
      </c>
      <c r="D531" t="inlineStr">
        <is>
          <t>DALARNAS LÄN</t>
        </is>
      </c>
      <c r="E531" t="inlineStr">
        <is>
          <t>FALUN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54566-2025</t>
        </is>
      </c>
      <c r="B532" s="1" t="n">
        <v>45965</v>
      </c>
      <c r="C532" s="1" t="n">
        <v>46197</v>
      </c>
      <c r="D532" t="inlineStr">
        <is>
          <t>DALARNAS LÄN</t>
        </is>
      </c>
      <c r="E532" t="inlineStr">
        <is>
          <t>FALUN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4036-2026</t>
        </is>
      </c>
      <c r="B533" s="1" t="n">
        <v>46044</v>
      </c>
      <c r="C533" s="1" t="n">
        <v>46197</v>
      </c>
      <c r="D533" t="inlineStr">
        <is>
          <t>DALARNAS LÄN</t>
        </is>
      </c>
      <c r="E533" t="inlineStr">
        <is>
          <t>FALUN</t>
        </is>
      </c>
      <c r="F533" t="inlineStr">
        <is>
          <t>Kyrkan</t>
        </is>
      </c>
      <c r="G533" t="n">
        <v>18.5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5275-2026</t>
        </is>
      </c>
      <c r="B534" s="1" t="n">
        <v>46050</v>
      </c>
      <c r="C534" s="1" t="n">
        <v>46197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9337-2026</t>
        </is>
      </c>
      <c r="B535" s="1" t="n">
        <v>46070</v>
      </c>
      <c r="C535" s="1" t="n">
        <v>46197</v>
      </c>
      <c r="D535" t="inlineStr">
        <is>
          <t>DALARNAS LÄN</t>
        </is>
      </c>
      <c r="E535" t="inlineStr">
        <is>
          <t>FALUN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9342-2026</t>
        </is>
      </c>
      <c r="B536" s="1" t="n">
        <v>46070</v>
      </c>
      <c r="C536" s="1" t="n">
        <v>46197</v>
      </c>
      <c r="D536" t="inlineStr">
        <is>
          <t>DALARNAS LÄN</t>
        </is>
      </c>
      <c r="E536" t="inlineStr">
        <is>
          <t>FALUN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9102-2026</t>
        </is>
      </c>
      <c r="B537" s="1" t="n">
        <v>46069</v>
      </c>
      <c r="C537" s="1" t="n">
        <v>46197</v>
      </c>
      <c r="D537" t="inlineStr">
        <is>
          <t>DALARNAS LÄN</t>
        </is>
      </c>
      <c r="E537" t="inlineStr">
        <is>
          <t>FALUN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9346-2026</t>
        </is>
      </c>
      <c r="B538" s="1" t="n">
        <v>46070</v>
      </c>
      <c r="C538" s="1" t="n">
        <v>46197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9231-2026</t>
        </is>
      </c>
      <c r="B539" s="1" t="n">
        <v>46070</v>
      </c>
      <c r="C539" s="1" t="n">
        <v>46197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55140-2025</t>
        </is>
      </c>
      <c r="B540" s="1" t="n">
        <v>45968</v>
      </c>
      <c r="C540" s="1" t="n">
        <v>46197</v>
      </c>
      <c r="D540" t="inlineStr">
        <is>
          <t>DALARNAS LÄN</t>
        </is>
      </c>
      <c r="E540" t="inlineStr">
        <is>
          <t>FALUN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55201-2025</t>
        </is>
      </c>
      <c r="B541" s="1" t="n">
        <v>45968</v>
      </c>
      <c r="C541" s="1" t="n">
        <v>46197</v>
      </c>
      <c r="D541" t="inlineStr">
        <is>
          <t>DALARNAS LÄN</t>
        </is>
      </c>
      <c r="E541" t="inlineStr">
        <is>
          <t>FALUN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55047-2025</t>
        </is>
      </c>
      <c r="B542" s="1" t="n">
        <v>45967</v>
      </c>
      <c r="C542" s="1" t="n">
        <v>46197</v>
      </c>
      <c r="D542" t="inlineStr">
        <is>
          <t>DALARNAS LÄN</t>
        </is>
      </c>
      <c r="E542" t="inlineStr">
        <is>
          <t>FALUN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9128-2026</t>
        </is>
      </c>
      <c r="B543" s="1" t="n">
        <v>46069</v>
      </c>
      <c r="C543" s="1" t="n">
        <v>46197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55516-2025</t>
        </is>
      </c>
      <c r="B544" s="1" t="n">
        <v>45971</v>
      </c>
      <c r="C544" s="1" t="n">
        <v>46197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8978-2026</t>
        </is>
      </c>
      <c r="B545" s="1" t="n">
        <v>46069</v>
      </c>
      <c r="C545" s="1" t="n">
        <v>46197</v>
      </c>
      <c r="D545" t="inlineStr">
        <is>
          <t>DALARNAS LÄN</t>
        </is>
      </c>
      <c r="E545" t="inlineStr">
        <is>
          <t>FALUN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9429-2026</t>
        </is>
      </c>
      <c r="B546" s="1" t="n">
        <v>46071</v>
      </c>
      <c r="C546" s="1" t="n">
        <v>46197</v>
      </c>
      <c r="D546" t="inlineStr">
        <is>
          <t>DALARNAS LÄN</t>
        </is>
      </c>
      <c r="E546" t="inlineStr">
        <is>
          <t>FALUN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9840-2026</t>
        </is>
      </c>
      <c r="B547" s="1" t="n">
        <v>46072</v>
      </c>
      <c r="C547" s="1" t="n">
        <v>46197</v>
      </c>
      <c r="D547" t="inlineStr">
        <is>
          <t>DALARNAS LÄN</t>
        </is>
      </c>
      <c r="E547" t="inlineStr">
        <is>
          <t>FALUN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9842-2026</t>
        </is>
      </c>
      <c r="B548" s="1" t="n">
        <v>46072</v>
      </c>
      <c r="C548" s="1" t="n">
        <v>46197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9606-2026</t>
        </is>
      </c>
      <c r="B549" s="1" t="n">
        <v>46071</v>
      </c>
      <c r="C549" s="1" t="n">
        <v>46197</v>
      </c>
      <c r="D549" t="inlineStr">
        <is>
          <t>DALARNAS LÄN</t>
        </is>
      </c>
      <c r="E549" t="inlineStr">
        <is>
          <t>FALUN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9683-2026</t>
        </is>
      </c>
      <c r="B550" s="1" t="n">
        <v>46071</v>
      </c>
      <c r="C550" s="1" t="n">
        <v>46197</v>
      </c>
      <c r="D550" t="inlineStr">
        <is>
          <t>DALARNAS LÄN</t>
        </is>
      </c>
      <c r="E550" t="inlineStr">
        <is>
          <t>FALUN</t>
        </is>
      </c>
      <c r="F550" t="inlineStr">
        <is>
          <t>Allmännings- och besparingsskogar</t>
        </is>
      </c>
      <c r="G550" t="n">
        <v>17.5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9746-2026</t>
        </is>
      </c>
      <c r="B551" s="1" t="n">
        <v>46072</v>
      </c>
      <c r="C551" s="1" t="n">
        <v>46197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6456-2026</t>
        </is>
      </c>
      <c r="B552" s="1" t="n">
        <v>46055</v>
      </c>
      <c r="C552" s="1" t="n">
        <v>46197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9696-2026</t>
        </is>
      </c>
      <c r="B553" s="1" t="n">
        <v>46072</v>
      </c>
      <c r="C553" s="1" t="n">
        <v>46197</v>
      </c>
      <c r="D553" t="inlineStr">
        <is>
          <t>DALARNAS LÄN</t>
        </is>
      </c>
      <c r="E553" t="inlineStr">
        <is>
          <t>FALUN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10047-2026</t>
        </is>
      </c>
      <c r="B554" s="1" t="n">
        <v>46073</v>
      </c>
      <c r="C554" s="1" t="n">
        <v>46197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59200-2025</t>
        </is>
      </c>
      <c r="B555" s="1" t="n">
        <v>45988</v>
      </c>
      <c r="C555" s="1" t="n">
        <v>46197</v>
      </c>
      <c r="D555" t="inlineStr">
        <is>
          <t>DALARNAS LÄN</t>
        </is>
      </c>
      <c r="E555" t="inlineStr">
        <is>
          <t>FALUN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55989-2025</t>
        </is>
      </c>
      <c r="B556" s="1" t="n">
        <v>45973</v>
      </c>
      <c r="C556" s="1" t="n">
        <v>46197</v>
      </c>
      <c r="D556" t="inlineStr">
        <is>
          <t>DALARNAS LÄN</t>
        </is>
      </c>
      <c r="E556" t="inlineStr">
        <is>
          <t>FALUN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10539-2026</t>
        </is>
      </c>
      <c r="B557" s="1" t="n">
        <v>46077</v>
      </c>
      <c r="C557" s="1" t="n">
        <v>46197</v>
      </c>
      <c r="D557" t="inlineStr">
        <is>
          <t>DALARNAS LÄN</t>
        </is>
      </c>
      <c r="E557" t="inlineStr">
        <is>
          <t>FALUN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42952-2023</t>
        </is>
      </c>
      <c r="B558" s="1" t="n">
        <v>45182</v>
      </c>
      <c r="C558" s="1" t="n">
        <v>46197</v>
      </c>
      <c r="D558" t="inlineStr">
        <is>
          <t>DALARNAS LÄN</t>
        </is>
      </c>
      <c r="E558" t="inlineStr">
        <is>
          <t>FALUN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10132-2026</t>
        </is>
      </c>
      <c r="B559" s="1" t="n">
        <v>46076</v>
      </c>
      <c r="C559" s="1" t="n">
        <v>46197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56887-2025</t>
        </is>
      </c>
      <c r="B560" s="1" t="n">
        <v>45978</v>
      </c>
      <c r="C560" s="1" t="n">
        <v>46197</v>
      </c>
      <c r="D560" t="inlineStr">
        <is>
          <t>DALARNAS LÄN</t>
        </is>
      </c>
      <c r="E560" t="inlineStr">
        <is>
          <t>FALUN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10531-2026</t>
        </is>
      </c>
      <c r="B561" s="1" t="n">
        <v>46077</v>
      </c>
      <c r="C561" s="1" t="n">
        <v>46197</v>
      </c>
      <c r="D561" t="inlineStr">
        <is>
          <t>DALARNAS LÄN</t>
        </is>
      </c>
      <c r="E561" t="inlineStr">
        <is>
          <t>FALUN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56906-2025</t>
        </is>
      </c>
      <c r="B562" s="1" t="n">
        <v>45978</v>
      </c>
      <c r="C562" s="1" t="n">
        <v>46197</v>
      </c>
      <c r="D562" t="inlineStr">
        <is>
          <t>DALARNAS LÄN</t>
        </is>
      </c>
      <c r="E562" t="inlineStr">
        <is>
          <t>FALUN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10566-2026</t>
        </is>
      </c>
      <c r="B563" s="1" t="n">
        <v>46077</v>
      </c>
      <c r="C563" s="1" t="n">
        <v>46197</v>
      </c>
      <c r="D563" t="inlineStr">
        <is>
          <t>DALARNAS LÄN</t>
        </is>
      </c>
      <c r="E563" t="inlineStr">
        <is>
          <t>FALUN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10325-2026</t>
        </is>
      </c>
      <c r="B564" s="1" t="n">
        <v>46076</v>
      </c>
      <c r="C564" s="1" t="n">
        <v>46197</v>
      </c>
      <c r="D564" t="inlineStr">
        <is>
          <t>DALARNAS LÄN</t>
        </is>
      </c>
      <c r="E564" t="inlineStr">
        <is>
          <t>FALUN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56962-2025</t>
        </is>
      </c>
      <c r="B565" s="1" t="n">
        <v>45978</v>
      </c>
      <c r="C565" s="1" t="n">
        <v>46197</v>
      </c>
      <c r="D565" t="inlineStr">
        <is>
          <t>DALARNAS LÄN</t>
        </is>
      </c>
      <c r="E565" t="inlineStr">
        <is>
          <t>FALUN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10952-2026</t>
        </is>
      </c>
      <c r="B566" s="1" t="n">
        <v>46079</v>
      </c>
      <c r="C566" s="1" t="n">
        <v>46197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11140-2026</t>
        </is>
      </c>
      <c r="B567" s="1" t="n">
        <v>46079</v>
      </c>
      <c r="C567" s="1" t="n">
        <v>46197</v>
      </c>
      <c r="D567" t="inlineStr">
        <is>
          <t>DALARNAS LÄN</t>
        </is>
      </c>
      <c r="E567" t="inlineStr">
        <is>
          <t>FALUN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11050-2026</t>
        </is>
      </c>
      <c r="B568" s="1" t="n">
        <v>46079</v>
      </c>
      <c r="C568" s="1" t="n">
        <v>46197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10867-2026</t>
        </is>
      </c>
      <c r="B569" s="1" t="n">
        <v>46078</v>
      </c>
      <c r="C569" s="1" t="n">
        <v>46197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56913-2025</t>
        </is>
      </c>
      <c r="B570" s="1" t="n">
        <v>45978</v>
      </c>
      <c r="C570" s="1" t="n">
        <v>46197</v>
      </c>
      <c r="D570" t="inlineStr">
        <is>
          <t>DALARNAS LÄN</t>
        </is>
      </c>
      <c r="E570" t="inlineStr">
        <is>
          <t>FALUN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56924-2025</t>
        </is>
      </c>
      <c r="B571" s="1" t="n">
        <v>45978</v>
      </c>
      <c r="C571" s="1" t="n">
        <v>46197</v>
      </c>
      <c r="D571" t="inlineStr">
        <is>
          <t>DALARNAS LÄN</t>
        </is>
      </c>
      <c r="E571" t="inlineStr">
        <is>
          <t>FALUN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11080-2026</t>
        </is>
      </c>
      <c r="B572" s="1" t="n">
        <v>46079</v>
      </c>
      <c r="C572" s="1" t="n">
        <v>46197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56931-2025</t>
        </is>
      </c>
      <c r="B573" s="1" t="n">
        <v>45978</v>
      </c>
      <c r="C573" s="1" t="n">
        <v>46197</v>
      </c>
      <c r="D573" t="inlineStr">
        <is>
          <t>DALARNAS LÄN</t>
        </is>
      </c>
      <c r="E573" t="inlineStr">
        <is>
          <t>FALUN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57544-2025</t>
        </is>
      </c>
      <c r="B574" s="1" t="n">
        <v>45980</v>
      </c>
      <c r="C574" s="1" t="n">
        <v>46197</v>
      </c>
      <c r="D574" t="inlineStr">
        <is>
          <t>DALARNAS LÄN</t>
        </is>
      </c>
      <c r="E574" t="inlineStr">
        <is>
          <t>FALUN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10822-2026</t>
        </is>
      </c>
      <c r="B575" s="1" t="n">
        <v>46078</v>
      </c>
      <c r="C575" s="1" t="n">
        <v>46197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57059-2025</t>
        </is>
      </c>
      <c r="B576" s="1" t="n">
        <v>45979</v>
      </c>
      <c r="C576" s="1" t="n">
        <v>46197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57305-2025</t>
        </is>
      </c>
      <c r="B577" s="1" t="n">
        <v>45979</v>
      </c>
      <c r="C577" s="1" t="n">
        <v>46197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10482-2026</t>
        </is>
      </c>
      <c r="B578" s="1" t="n">
        <v>46077</v>
      </c>
      <c r="C578" s="1" t="n">
        <v>46197</v>
      </c>
      <c r="D578" t="inlineStr">
        <is>
          <t>DALARNAS LÄN</t>
        </is>
      </c>
      <c r="E578" t="inlineStr">
        <is>
          <t>FALUN</t>
        </is>
      </c>
      <c r="F578" t="inlineStr">
        <is>
          <t>Kyrkan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11270-2026</t>
        </is>
      </c>
      <c r="B579" s="1" t="n">
        <v>46080</v>
      </c>
      <c r="C579" s="1" t="n">
        <v>46197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57500-2025</t>
        </is>
      </c>
      <c r="B580" s="1" t="n">
        <v>45980</v>
      </c>
      <c r="C580" s="1" t="n">
        <v>46197</v>
      </c>
      <c r="D580" t="inlineStr">
        <is>
          <t>DALARNAS LÄN</t>
        </is>
      </c>
      <c r="E580" t="inlineStr">
        <is>
          <t>FALUN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11387-2026</t>
        </is>
      </c>
      <c r="B581" s="1" t="n">
        <v>46083</v>
      </c>
      <c r="C581" s="1" t="n">
        <v>46197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11481-2026</t>
        </is>
      </c>
      <c r="B582" s="1" t="n">
        <v>46083</v>
      </c>
      <c r="C582" s="1" t="n">
        <v>46197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11156-2026</t>
        </is>
      </c>
      <c r="B583" s="1" t="n">
        <v>46080</v>
      </c>
      <c r="C583" s="1" t="n">
        <v>46197</v>
      </c>
      <c r="D583" t="inlineStr">
        <is>
          <t>DALARNAS LÄN</t>
        </is>
      </c>
      <c r="E583" t="inlineStr">
        <is>
          <t>FALUN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11265-2026</t>
        </is>
      </c>
      <c r="B584" s="1" t="n">
        <v>46080</v>
      </c>
      <c r="C584" s="1" t="n">
        <v>46197</v>
      </c>
      <c r="D584" t="inlineStr">
        <is>
          <t>DALARNAS LÄN</t>
        </is>
      </c>
      <c r="E584" t="inlineStr">
        <is>
          <t>FALUN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11275-2026</t>
        </is>
      </c>
      <c r="B585" s="1" t="n">
        <v>46080</v>
      </c>
      <c r="C585" s="1" t="n">
        <v>46197</v>
      </c>
      <c r="D585" t="inlineStr">
        <is>
          <t>DALARNAS LÄN</t>
        </is>
      </c>
      <c r="E585" t="inlineStr">
        <is>
          <t>FALUN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11306-2026</t>
        </is>
      </c>
      <c r="B586" s="1" t="n">
        <v>46080</v>
      </c>
      <c r="C586" s="1" t="n">
        <v>46197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58181-2025</t>
        </is>
      </c>
      <c r="B587" s="1" t="n">
        <v>45982</v>
      </c>
      <c r="C587" s="1" t="n">
        <v>46197</v>
      </c>
      <c r="D587" t="inlineStr">
        <is>
          <t>DALARNAS LÄN</t>
        </is>
      </c>
      <c r="E587" t="inlineStr">
        <is>
          <t>FALUN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16334-2023</t>
        </is>
      </c>
      <c r="B588" s="1" t="n">
        <v>45028</v>
      </c>
      <c r="C588" s="1" t="n">
        <v>46197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11330-2026</t>
        </is>
      </c>
      <c r="B589" s="1" t="n">
        <v>46081</v>
      </c>
      <c r="C589" s="1" t="n">
        <v>46197</v>
      </c>
      <c r="D589" t="inlineStr">
        <is>
          <t>DALARNAS LÄN</t>
        </is>
      </c>
      <c r="E589" t="inlineStr">
        <is>
          <t>FALUN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11347-2026</t>
        </is>
      </c>
      <c r="B590" s="1" t="n">
        <v>46082</v>
      </c>
      <c r="C590" s="1" t="n">
        <v>46197</v>
      </c>
      <c r="D590" t="inlineStr">
        <is>
          <t>DALARNAS LÄN</t>
        </is>
      </c>
      <c r="E590" t="inlineStr">
        <is>
          <t>FALUN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11455-2026</t>
        </is>
      </c>
      <c r="B591" s="1" t="n">
        <v>46083</v>
      </c>
      <c r="C591" s="1" t="n">
        <v>46197</v>
      </c>
      <c r="D591" t="inlineStr">
        <is>
          <t>DALARNAS LÄN</t>
        </is>
      </c>
      <c r="E591" t="inlineStr">
        <is>
          <t>FALUN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47328-2023</t>
        </is>
      </c>
      <c r="B592" s="1" t="n">
        <v>45202</v>
      </c>
      <c r="C592" s="1" t="n">
        <v>46197</v>
      </c>
      <c r="D592" t="inlineStr">
        <is>
          <t>DALARNAS LÄN</t>
        </is>
      </c>
      <c r="E592" t="inlineStr">
        <is>
          <t>FALUN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11598-2026</t>
        </is>
      </c>
      <c r="B593" s="1" t="n">
        <v>46084</v>
      </c>
      <c r="C593" s="1" t="n">
        <v>46197</v>
      </c>
      <c r="D593" t="inlineStr">
        <is>
          <t>DALARNAS LÄN</t>
        </is>
      </c>
      <c r="E593" t="inlineStr">
        <is>
          <t>FALUN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41439-2022</t>
        </is>
      </c>
      <c r="B594" s="1" t="n">
        <v>44826</v>
      </c>
      <c r="C594" s="1" t="n">
        <v>46197</v>
      </c>
      <c r="D594" t="inlineStr">
        <is>
          <t>DALARNAS LÄN</t>
        </is>
      </c>
      <c r="E594" t="inlineStr">
        <is>
          <t>FALUN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53703-2023</t>
        </is>
      </c>
      <c r="B595" s="1" t="n">
        <v>45224</v>
      </c>
      <c r="C595" s="1" t="n">
        <v>46197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11972-2026</t>
        </is>
      </c>
      <c r="B596" s="1" t="n">
        <v>46085</v>
      </c>
      <c r="C596" s="1" t="n">
        <v>46197</v>
      </c>
      <c r="D596" t="inlineStr">
        <is>
          <t>DALARNAS LÄN</t>
        </is>
      </c>
      <c r="E596" t="inlineStr">
        <is>
          <t>FALUN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54609-2025</t>
        </is>
      </c>
      <c r="B597" s="1" t="n">
        <v>45966</v>
      </c>
      <c r="C597" s="1" t="n">
        <v>46197</v>
      </c>
      <c r="D597" t="inlineStr">
        <is>
          <t>DALARNAS LÄN</t>
        </is>
      </c>
      <c r="E597" t="inlineStr">
        <is>
          <t>FALUN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1308-2026</t>
        </is>
      </c>
      <c r="B598" s="1" t="n">
        <v>46031</v>
      </c>
      <c r="C598" s="1" t="n">
        <v>46197</v>
      </c>
      <c r="D598" t="inlineStr">
        <is>
          <t>DALARNAS LÄN</t>
        </is>
      </c>
      <c r="E598" t="inlineStr">
        <is>
          <t>FALUN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11927-2026</t>
        </is>
      </c>
      <c r="B599" s="1" t="n">
        <v>46085</v>
      </c>
      <c r="C599" s="1" t="n">
        <v>46197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11712-2026</t>
        </is>
      </c>
      <c r="B600" s="1" t="n">
        <v>46084</v>
      </c>
      <c r="C600" s="1" t="n">
        <v>46197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11554-2026</t>
        </is>
      </c>
      <c r="B601" s="1" t="n">
        <v>46084</v>
      </c>
      <c r="C601" s="1" t="n">
        <v>46197</v>
      </c>
      <c r="D601" t="inlineStr">
        <is>
          <t>DALARNAS LÄN</t>
        </is>
      </c>
      <c r="E601" t="inlineStr">
        <is>
          <t>FALUN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34603-2021</t>
        </is>
      </c>
      <c r="B602" s="1" t="n">
        <v>44382</v>
      </c>
      <c r="C602" s="1" t="n">
        <v>46197</v>
      </c>
      <c r="D602" t="inlineStr">
        <is>
          <t>DALARNAS LÄN</t>
        </is>
      </c>
      <c r="E602" t="inlineStr">
        <is>
          <t>FALUN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11746-2026</t>
        </is>
      </c>
      <c r="B603" s="1" t="n">
        <v>46084</v>
      </c>
      <c r="C603" s="1" t="n">
        <v>46197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59190-2025</t>
        </is>
      </c>
      <c r="B604" s="1" t="n">
        <v>45988</v>
      </c>
      <c r="C604" s="1" t="n">
        <v>46197</v>
      </c>
      <c r="D604" t="inlineStr">
        <is>
          <t>DALARNAS LÄN</t>
        </is>
      </c>
      <c r="E604" t="inlineStr">
        <is>
          <t>FALUN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59223-2025</t>
        </is>
      </c>
      <c r="B605" s="1" t="n">
        <v>45988</v>
      </c>
      <c r="C605" s="1" t="n">
        <v>46197</v>
      </c>
      <c r="D605" t="inlineStr">
        <is>
          <t>DALARNAS LÄN</t>
        </is>
      </c>
      <c r="E605" t="inlineStr">
        <is>
          <t>FALUN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7519-2024</t>
        </is>
      </c>
      <c r="B606" s="1" t="n">
        <v>45348</v>
      </c>
      <c r="C606" s="1" t="n">
        <v>46197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58914-2025</t>
        </is>
      </c>
      <c r="B607" s="1" t="n">
        <v>45987</v>
      </c>
      <c r="C607" s="1" t="n">
        <v>46197</v>
      </c>
      <c r="D607" t="inlineStr">
        <is>
          <t>DALARNAS LÄN</t>
        </is>
      </c>
      <c r="E607" t="inlineStr">
        <is>
          <t>FALUN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11928-2026</t>
        </is>
      </c>
      <c r="B608" s="1" t="n">
        <v>46085</v>
      </c>
      <c r="C608" s="1" t="n">
        <v>46197</v>
      </c>
      <c r="D608" t="inlineStr">
        <is>
          <t>DALARNAS LÄN</t>
        </is>
      </c>
      <c r="E608" t="inlineStr">
        <is>
          <t>FALUN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11930-2026</t>
        </is>
      </c>
      <c r="B609" s="1" t="n">
        <v>46085</v>
      </c>
      <c r="C609" s="1" t="n">
        <v>46197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59229-2025</t>
        </is>
      </c>
      <c r="B610" s="1" t="n">
        <v>45988</v>
      </c>
      <c r="C610" s="1" t="n">
        <v>46197</v>
      </c>
      <c r="D610" t="inlineStr">
        <is>
          <t>DALARNAS LÄN</t>
        </is>
      </c>
      <c r="E610" t="inlineStr">
        <is>
          <t>FALUN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59483-2025</t>
        </is>
      </c>
      <c r="B611" s="1" t="n">
        <v>45989</v>
      </c>
      <c r="C611" s="1" t="n">
        <v>46197</v>
      </c>
      <c r="D611" t="inlineStr">
        <is>
          <t>DALARNAS LÄN</t>
        </is>
      </c>
      <c r="E611" t="inlineStr">
        <is>
          <t>FALUN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59571-2025</t>
        </is>
      </c>
      <c r="B612" s="1" t="n">
        <v>45992</v>
      </c>
      <c r="C612" s="1" t="n">
        <v>46197</v>
      </c>
      <c r="D612" t="inlineStr">
        <is>
          <t>DALARNAS LÄN</t>
        </is>
      </c>
      <c r="E612" t="inlineStr">
        <is>
          <t>FALUN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2756-2025</t>
        </is>
      </c>
      <c r="B613" s="1" t="n">
        <v>45677</v>
      </c>
      <c r="C613" s="1" t="n">
        <v>46197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12397-2026</t>
        </is>
      </c>
      <c r="B614" s="1" t="n">
        <v>46087</v>
      </c>
      <c r="C614" s="1" t="n">
        <v>46197</v>
      </c>
      <c r="D614" t="inlineStr">
        <is>
          <t>DALARNAS LÄN</t>
        </is>
      </c>
      <c r="E614" t="inlineStr">
        <is>
          <t>FALUN</t>
        </is>
      </c>
      <c r="F614" t="inlineStr">
        <is>
          <t>Allmännings- och besparingsskogar</t>
        </is>
      </c>
      <c r="G614" t="n">
        <v>44.4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59832-2025</t>
        </is>
      </c>
      <c r="B615" s="1" t="n">
        <v>45992</v>
      </c>
      <c r="C615" s="1" t="n">
        <v>46197</v>
      </c>
      <c r="D615" t="inlineStr">
        <is>
          <t>DALARNAS LÄN</t>
        </is>
      </c>
      <c r="E615" t="inlineStr">
        <is>
          <t>FALUN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12041-2026</t>
        </is>
      </c>
      <c r="B616" s="1" t="n">
        <v>46086</v>
      </c>
      <c r="C616" s="1" t="n">
        <v>46197</v>
      </c>
      <c r="D616" t="inlineStr">
        <is>
          <t>DALARNAS LÄN</t>
        </is>
      </c>
      <c r="E616" t="inlineStr">
        <is>
          <t>FALUN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12195-2026</t>
        </is>
      </c>
      <c r="B617" s="1" t="n">
        <v>46086</v>
      </c>
      <c r="C617" s="1" t="n">
        <v>46197</v>
      </c>
      <c r="D617" t="inlineStr">
        <is>
          <t>DALARNAS LÄN</t>
        </is>
      </c>
      <c r="E617" t="inlineStr">
        <is>
          <t>FALUN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59748-2025</t>
        </is>
      </c>
      <c r="B618" s="1" t="n">
        <v>45992</v>
      </c>
      <c r="C618" s="1" t="n">
        <v>46197</v>
      </c>
      <c r="D618" t="inlineStr">
        <is>
          <t>DALARNAS LÄN</t>
        </is>
      </c>
      <c r="E618" t="inlineStr">
        <is>
          <t>FALUN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12245-2026</t>
        </is>
      </c>
      <c r="B619" s="1" t="n">
        <v>46087</v>
      </c>
      <c r="C619" s="1" t="n">
        <v>46197</v>
      </c>
      <c r="D619" t="inlineStr">
        <is>
          <t>DALARNAS LÄN</t>
        </is>
      </c>
      <c r="E619" t="inlineStr">
        <is>
          <t>FALUN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12094-2026</t>
        </is>
      </c>
      <c r="B620" s="1" t="n">
        <v>46086</v>
      </c>
      <c r="C620" s="1" t="n">
        <v>46197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12689-2026</t>
        </is>
      </c>
      <c r="B621" s="1" t="n">
        <v>46090</v>
      </c>
      <c r="C621" s="1" t="n">
        <v>46197</v>
      </c>
      <c r="D621" t="inlineStr">
        <is>
          <t>DALARNAS LÄN</t>
        </is>
      </c>
      <c r="E621" t="inlineStr">
        <is>
          <t>FALUN</t>
        </is>
      </c>
      <c r="F621" t="inlineStr">
        <is>
          <t>Allmännings- och besparingsskogar</t>
        </is>
      </c>
      <c r="G621" t="n">
        <v>122.4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15318-2025</t>
        </is>
      </c>
      <c r="B622" s="1" t="n">
        <v>45747</v>
      </c>
      <c r="C622" s="1" t="n">
        <v>46197</v>
      </c>
      <c r="D622" t="inlineStr">
        <is>
          <t>DALARNAS LÄN</t>
        </is>
      </c>
      <c r="E622" t="inlineStr">
        <is>
          <t>FALUN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12466-2026</t>
        </is>
      </c>
      <c r="B623" s="1" t="n">
        <v>46090</v>
      </c>
      <c r="C623" s="1" t="n">
        <v>46197</v>
      </c>
      <c r="D623" t="inlineStr">
        <is>
          <t>DALARNAS LÄN</t>
        </is>
      </c>
      <c r="E623" t="inlineStr">
        <is>
          <t>FALUN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60085-2025</t>
        </is>
      </c>
      <c r="B624" s="1" t="n">
        <v>45993</v>
      </c>
      <c r="C624" s="1" t="n">
        <v>46197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60086-2025</t>
        </is>
      </c>
      <c r="B625" s="1" t="n">
        <v>45993</v>
      </c>
      <c r="C625" s="1" t="n">
        <v>46197</v>
      </c>
      <c r="D625" t="inlineStr">
        <is>
          <t>DALARNAS LÄN</t>
        </is>
      </c>
      <c r="E625" t="inlineStr">
        <is>
          <t>FALUN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60562-2025</t>
        </is>
      </c>
      <c r="B626" s="1" t="n">
        <v>45994</v>
      </c>
      <c r="C626" s="1" t="n">
        <v>46197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12504-2026</t>
        </is>
      </c>
      <c r="B627" s="1" t="n">
        <v>46090</v>
      </c>
      <c r="C627" s="1" t="n">
        <v>46197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12542-2026</t>
        </is>
      </c>
      <c r="B628" s="1" t="n">
        <v>46090</v>
      </c>
      <c r="C628" s="1" t="n">
        <v>46197</v>
      </c>
      <c r="D628" t="inlineStr">
        <is>
          <t>DALARNAS LÄN</t>
        </is>
      </c>
      <c r="E628" t="inlineStr">
        <is>
          <t>FALUN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12431-2026</t>
        </is>
      </c>
      <c r="B629" s="1" t="n">
        <v>46090</v>
      </c>
      <c r="C629" s="1" t="n">
        <v>46197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12685-2026</t>
        </is>
      </c>
      <c r="B630" s="1" t="n">
        <v>46090</v>
      </c>
      <c r="C630" s="1" t="n">
        <v>46197</v>
      </c>
      <c r="D630" t="inlineStr">
        <is>
          <t>DALARNAS LÄN</t>
        </is>
      </c>
      <c r="E630" t="inlineStr">
        <is>
          <t>FALUN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12695-2026</t>
        </is>
      </c>
      <c r="B631" s="1" t="n">
        <v>46090</v>
      </c>
      <c r="C631" s="1" t="n">
        <v>46197</v>
      </c>
      <c r="D631" t="inlineStr">
        <is>
          <t>DALARNAS LÄN</t>
        </is>
      </c>
      <c r="E631" t="inlineStr">
        <is>
          <t>FALUN</t>
        </is>
      </c>
      <c r="F631" t="inlineStr">
        <is>
          <t>Allmännings- och besparingsskogar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12781-2026</t>
        </is>
      </c>
      <c r="B632" s="1" t="n">
        <v>46091</v>
      </c>
      <c r="C632" s="1" t="n">
        <v>46197</v>
      </c>
      <c r="D632" t="inlineStr">
        <is>
          <t>DALARNAS LÄN</t>
        </is>
      </c>
      <c r="E632" t="inlineStr">
        <is>
          <t>FALUN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12501-2026</t>
        </is>
      </c>
      <c r="B633" s="1" t="n">
        <v>46090</v>
      </c>
      <c r="C633" s="1" t="n">
        <v>46197</v>
      </c>
      <c r="D633" t="inlineStr">
        <is>
          <t>DALARNAS LÄN</t>
        </is>
      </c>
      <c r="E633" t="inlineStr">
        <is>
          <t>FALUN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12507-2026</t>
        </is>
      </c>
      <c r="B634" s="1" t="n">
        <v>46090</v>
      </c>
      <c r="C634" s="1" t="n">
        <v>46197</v>
      </c>
      <c r="D634" t="inlineStr">
        <is>
          <t>DALARNAS LÄN</t>
        </is>
      </c>
      <c r="E634" t="inlineStr">
        <is>
          <t>FALUN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12483-2026</t>
        </is>
      </c>
      <c r="B635" s="1" t="n">
        <v>46090</v>
      </c>
      <c r="C635" s="1" t="n">
        <v>46197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38.7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36725-2021</t>
        </is>
      </c>
      <c r="B636" s="1" t="n">
        <v>44392</v>
      </c>
      <c r="C636" s="1" t="n">
        <v>46197</v>
      </c>
      <c r="D636" t="inlineStr">
        <is>
          <t>DALARNAS LÄN</t>
        </is>
      </c>
      <c r="E636" t="inlineStr">
        <is>
          <t>FALUN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12512-2026</t>
        </is>
      </c>
      <c r="B637" s="1" t="n">
        <v>46090</v>
      </c>
      <c r="C637" s="1" t="n">
        <v>46197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60676-2025</t>
        </is>
      </c>
      <c r="B638" s="1" t="n">
        <v>45996</v>
      </c>
      <c r="C638" s="1" t="n">
        <v>46197</v>
      </c>
      <c r="D638" t="inlineStr">
        <is>
          <t>DALARNAS LÄN</t>
        </is>
      </c>
      <c r="E638" t="inlineStr">
        <is>
          <t>FALUN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12775-2026</t>
        </is>
      </c>
      <c r="B639" s="1" t="n">
        <v>46091</v>
      </c>
      <c r="C639" s="1" t="n">
        <v>46197</v>
      </c>
      <c r="D639" t="inlineStr">
        <is>
          <t>DALARNAS LÄN</t>
        </is>
      </c>
      <c r="E639" t="inlineStr">
        <is>
          <t>FALUN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40953-2023</t>
        </is>
      </c>
      <c r="B640" s="1" t="n">
        <v>45173</v>
      </c>
      <c r="C640" s="1" t="n">
        <v>46197</v>
      </c>
      <c r="D640" t="inlineStr">
        <is>
          <t>DALARNAS LÄN</t>
        </is>
      </c>
      <c r="E640" t="inlineStr">
        <is>
          <t>FALUN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61059-2025</t>
        </is>
      </c>
      <c r="B641" s="1" t="n">
        <v>46000</v>
      </c>
      <c r="C641" s="1" t="n">
        <v>46197</v>
      </c>
      <c r="D641" t="inlineStr">
        <is>
          <t>DALARNAS LÄN</t>
        </is>
      </c>
      <c r="E641" t="inlineStr">
        <is>
          <t>FALUN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10219-2026</t>
        </is>
      </c>
      <c r="B642" s="1" t="n">
        <v>46076</v>
      </c>
      <c r="C642" s="1" t="n">
        <v>46197</v>
      </c>
      <c r="D642" t="inlineStr">
        <is>
          <t>DALARNAS LÄN</t>
        </is>
      </c>
      <c r="E642" t="inlineStr">
        <is>
          <t>FALUN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11748-2025</t>
        </is>
      </c>
      <c r="B643" s="1" t="n">
        <v>45727</v>
      </c>
      <c r="C643" s="1" t="n">
        <v>46197</v>
      </c>
      <c r="D643" t="inlineStr">
        <is>
          <t>DALARNAS LÄN</t>
        </is>
      </c>
      <c r="E643" t="inlineStr">
        <is>
          <t>FALUN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5760-2026</t>
        </is>
      </c>
      <c r="B644" s="1" t="n">
        <v>46051</v>
      </c>
      <c r="C644" s="1" t="n">
        <v>46197</v>
      </c>
      <c r="D644" t="inlineStr">
        <is>
          <t>DALARNAS LÄN</t>
        </is>
      </c>
      <c r="E644" t="inlineStr">
        <is>
          <t>FALUN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60683-2025</t>
        </is>
      </c>
      <c r="B645" s="1" t="n">
        <v>45996</v>
      </c>
      <c r="C645" s="1" t="n">
        <v>46197</v>
      </c>
      <c r="D645" t="inlineStr">
        <is>
          <t>DALARNAS LÄN</t>
        </is>
      </c>
      <c r="E645" t="inlineStr">
        <is>
          <t>FALUN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13219-2026</t>
        </is>
      </c>
      <c r="B646" s="1" t="n">
        <v>46093</v>
      </c>
      <c r="C646" s="1" t="n">
        <v>46197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78.3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61064-2025</t>
        </is>
      </c>
      <c r="B647" s="1" t="n">
        <v>46000</v>
      </c>
      <c r="C647" s="1" t="n">
        <v>46197</v>
      </c>
      <c r="D647" t="inlineStr">
        <is>
          <t>DALARNAS LÄN</t>
        </is>
      </c>
      <c r="E647" t="inlineStr">
        <is>
          <t>FALUN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12814-2026</t>
        </is>
      </c>
      <c r="B648" s="1" t="n">
        <v>46092</v>
      </c>
      <c r="C648" s="1" t="n">
        <v>46197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13261-2026</t>
        </is>
      </c>
      <c r="B649" s="1" t="n">
        <v>46093</v>
      </c>
      <c r="C649" s="1" t="n">
        <v>46197</v>
      </c>
      <c r="D649" t="inlineStr">
        <is>
          <t>DALARNAS LÄN</t>
        </is>
      </c>
      <c r="E649" t="inlineStr">
        <is>
          <t>FALUN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13078-2026</t>
        </is>
      </c>
      <c r="B650" s="1" t="n">
        <v>46093</v>
      </c>
      <c r="C650" s="1" t="n">
        <v>46197</v>
      </c>
      <c r="D650" t="inlineStr">
        <is>
          <t>DALARNAS LÄN</t>
        </is>
      </c>
      <c r="E650" t="inlineStr">
        <is>
          <t>FALUN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12950-2026</t>
        </is>
      </c>
      <c r="B651" s="1" t="n">
        <v>46092</v>
      </c>
      <c r="C651" s="1" t="n">
        <v>46197</v>
      </c>
      <c r="D651" t="inlineStr">
        <is>
          <t>DALARNAS LÄN</t>
        </is>
      </c>
      <c r="E651" t="inlineStr">
        <is>
          <t>FALUN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12885-2026</t>
        </is>
      </c>
      <c r="B652" s="1" t="n">
        <v>46092</v>
      </c>
      <c r="C652" s="1" t="n">
        <v>46197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13209-2026</t>
        </is>
      </c>
      <c r="B653" s="1" t="n">
        <v>46093</v>
      </c>
      <c r="C653" s="1" t="n">
        <v>46197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12986-2026</t>
        </is>
      </c>
      <c r="B654" s="1" t="n">
        <v>46092</v>
      </c>
      <c r="C654" s="1" t="n">
        <v>46197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13101-2026</t>
        </is>
      </c>
      <c r="B655" s="1" t="n">
        <v>46093</v>
      </c>
      <c r="C655" s="1" t="n">
        <v>46197</v>
      </c>
      <c r="D655" t="inlineStr">
        <is>
          <t>DALARNAS LÄN</t>
        </is>
      </c>
      <c r="E655" t="inlineStr">
        <is>
          <t>FALUN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13262-2026</t>
        </is>
      </c>
      <c r="B656" s="1" t="n">
        <v>46093</v>
      </c>
      <c r="C656" s="1" t="n">
        <v>46197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12855-2026</t>
        </is>
      </c>
      <c r="B657" s="1" t="n">
        <v>46092</v>
      </c>
      <c r="C657" s="1" t="n">
        <v>46197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33898-2024</t>
        </is>
      </c>
      <c r="B658" s="1" t="n">
        <v>45523</v>
      </c>
      <c r="C658" s="1" t="n">
        <v>46197</v>
      </c>
      <c r="D658" t="inlineStr">
        <is>
          <t>DALARNAS LÄN</t>
        </is>
      </c>
      <c r="E658" t="inlineStr">
        <is>
          <t>FALUN</t>
        </is>
      </c>
      <c r="F658" t="inlineStr">
        <is>
          <t>Allmännings- och besparingsskogar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13454-2026</t>
        </is>
      </c>
      <c r="B659" s="1" t="n">
        <v>46094</v>
      </c>
      <c r="C659" s="1" t="n">
        <v>46197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13541-2026</t>
        </is>
      </c>
      <c r="B660" s="1" t="n">
        <v>46094</v>
      </c>
      <c r="C660" s="1" t="n">
        <v>46197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34009-2024</t>
        </is>
      </c>
      <c r="B661" s="1" t="n">
        <v>45523</v>
      </c>
      <c r="C661" s="1" t="n">
        <v>46197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12847-2025</t>
        </is>
      </c>
      <c r="B662" s="1" t="n">
        <v>45733</v>
      </c>
      <c r="C662" s="1" t="n">
        <v>46197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13784-2026</t>
        </is>
      </c>
      <c r="B663" s="1" t="n">
        <v>46097</v>
      </c>
      <c r="C663" s="1" t="n">
        <v>46197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13786-2026</t>
        </is>
      </c>
      <c r="B664" s="1" t="n">
        <v>46097</v>
      </c>
      <c r="C664" s="1" t="n">
        <v>46197</v>
      </c>
      <c r="D664" t="inlineStr">
        <is>
          <t>DALARNAS LÄN</t>
        </is>
      </c>
      <c r="E664" t="inlineStr">
        <is>
          <t>FALUN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13592-2026</t>
        </is>
      </c>
      <c r="B665" s="1" t="n">
        <v>46096</v>
      </c>
      <c r="C665" s="1" t="n">
        <v>46197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13711-2026</t>
        </is>
      </c>
      <c r="B666" s="1" t="n">
        <v>46097</v>
      </c>
      <c r="C666" s="1" t="n">
        <v>46197</v>
      </c>
      <c r="D666" t="inlineStr">
        <is>
          <t>DALARNAS LÄN</t>
        </is>
      </c>
      <c r="E666" t="inlineStr">
        <is>
          <t>FALUN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13782-2026</t>
        </is>
      </c>
      <c r="B667" s="1" t="n">
        <v>46097</v>
      </c>
      <c r="C667" s="1" t="n">
        <v>46197</v>
      </c>
      <c r="D667" t="inlineStr">
        <is>
          <t>DALARNAS LÄN</t>
        </is>
      </c>
      <c r="E667" t="inlineStr">
        <is>
          <t>FALUN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13634-2026</t>
        </is>
      </c>
      <c r="B668" s="1" t="n">
        <v>46097</v>
      </c>
      <c r="C668" s="1" t="n">
        <v>46197</v>
      </c>
      <c r="D668" t="inlineStr">
        <is>
          <t>DALARNAS LÄN</t>
        </is>
      </c>
      <c r="E668" t="inlineStr">
        <is>
          <t>FALUN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13636-2026</t>
        </is>
      </c>
      <c r="B669" s="1" t="n">
        <v>46097</v>
      </c>
      <c r="C669" s="1" t="n">
        <v>46197</v>
      </c>
      <c r="D669" t="inlineStr">
        <is>
          <t>DALARNAS LÄN</t>
        </is>
      </c>
      <c r="E669" t="inlineStr">
        <is>
          <t>FALUN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62358-2025</t>
        </is>
      </c>
      <c r="B670" s="1" t="n">
        <v>46007</v>
      </c>
      <c r="C670" s="1" t="n">
        <v>46197</v>
      </c>
      <c r="D670" t="inlineStr">
        <is>
          <t>DALARNAS LÄN</t>
        </is>
      </c>
      <c r="E670" t="inlineStr">
        <is>
          <t>FALUN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14212-2026</t>
        </is>
      </c>
      <c r="B671" s="1" t="n">
        <v>46099</v>
      </c>
      <c r="C671" s="1" t="n">
        <v>46197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14214-2026</t>
        </is>
      </c>
      <c r="B672" s="1" t="n">
        <v>46099</v>
      </c>
      <c r="C672" s="1" t="n">
        <v>46197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14231-2026</t>
        </is>
      </c>
      <c r="B673" s="1" t="n">
        <v>46099</v>
      </c>
      <c r="C673" s="1" t="n">
        <v>46197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13817-2026</t>
        </is>
      </c>
      <c r="B674" s="1" t="n">
        <v>46098</v>
      </c>
      <c r="C674" s="1" t="n">
        <v>46197</v>
      </c>
      <c r="D674" t="inlineStr">
        <is>
          <t>DALARNAS LÄN</t>
        </is>
      </c>
      <c r="E674" t="inlineStr">
        <is>
          <t>FALUN</t>
        </is>
      </c>
      <c r="G674" t="n">
        <v>19.6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45690-2025</t>
        </is>
      </c>
      <c r="B675" s="1" t="n">
        <v>45923</v>
      </c>
      <c r="C675" s="1" t="n">
        <v>46197</v>
      </c>
      <c r="D675" t="inlineStr">
        <is>
          <t>DALARNAS LÄN</t>
        </is>
      </c>
      <c r="E675" t="inlineStr">
        <is>
          <t>FALUN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14310-2026</t>
        </is>
      </c>
      <c r="B676" s="1" t="n">
        <v>46099</v>
      </c>
      <c r="C676" s="1" t="n">
        <v>46197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29.8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14040-2026</t>
        </is>
      </c>
      <c r="B677" s="1" t="n">
        <v>46098</v>
      </c>
      <c r="C677" s="1" t="n">
        <v>46197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14199-2026</t>
        </is>
      </c>
      <c r="B678" s="1" t="n">
        <v>46099</v>
      </c>
      <c r="C678" s="1" t="n">
        <v>46197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14209-2026</t>
        </is>
      </c>
      <c r="B679" s="1" t="n">
        <v>46099</v>
      </c>
      <c r="C679" s="1" t="n">
        <v>46197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14042-2026</t>
        </is>
      </c>
      <c r="B680" s="1" t="n">
        <v>46098</v>
      </c>
      <c r="C680" s="1" t="n">
        <v>46197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62362-2025</t>
        </is>
      </c>
      <c r="B681" s="1" t="n">
        <v>46007</v>
      </c>
      <c r="C681" s="1" t="n">
        <v>46197</v>
      </c>
      <c r="D681" t="inlineStr">
        <is>
          <t>DALARNAS LÄN</t>
        </is>
      </c>
      <c r="E681" t="inlineStr">
        <is>
          <t>FALUN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13896-2026</t>
        </is>
      </c>
      <c r="B682" s="1" t="n">
        <v>46098</v>
      </c>
      <c r="C682" s="1" t="n">
        <v>46197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14215-2026</t>
        </is>
      </c>
      <c r="B683" s="1" t="n">
        <v>46099</v>
      </c>
      <c r="C683" s="1" t="n">
        <v>46197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13829-2026</t>
        </is>
      </c>
      <c r="B684" s="1" t="n">
        <v>46098</v>
      </c>
      <c r="C684" s="1" t="n">
        <v>46197</v>
      </c>
      <c r="D684" t="inlineStr">
        <is>
          <t>DALARNAS LÄN</t>
        </is>
      </c>
      <c r="E684" t="inlineStr">
        <is>
          <t>FALUN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14217-2026</t>
        </is>
      </c>
      <c r="B685" s="1" t="n">
        <v>46099</v>
      </c>
      <c r="C685" s="1" t="n">
        <v>46197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24.5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33972-2023</t>
        </is>
      </c>
      <c r="B686" s="1" t="n">
        <v>45134</v>
      </c>
      <c r="C686" s="1" t="n">
        <v>46197</v>
      </c>
      <c r="D686" t="inlineStr">
        <is>
          <t>DALARNAS LÄN</t>
        </is>
      </c>
      <c r="E686" t="inlineStr">
        <is>
          <t>FALUN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14311-2026</t>
        </is>
      </c>
      <c r="B687" s="1" t="n">
        <v>46099</v>
      </c>
      <c r="C687" s="1" t="n">
        <v>46197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63.9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14122-2026</t>
        </is>
      </c>
      <c r="B688" s="1" t="n">
        <v>46099</v>
      </c>
      <c r="C688" s="1" t="n">
        <v>46197</v>
      </c>
      <c r="D688" t="inlineStr">
        <is>
          <t>DALARNAS LÄN</t>
        </is>
      </c>
      <c r="E688" t="inlineStr">
        <is>
          <t>FALUN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63291-2025</t>
        </is>
      </c>
      <c r="B689" s="1" t="n">
        <v>46010</v>
      </c>
      <c r="C689" s="1" t="n">
        <v>46197</v>
      </c>
      <c r="D689" t="inlineStr">
        <is>
          <t>DALARNAS LÄN</t>
        </is>
      </c>
      <c r="E689" t="inlineStr">
        <is>
          <t>FALUN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63307-2025</t>
        </is>
      </c>
      <c r="B690" s="1" t="n">
        <v>46010</v>
      </c>
      <c r="C690" s="1" t="n">
        <v>46197</v>
      </c>
      <c r="D690" t="inlineStr">
        <is>
          <t>DALARNAS LÄN</t>
        </is>
      </c>
      <c r="E690" t="inlineStr">
        <is>
          <t>FALUN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14022-2026</t>
        </is>
      </c>
      <c r="B691" s="1" t="n">
        <v>46098</v>
      </c>
      <c r="C691" s="1" t="n">
        <v>46197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33.9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63303-2025</t>
        </is>
      </c>
      <c r="B692" s="1" t="n">
        <v>46010</v>
      </c>
      <c r="C692" s="1" t="n">
        <v>46197</v>
      </c>
      <c r="D692" t="inlineStr">
        <is>
          <t>DALARNAS LÄN</t>
        </is>
      </c>
      <c r="E692" t="inlineStr">
        <is>
          <t>FALUN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63178-2025</t>
        </is>
      </c>
      <c r="B693" s="1" t="n">
        <v>46010</v>
      </c>
      <c r="C693" s="1" t="n">
        <v>46197</v>
      </c>
      <c r="D693" t="inlineStr">
        <is>
          <t>DALARNAS LÄN</t>
        </is>
      </c>
      <c r="E693" t="inlineStr">
        <is>
          <t>FALUN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14023-2026</t>
        </is>
      </c>
      <c r="B694" s="1" t="n">
        <v>46098</v>
      </c>
      <c r="C694" s="1" t="n">
        <v>46197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38.2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13816-2026</t>
        </is>
      </c>
      <c r="B695" s="1" t="n">
        <v>46098</v>
      </c>
      <c r="C695" s="1" t="n">
        <v>46197</v>
      </c>
      <c r="D695" t="inlineStr">
        <is>
          <t>DALARNAS LÄN</t>
        </is>
      </c>
      <c r="E695" t="inlineStr">
        <is>
          <t>FALUN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3209-2022</t>
        </is>
      </c>
      <c r="B696" s="1" t="n">
        <v>44582</v>
      </c>
      <c r="C696" s="1" t="n">
        <v>46197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14558-2026</t>
        </is>
      </c>
      <c r="B697" s="1" t="n">
        <v>46100</v>
      </c>
      <c r="C697" s="1" t="n">
        <v>46197</v>
      </c>
      <c r="D697" t="inlineStr">
        <is>
          <t>DALARNAS LÄN</t>
        </is>
      </c>
      <c r="E697" t="inlineStr">
        <is>
          <t>FALUN</t>
        </is>
      </c>
      <c r="F697" t="inlineStr">
        <is>
          <t>Allmännings- och besparingsskogar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14657-2026</t>
        </is>
      </c>
      <c r="B698" s="1" t="n">
        <v>46101</v>
      </c>
      <c r="C698" s="1" t="n">
        <v>46197</v>
      </c>
      <c r="D698" t="inlineStr">
        <is>
          <t>DALARNAS LÄN</t>
        </is>
      </c>
      <c r="E698" t="inlineStr">
        <is>
          <t>FALUN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14409-2026</t>
        </is>
      </c>
      <c r="B699" s="1" t="n">
        <v>46100</v>
      </c>
      <c r="C699" s="1" t="n">
        <v>46197</v>
      </c>
      <c r="D699" t="inlineStr">
        <is>
          <t>DALARNAS LÄN</t>
        </is>
      </c>
      <c r="E699" t="inlineStr">
        <is>
          <t>FALUN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14407-2026</t>
        </is>
      </c>
      <c r="B700" s="1" t="n">
        <v>46100</v>
      </c>
      <c r="C700" s="1" t="n">
        <v>46197</v>
      </c>
      <c r="D700" t="inlineStr">
        <is>
          <t>DALARNAS LÄN</t>
        </is>
      </c>
      <c r="E700" t="inlineStr">
        <is>
          <t>FALUN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14559-2026</t>
        </is>
      </c>
      <c r="B701" s="1" t="n">
        <v>46100</v>
      </c>
      <c r="C701" s="1" t="n">
        <v>46197</v>
      </c>
      <c r="D701" t="inlineStr">
        <is>
          <t>DALARNAS LÄN</t>
        </is>
      </c>
      <c r="E701" t="inlineStr">
        <is>
          <t>FALUN</t>
        </is>
      </c>
      <c r="F701" t="inlineStr">
        <is>
          <t>Allmännings- och besparingsskogar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14571-2026</t>
        </is>
      </c>
      <c r="B702" s="1" t="n">
        <v>46100</v>
      </c>
      <c r="C702" s="1" t="n">
        <v>46197</v>
      </c>
      <c r="D702" t="inlineStr">
        <is>
          <t>DALARNAS LÄN</t>
        </is>
      </c>
      <c r="E702" t="inlineStr">
        <is>
          <t>FALUN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14780-2026</t>
        </is>
      </c>
      <c r="B703" s="1" t="n">
        <v>46101</v>
      </c>
      <c r="C703" s="1" t="n">
        <v>46197</v>
      </c>
      <c r="D703" t="inlineStr">
        <is>
          <t>DALARNAS LÄN</t>
        </is>
      </c>
      <c r="E703" t="inlineStr">
        <is>
          <t>FALUN</t>
        </is>
      </c>
      <c r="F703" t="inlineStr">
        <is>
          <t>Allmännings- och besparingsskogar</t>
        </is>
      </c>
      <c r="G703" t="n">
        <v>15.9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14373-2026</t>
        </is>
      </c>
      <c r="B704" s="1" t="n">
        <v>46100</v>
      </c>
      <c r="C704" s="1" t="n">
        <v>46197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14679-2026</t>
        </is>
      </c>
      <c r="B705" s="1" t="n">
        <v>46101</v>
      </c>
      <c r="C705" s="1" t="n">
        <v>46197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6301-2026</t>
        </is>
      </c>
      <c r="B706" s="1" t="n">
        <v>46055</v>
      </c>
      <c r="C706" s="1" t="n">
        <v>46197</v>
      </c>
      <c r="D706" t="inlineStr">
        <is>
          <t>DALARNAS LÄN</t>
        </is>
      </c>
      <c r="E706" t="inlineStr">
        <is>
          <t>FALUN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14850-2026</t>
        </is>
      </c>
      <c r="B707" s="1" t="n">
        <v>46104</v>
      </c>
      <c r="C707" s="1" t="n">
        <v>46197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17507-2025</t>
        </is>
      </c>
      <c r="B708" s="1" t="n">
        <v>45757</v>
      </c>
      <c r="C708" s="1" t="n">
        <v>46197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15208-2026</t>
        </is>
      </c>
      <c r="B709" s="1" t="n">
        <v>46105</v>
      </c>
      <c r="C709" s="1" t="n">
        <v>46197</v>
      </c>
      <c r="D709" t="inlineStr">
        <is>
          <t>DALARNAS LÄN</t>
        </is>
      </c>
      <c r="E709" t="inlineStr">
        <is>
          <t>FALUN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15086-2026</t>
        </is>
      </c>
      <c r="B710" s="1" t="n">
        <v>46105</v>
      </c>
      <c r="C710" s="1" t="n">
        <v>46197</v>
      </c>
      <c r="D710" t="inlineStr">
        <is>
          <t>DALARNAS LÄN</t>
        </is>
      </c>
      <c r="E710" t="inlineStr">
        <is>
          <t>FALUN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14841-2026</t>
        </is>
      </c>
      <c r="B711" s="1" t="n">
        <v>46104</v>
      </c>
      <c r="C711" s="1" t="n">
        <v>46197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55290-2022</t>
        </is>
      </c>
      <c r="B712" s="1" t="n">
        <v>44887</v>
      </c>
      <c r="C712" s="1" t="n">
        <v>46197</v>
      </c>
      <c r="D712" t="inlineStr">
        <is>
          <t>DALARNAS LÄN</t>
        </is>
      </c>
      <c r="E712" t="inlineStr">
        <is>
          <t>FALUN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14932-2026</t>
        </is>
      </c>
      <c r="B713" s="1" t="n">
        <v>46104</v>
      </c>
      <c r="C713" s="1" t="n">
        <v>46197</v>
      </c>
      <c r="D713" t="inlineStr">
        <is>
          <t>DALARNAS LÄN</t>
        </is>
      </c>
      <c r="E713" t="inlineStr">
        <is>
          <t>FALUN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14961-2026</t>
        </is>
      </c>
      <c r="B714" s="1" t="n">
        <v>46104</v>
      </c>
      <c r="C714" s="1" t="n">
        <v>46197</v>
      </c>
      <c r="D714" t="inlineStr">
        <is>
          <t>DALARNAS LÄN</t>
        </is>
      </c>
      <c r="E714" t="inlineStr">
        <is>
          <t>FALUN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63960-2025</t>
        </is>
      </c>
      <c r="B715" s="1" t="n">
        <v>46020</v>
      </c>
      <c r="C715" s="1" t="n">
        <v>46197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6183-2026</t>
        </is>
      </c>
      <c r="B716" s="1" t="n">
        <v>46055</v>
      </c>
      <c r="C716" s="1" t="n">
        <v>46197</v>
      </c>
      <c r="D716" t="inlineStr">
        <is>
          <t>DALARNAS LÄN</t>
        </is>
      </c>
      <c r="E716" t="inlineStr">
        <is>
          <t>FALUN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14806-2026</t>
        </is>
      </c>
      <c r="B717" s="1" t="n">
        <v>46103</v>
      </c>
      <c r="C717" s="1" t="n">
        <v>46197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46197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63974-2025</t>
        </is>
      </c>
      <c r="B719" s="1" t="n">
        <v>46021</v>
      </c>
      <c r="C719" s="1" t="n">
        <v>46197</v>
      </c>
      <c r="D719" t="inlineStr">
        <is>
          <t>DALARNAS LÄN</t>
        </is>
      </c>
      <c r="E719" t="inlineStr">
        <is>
          <t>FALUN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14847-2026</t>
        </is>
      </c>
      <c r="B720" s="1" t="n">
        <v>46104</v>
      </c>
      <c r="C720" s="1" t="n">
        <v>46197</v>
      </c>
      <c r="D720" t="inlineStr">
        <is>
          <t>DALARNAS LÄN</t>
        </is>
      </c>
      <c r="E720" t="inlineStr">
        <is>
          <t>FALUN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15169-2026</t>
        </is>
      </c>
      <c r="B721" s="1" t="n">
        <v>46105</v>
      </c>
      <c r="C721" s="1" t="n">
        <v>46197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15333-2026</t>
        </is>
      </c>
      <c r="B722" s="1" t="n">
        <v>46105</v>
      </c>
      <c r="C722" s="1" t="n">
        <v>46197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121-2026</t>
        </is>
      </c>
      <c r="B723" s="1" t="n">
        <v>46024</v>
      </c>
      <c r="C723" s="1" t="n">
        <v>46197</v>
      </c>
      <c r="D723" t="inlineStr">
        <is>
          <t>DALARNAS LÄN</t>
        </is>
      </c>
      <c r="E723" t="inlineStr">
        <is>
          <t>FALUN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104-2026</t>
        </is>
      </c>
      <c r="B724" s="1" t="n">
        <v>46024</v>
      </c>
      <c r="C724" s="1" t="n">
        <v>46197</v>
      </c>
      <c r="D724" t="inlineStr">
        <is>
          <t>DALARNAS LÄN</t>
        </is>
      </c>
      <c r="E724" t="inlineStr">
        <is>
          <t>FALUN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15085-2026</t>
        </is>
      </c>
      <c r="B725" s="1" t="n">
        <v>46105</v>
      </c>
      <c r="C725" s="1" t="n">
        <v>46197</v>
      </c>
      <c r="D725" t="inlineStr">
        <is>
          <t>DALARNAS LÄN</t>
        </is>
      </c>
      <c r="E725" t="inlineStr">
        <is>
          <t>FALUN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396-2026</t>
        </is>
      </c>
      <c r="B726" s="1" t="n">
        <v>46028</v>
      </c>
      <c r="C726" s="1" t="n">
        <v>46197</v>
      </c>
      <c r="D726" t="inlineStr">
        <is>
          <t>DALARNAS LÄN</t>
        </is>
      </c>
      <c r="E726" t="inlineStr">
        <is>
          <t>FALUN</t>
        </is>
      </c>
      <c r="G726" t="n">
        <v>34.8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178-2026</t>
        </is>
      </c>
      <c r="B727" s="1" t="n">
        <v>46025</v>
      </c>
      <c r="C727" s="1" t="n">
        <v>46197</v>
      </c>
      <c r="D727" t="inlineStr">
        <is>
          <t>DALARNAS LÄN</t>
        </is>
      </c>
      <c r="E727" t="inlineStr">
        <is>
          <t>FALUN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190-2026</t>
        </is>
      </c>
      <c r="B728" s="1" t="n">
        <v>46025</v>
      </c>
      <c r="C728" s="1" t="n">
        <v>46197</v>
      </c>
      <c r="D728" t="inlineStr">
        <is>
          <t>DALARNAS LÄN</t>
        </is>
      </c>
      <c r="E728" t="inlineStr">
        <is>
          <t>FALUN</t>
        </is>
      </c>
      <c r="G728" t="n">
        <v>46.9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15139-2026</t>
        </is>
      </c>
      <c r="B729" s="1" t="n">
        <v>46104</v>
      </c>
      <c r="C729" s="1" t="n">
        <v>46197</v>
      </c>
      <c r="D729" t="inlineStr">
        <is>
          <t>DALARNAS LÄN</t>
        </is>
      </c>
      <c r="E729" t="inlineStr">
        <is>
          <t>FALUN</t>
        </is>
      </c>
      <c r="F729" t="inlineStr">
        <is>
          <t>Allmännings- och besparingsskogar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312-2026</t>
        </is>
      </c>
      <c r="B730" s="1" t="n">
        <v>46027</v>
      </c>
      <c r="C730" s="1" t="n">
        <v>46197</v>
      </c>
      <c r="D730" t="inlineStr">
        <is>
          <t>DALARNAS LÄN</t>
        </is>
      </c>
      <c r="E730" t="inlineStr">
        <is>
          <t>FALUN</t>
        </is>
      </c>
      <c r="G730" t="n">
        <v>13.7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46197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374-2026</t>
        </is>
      </c>
      <c r="B732" s="1" t="n">
        <v>46027</v>
      </c>
      <c r="C732" s="1" t="n">
        <v>46197</v>
      </c>
      <c r="D732" t="inlineStr">
        <is>
          <t>DALARNAS LÄN</t>
        </is>
      </c>
      <c r="E732" t="inlineStr">
        <is>
          <t>FALUN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386-2026</t>
        </is>
      </c>
      <c r="B733" s="1" t="n">
        <v>46027</v>
      </c>
      <c r="C733" s="1" t="n">
        <v>46197</v>
      </c>
      <c r="D733" t="inlineStr">
        <is>
          <t>DALARNAS LÄN</t>
        </is>
      </c>
      <c r="E733" t="inlineStr">
        <is>
          <t>FALUN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295-2026</t>
        </is>
      </c>
      <c r="B734" s="1" t="n">
        <v>46027</v>
      </c>
      <c r="C734" s="1" t="n">
        <v>46197</v>
      </c>
      <c r="D734" t="inlineStr">
        <is>
          <t>DALARNAS LÄN</t>
        </is>
      </c>
      <c r="E734" t="inlineStr">
        <is>
          <t>FALUN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405-2026</t>
        </is>
      </c>
      <c r="B735" s="1" t="n">
        <v>46028</v>
      </c>
      <c r="C735" s="1" t="n">
        <v>46197</v>
      </c>
      <c r="D735" t="inlineStr">
        <is>
          <t>DALARNAS LÄN</t>
        </is>
      </c>
      <c r="E735" t="inlineStr">
        <is>
          <t>FALUN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211-2026</t>
        </is>
      </c>
      <c r="B736" s="1" t="n">
        <v>46026</v>
      </c>
      <c r="C736" s="1" t="n">
        <v>46197</v>
      </c>
      <c r="D736" t="inlineStr">
        <is>
          <t>DALARNAS LÄN</t>
        </is>
      </c>
      <c r="E736" t="inlineStr">
        <is>
          <t>FALUN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15209-2026</t>
        </is>
      </c>
      <c r="B737" s="1" t="n">
        <v>46105</v>
      </c>
      <c r="C737" s="1" t="n">
        <v>46197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14907-2026</t>
        </is>
      </c>
      <c r="B738" s="1" t="n">
        <v>46104</v>
      </c>
      <c r="C738" s="1" t="n">
        <v>46197</v>
      </c>
      <c r="D738" t="inlineStr">
        <is>
          <t>DALARNAS LÄN</t>
        </is>
      </c>
      <c r="E738" t="inlineStr">
        <is>
          <t>FALUN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1036-2026</t>
        </is>
      </c>
      <c r="B739" s="1" t="n">
        <v>46030</v>
      </c>
      <c r="C739" s="1" t="n">
        <v>46197</v>
      </c>
      <c r="D739" t="inlineStr">
        <is>
          <t>DALARNAS LÄN</t>
        </is>
      </c>
      <c r="E739" t="inlineStr">
        <is>
          <t>FALUN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39096-2021</t>
        </is>
      </c>
      <c r="B740" s="1" t="n">
        <v>44412</v>
      </c>
      <c r="C740" s="1" t="n">
        <v>46197</v>
      </c>
      <c r="D740" t="inlineStr">
        <is>
          <t>DALARNAS LÄN</t>
        </is>
      </c>
      <c r="E740" t="inlineStr">
        <is>
          <t>FALUN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15366-2026</t>
        </is>
      </c>
      <c r="B741" s="1" t="n">
        <v>46105</v>
      </c>
      <c r="C741" s="1" t="n">
        <v>46197</v>
      </c>
      <c r="D741" t="inlineStr">
        <is>
          <t>DALARNAS LÄN</t>
        </is>
      </c>
      <c r="E741" t="inlineStr">
        <is>
          <t>FALUN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18050-2023</t>
        </is>
      </c>
      <c r="B742" s="1" t="n">
        <v>45040</v>
      </c>
      <c r="C742" s="1" t="n">
        <v>46197</v>
      </c>
      <c r="D742" t="inlineStr">
        <is>
          <t>DALARNAS LÄN</t>
        </is>
      </c>
      <c r="E742" t="inlineStr">
        <is>
          <t>FALUN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606-2026</t>
        </is>
      </c>
      <c r="B743" s="1" t="n">
        <v>46029</v>
      </c>
      <c r="C743" s="1" t="n">
        <v>46197</v>
      </c>
      <c r="D743" t="inlineStr">
        <is>
          <t>DALARNAS LÄN</t>
        </is>
      </c>
      <c r="E743" t="inlineStr">
        <is>
          <t>FALUN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1141-2026</t>
        </is>
      </c>
      <c r="B744" s="1" t="n">
        <v>46030</v>
      </c>
      <c r="C744" s="1" t="n">
        <v>46197</v>
      </c>
      <c r="D744" t="inlineStr">
        <is>
          <t>DALARNAS LÄN</t>
        </is>
      </c>
      <c r="E744" t="inlineStr">
        <is>
          <t>FALUN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14964-2026</t>
        </is>
      </c>
      <c r="B745" s="1" t="n">
        <v>46104</v>
      </c>
      <c r="C745" s="1" t="n">
        <v>46197</v>
      </c>
      <c r="D745" t="inlineStr">
        <is>
          <t>DALARNAS LÄN</t>
        </is>
      </c>
      <c r="E745" t="inlineStr">
        <is>
          <t>FALUN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52116-2022</t>
        </is>
      </c>
      <c r="B746" s="1" t="n">
        <v>44873</v>
      </c>
      <c r="C746" s="1" t="n">
        <v>46197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15123-2026</t>
        </is>
      </c>
      <c r="B747" s="1" t="n">
        <v>46105</v>
      </c>
      <c r="C747" s="1" t="n">
        <v>46197</v>
      </c>
      <c r="D747" t="inlineStr">
        <is>
          <t>DALARNAS LÄN</t>
        </is>
      </c>
      <c r="E747" t="inlineStr">
        <is>
          <t>FALUN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1015-2026</t>
        </is>
      </c>
      <c r="B748" s="1" t="n">
        <v>46030</v>
      </c>
      <c r="C748" s="1" t="n">
        <v>46197</v>
      </c>
      <c r="D748" t="inlineStr">
        <is>
          <t>DALARNAS LÄN</t>
        </is>
      </c>
      <c r="E748" t="inlineStr">
        <is>
          <t>FALUN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15133-2026</t>
        </is>
      </c>
      <c r="B749" s="1" t="n">
        <v>46105</v>
      </c>
      <c r="C749" s="1" t="n">
        <v>46197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905-2026</t>
        </is>
      </c>
      <c r="B750" s="1" t="n">
        <v>46030</v>
      </c>
      <c r="C750" s="1" t="n">
        <v>46197</v>
      </c>
      <c r="D750" t="inlineStr">
        <is>
          <t>DALARNAS LÄN</t>
        </is>
      </c>
      <c r="E750" t="inlineStr">
        <is>
          <t>FALUN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52026-2023</t>
        </is>
      </c>
      <c r="B751" s="1" t="n">
        <v>45223</v>
      </c>
      <c r="C751" s="1" t="n">
        <v>46197</v>
      </c>
      <c r="D751" t="inlineStr">
        <is>
          <t>DALARNAS LÄN</t>
        </is>
      </c>
      <c r="E751" t="inlineStr">
        <is>
          <t>FALUN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5225-2026</t>
        </is>
      </c>
      <c r="B752" s="1" t="n">
        <v>46049</v>
      </c>
      <c r="C752" s="1" t="n">
        <v>46197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1140-2026</t>
        </is>
      </c>
      <c r="B753" s="1" t="n">
        <v>46030</v>
      </c>
      <c r="C753" s="1" t="n">
        <v>46197</v>
      </c>
      <c r="D753" t="inlineStr">
        <is>
          <t>DALARNAS LÄN</t>
        </is>
      </c>
      <c r="E753" t="inlineStr">
        <is>
          <t>FALUN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789-2026</t>
        </is>
      </c>
      <c r="B754" s="1" t="n">
        <v>46029</v>
      </c>
      <c r="C754" s="1" t="n">
        <v>46197</v>
      </c>
      <c r="D754" t="inlineStr">
        <is>
          <t>DALARNAS LÄN</t>
        </is>
      </c>
      <c r="E754" t="inlineStr">
        <is>
          <t>FALUN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17336-2025</t>
        </is>
      </c>
      <c r="B755" s="1" t="n">
        <v>45756</v>
      </c>
      <c r="C755" s="1" t="n">
        <v>46197</v>
      </c>
      <c r="D755" t="inlineStr">
        <is>
          <t>DALARNAS LÄN</t>
        </is>
      </c>
      <c r="E755" t="inlineStr">
        <is>
          <t>FALUN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1323-2026</t>
        </is>
      </c>
      <c r="B756" s="1" t="n">
        <v>46031</v>
      </c>
      <c r="C756" s="1" t="n">
        <v>46197</v>
      </c>
      <c r="D756" t="inlineStr">
        <is>
          <t>DALARNAS LÄN</t>
        </is>
      </c>
      <c r="E756" t="inlineStr">
        <is>
          <t>FALUN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15670-2026</t>
        </is>
      </c>
      <c r="B757" s="1" t="n">
        <v>46106</v>
      </c>
      <c r="C757" s="1" t="n">
        <v>46197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1447-2026</t>
        </is>
      </c>
      <c r="B758" s="1" t="n">
        <v>46032</v>
      </c>
      <c r="C758" s="1" t="n">
        <v>46197</v>
      </c>
      <c r="D758" t="inlineStr">
        <is>
          <t>DALARNAS LÄN</t>
        </is>
      </c>
      <c r="E758" t="inlineStr">
        <is>
          <t>FALUN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1443-2026</t>
        </is>
      </c>
      <c r="B759" s="1" t="n">
        <v>46032</v>
      </c>
      <c r="C759" s="1" t="n">
        <v>46197</v>
      </c>
      <c r="D759" t="inlineStr">
        <is>
          <t>DALARNAS LÄN</t>
        </is>
      </c>
      <c r="E759" t="inlineStr">
        <is>
          <t>FALUN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1321-2026</t>
        </is>
      </c>
      <c r="B760" s="1" t="n">
        <v>46031</v>
      </c>
      <c r="C760" s="1" t="n">
        <v>46197</v>
      </c>
      <c r="D760" t="inlineStr">
        <is>
          <t>DALARNAS LÄN</t>
        </is>
      </c>
      <c r="E760" t="inlineStr">
        <is>
          <t>FALUN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1314-2026</t>
        </is>
      </c>
      <c r="B761" s="1" t="n">
        <v>46031</v>
      </c>
      <c r="C761" s="1" t="n">
        <v>46197</v>
      </c>
      <c r="D761" t="inlineStr">
        <is>
          <t>DALARNAS LÄN</t>
        </is>
      </c>
      <c r="E761" t="inlineStr">
        <is>
          <t>FALUN</t>
        </is>
      </c>
      <c r="G761" t="n">
        <v>37.9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1448-2026</t>
        </is>
      </c>
      <c r="B762" s="1" t="n">
        <v>46032</v>
      </c>
      <c r="C762" s="1" t="n">
        <v>46197</v>
      </c>
      <c r="D762" t="inlineStr">
        <is>
          <t>DALARNAS LÄN</t>
        </is>
      </c>
      <c r="E762" t="inlineStr">
        <is>
          <t>FALUN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1465-2026</t>
        </is>
      </c>
      <c r="B763" s="1" t="n">
        <v>46033</v>
      </c>
      <c r="C763" s="1" t="n">
        <v>46197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1446-2026</t>
        </is>
      </c>
      <c r="B764" s="1" t="n">
        <v>46032</v>
      </c>
      <c r="C764" s="1" t="n">
        <v>46197</v>
      </c>
      <c r="D764" t="inlineStr">
        <is>
          <t>DALARNAS LÄN</t>
        </is>
      </c>
      <c r="E764" t="inlineStr">
        <is>
          <t>FALUN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2248-2026</t>
        </is>
      </c>
      <c r="B765" s="1" t="n">
        <v>46034</v>
      </c>
      <c r="C765" s="1" t="n">
        <v>46197</v>
      </c>
      <c r="D765" t="inlineStr">
        <is>
          <t>DALARNAS LÄN</t>
        </is>
      </c>
      <c r="E765" t="inlineStr">
        <is>
          <t>FALUN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15737-2026</t>
        </is>
      </c>
      <c r="B766" s="1" t="n">
        <v>46107</v>
      </c>
      <c r="C766" s="1" t="n">
        <v>46197</v>
      </c>
      <c r="D766" t="inlineStr">
        <is>
          <t>DALARNAS LÄN</t>
        </is>
      </c>
      <c r="E766" t="inlineStr">
        <is>
          <t>FALUN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1609-2026</t>
        </is>
      </c>
      <c r="B767" s="1" t="n">
        <v>46031</v>
      </c>
      <c r="C767" s="1" t="n">
        <v>46197</v>
      </c>
      <c r="D767" t="inlineStr">
        <is>
          <t>DALARNAS LÄN</t>
        </is>
      </c>
      <c r="E767" t="inlineStr">
        <is>
          <t>FALUN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41933-2024</t>
        </is>
      </c>
      <c r="B768" s="1" t="n">
        <v>45561</v>
      </c>
      <c r="C768" s="1" t="n">
        <v>46197</v>
      </c>
      <c r="D768" t="inlineStr">
        <is>
          <t>DALARNAS LÄN</t>
        </is>
      </c>
      <c r="E768" t="inlineStr">
        <is>
          <t>FALUN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1702-2026</t>
        </is>
      </c>
      <c r="B769" s="1" t="n">
        <v>46034</v>
      </c>
      <c r="C769" s="1" t="n">
        <v>46197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HYPERLINK("https://klasma.github.io/Logging_2080/knärot/A 1702-2026 karta knärot.png", "A 1702-2026")</f>
        <v/>
      </c>
      <c r="V769">
        <f>HYPERLINK("https://klasma.github.io/Logging_2080/klagomål/A 1702-2026 FSC-klagomål.docx", "A 1702-2026")</f>
        <v/>
      </c>
      <c r="W769">
        <f>HYPERLINK("https://klasma.github.io/Logging_2080/klagomålsmail/A 1702-2026 FSC-klagomål mail.docx", "A 1702-2026")</f>
        <v/>
      </c>
      <c r="X769">
        <f>HYPERLINK("https://klasma.github.io/Logging_2080/tillsyn/A 1702-2026 tillsynsbegäran.docx", "A 1702-2026")</f>
        <v/>
      </c>
      <c r="Y769">
        <f>HYPERLINK("https://klasma.github.io/Logging_2080/tillsynsmail/A 1702-2026 tillsynsbegäran mail.docx", "A 1702-2026")</f>
        <v/>
      </c>
    </row>
    <row r="770" ht="15" customHeight="1">
      <c r="A770" t="inlineStr">
        <is>
          <t>A 1362-2026</t>
        </is>
      </c>
      <c r="B770" s="1" t="n">
        <v>46031</v>
      </c>
      <c r="C770" s="1" t="n">
        <v>46197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1363-2026</t>
        </is>
      </c>
      <c r="B771" s="1" t="n">
        <v>46031</v>
      </c>
      <c r="C771" s="1" t="n">
        <v>46197</v>
      </c>
      <c r="D771" t="inlineStr">
        <is>
          <t>DALARNAS LÄN</t>
        </is>
      </c>
      <c r="E771" t="inlineStr">
        <is>
          <t>FALUN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1426-2026</t>
        </is>
      </c>
      <c r="B772" s="1" t="n">
        <v>46031</v>
      </c>
      <c r="C772" s="1" t="n">
        <v>46197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1315-2026</t>
        </is>
      </c>
      <c r="B773" s="1" t="n">
        <v>46031</v>
      </c>
      <c r="C773" s="1" t="n">
        <v>46197</v>
      </c>
      <c r="D773" t="inlineStr">
        <is>
          <t>DALARNAS LÄN</t>
        </is>
      </c>
      <c r="E773" t="inlineStr">
        <is>
          <t>FALUN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1767-2026</t>
        </is>
      </c>
      <c r="B774" s="1" t="n">
        <v>46034</v>
      </c>
      <c r="C774" s="1" t="n">
        <v>46197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1791-2026</t>
        </is>
      </c>
      <c r="B775" s="1" t="n">
        <v>46034</v>
      </c>
      <c r="C775" s="1" t="n">
        <v>46197</v>
      </c>
      <c r="D775" t="inlineStr">
        <is>
          <t>DALARNAS LÄN</t>
        </is>
      </c>
      <c r="E775" t="inlineStr">
        <is>
          <t>FALUN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1851-2026</t>
        </is>
      </c>
      <c r="B776" s="1" t="n">
        <v>46035</v>
      </c>
      <c r="C776" s="1" t="n">
        <v>46197</v>
      </c>
      <c r="D776" t="inlineStr">
        <is>
          <t>DALARNAS LÄN</t>
        </is>
      </c>
      <c r="E776" t="inlineStr">
        <is>
          <t>FALUN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2017-2026</t>
        </is>
      </c>
      <c r="B777" s="1" t="n">
        <v>46035</v>
      </c>
      <c r="C777" s="1" t="n">
        <v>46197</v>
      </c>
      <c r="D777" t="inlineStr">
        <is>
          <t>DALARNAS LÄN</t>
        </is>
      </c>
      <c r="E777" t="inlineStr">
        <is>
          <t>FALUN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2029-2026</t>
        </is>
      </c>
      <c r="B778" s="1" t="n">
        <v>46035</v>
      </c>
      <c r="C778" s="1" t="n">
        <v>46197</v>
      </c>
      <c r="D778" t="inlineStr">
        <is>
          <t>DALARNAS LÄN</t>
        </is>
      </c>
      <c r="E778" t="inlineStr">
        <is>
          <t>FALUN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2649-2026</t>
        </is>
      </c>
      <c r="B779" s="1" t="n">
        <v>46035</v>
      </c>
      <c r="C779" s="1" t="n">
        <v>46197</v>
      </c>
      <c r="D779" t="inlineStr">
        <is>
          <t>DALARNAS LÄN</t>
        </is>
      </c>
      <c r="E779" t="inlineStr">
        <is>
          <t>FALUN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20006-2023</t>
        </is>
      </c>
      <c r="B780" s="1" t="n">
        <v>45054</v>
      </c>
      <c r="C780" s="1" t="n">
        <v>46197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2745-2025</t>
        </is>
      </c>
      <c r="B781" s="1" t="n">
        <v>45677</v>
      </c>
      <c r="C781" s="1" t="n">
        <v>46197</v>
      </c>
      <c r="D781" t="inlineStr">
        <is>
          <t>DALARNAS LÄN</t>
        </is>
      </c>
      <c r="E781" t="inlineStr">
        <is>
          <t>FALUN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2241-2026</t>
        </is>
      </c>
      <c r="B782" s="1" t="n">
        <v>46036</v>
      </c>
      <c r="C782" s="1" t="n">
        <v>46197</v>
      </c>
      <c r="D782" t="inlineStr">
        <is>
          <t>DALARNAS LÄN</t>
        </is>
      </c>
      <c r="E782" t="inlineStr">
        <is>
          <t>FALUN</t>
        </is>
      </c>
      <c r="G782" t="n">
        <v>11.5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6302-2026</t>
        </is>
      </c>
      <c r="B783" s="1" t="n">
        <v>46055</v>
      </c>
      <c r="C783" s="1" t="n">
        <v>46197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2165-2026</t>
        </is>
      </c>
      <c r="B784" s="1" t="n">
        <v>46036</v>
      </c>
      <c r="C784" s="1" t="n">
        <v>46197</v>
      </c>
      <c r="D784" t="inlineStr">
        <is>
          <t>DALARNAS LÄN</t>
        </is>
      </c>
      <c r="E784" t="inlineStr">
        <is>
          <t>FALUN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2011-2026</t>
        </is>
      </c>
      <c r="B785" s="1" t="n">
        <v>46035</v>
      </c>
      <c r="C785" s="1" t="n">
        <v>46197</v>
      </c>
      <c r="D785" t="inlineStr">
        <is>
          <t>DALARNAS LÄN</t>
        </is>
      </c>
      <c r="E785" t="inlineStr">
        <is>
          <t>FALUN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2021-2026</t>
        </is>
      </c>
      <c r="B786" s="1" t="n">
        <v>46035</v>
      </c>
      <c r="C786" s="1" t="n">
        <v>46197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2764-2026</t>
        </is>
      </c>
      <c r="B787" s="1" t="n">
        <v>46036</v>
      </c>
      <c r="C787" s="1" t="n">
        <v>46197</v>
      </c>
      <c r="D787" t="inlineStr">
        <is>
          <t>DALARNAS LÄN</t>
        </is>
      </c>
      <c r="E787" t="inlineStr">
        <is>
          <t>FALUN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16491-2025</t>
        </is>
      </c>
      <c r="B788" s="1" t="n">
        <v>45751</v>
      </c>
      <c r="C788" s="1" t="n">
        <v>46197</v>
      </c>
      <c r="D788" t="inlineStr">
        <is>
          <t>DALARNAS LÄN</t>
        </is>
      </c>
      <c r="E788" t="inlineStr">
        <is>
          <t>FALUN</t>
        </is>
      </c>
      <c r="F788" t="inlineStr">
        <is>
          <t>Övriga statliga verk och myndigheter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1940-2026</t>
        </is>
      </c>
      <c r="B789" s="1" t="n">
        <v>46035</v>
      </c>
      <c r="C789" s="1" t="n">
        <v>46197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1803-2026</t>
        </is>
      </c>
      <c r="B790" s="1" t="n">
        <v>46035</v>
      </c>
      <c r="C790" s="1" t="n">
        <v>46197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15642-2026</t>
        </is>
      </c>
      <c r="B791" s="1" t="n">
        <v>46106</v>
      </c>
      <c r="C791" s="1" t="n">
        <v>46197</v>
      </c>
      <c r="D791" t="inlineStr">
        <is>
          <t>DALARNAS LÄN</t>
        </is>
      </c>
      <c r="E791" t="inlineStr">
        <is>
          <t>FALUN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2293-2026</t>
        </is>
      </c>
      <c r="B792" s="1" t="n">
        <v>46036</v>
      </c>
      <c r="C792" s="1" t="n">
        <v>46197</v>
      </c>
      <c r="D792" t="inlineStr">
        <is>
          <t>DALARNAS LÄN</t>
        </is>
      </c>
      <c r="E792" t="inlineStr">
        <is>
          <t>FALUN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2018-2026</t>
        </is>
      </c>
      <c r="B793" s="1" t="n">
        <v>46035</v>
      </c>
      <c r="C793" s="1" t="n">
        <v>46197</v>
      </c>
      <c r="D793" t="inlineStr">
        <is>
          <t>DALARNAS LÄN</t>
        </is>
      </c>
      <c r="E793" t="inlineStr">
        <is>
          <t>FALUN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2020-2026</t>
        </is>
      </c>
      <c r="B794" s="1" t="n">
        <v>46035</v>
      </c>
      <c r="C794" s="1" t="n">
        <v>46197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2022-2026</t>
        </is>
      </c>
      <c r="B795" s="1" t="n">
        <v>46035</v>
      </c>
      <c r="C795" s="1" t="n">
        <v>46197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1952-2026</t>
        </is>
      </c>
      <c r="B796" s="1" t="n">
        <v>46035</v>
      </c>
      <c r="C796" s="1" t="n">
        <v>46197</v>
      </c>
      <c r="D796" t="inlineStr">
        <is>
          <t>DALARNAS LÄN</t>
        </is>
      </c>
      <c r="E796" t="inlineStr">
        <is>
          <t>FALUN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1932-2026</t>
        </is>
      </c>
      <c r="B797" s="1" t="n">
        <v>46035</v>
      </c>
      <c r="C797" s="1" t="n">
        <v>46197</v>
      </c>
      <c r="D797" t="inlineStr">
        <is>
          <t>DALARNAS LÄN</t>
        </is>
      </c>
      <c r="E797" t="inlineStr">
        <is>
          <t>FALUN</t>
        </is>
      </c>
      <c r="G797" t="n">
        <v>26.7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2240-2026</t>
        </is>
      </c>
      <c r="B798" s="1" t="n">
        <v>46036</v>
      </c>
      <c r="C798" s="1" t="n">
        <v>46197</v>
      </c>
      <c r="D798" t="inlineStr">
        <is>
          <t>DALARNAS LÄN</t>
        </is>
      </c>
      <c r="E798" t="inlineStr">
        <is>
          <t>FALUN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2262-2026</t>
        </is>
      </c>
      <c r="B799" s="1" t="n">
        <v>46036</v>
      </c>
      <c r="C799" s="1" t="n">
        <v>46197</v>
      </c>
      <c r="D799" t="inlineStr">
        <is>
          <t>DALARNAS LÄN</t>
        </is>
      </c>
      <c r="E799" t="inlineStr">
        <is>
          <t>FALUN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15637-2026</t>
        </is>
      </c>
      <c r="B800" s="1" t="n">
        <v>46106</v>
      </c>
      <c r="C800" s="1" t="n">
        <v>46197</v>
      </c>
      <c r="D800" t="inlineStr">
        <is>
          <t>DALARNAS LÄN</t>
        </is>
      </c>
      <c r="E800" t="inlineStr">
        <is>
          <t>FALUN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6304-2026</t>
        </is>
      </c>
      <c r="B801" s="1" t="n">
        <v>46055</v>
      </c>
      <c r="C801" s="1" t="n">
        <v>46197</v>
      </c>
      <c r="D801" t="inlineStr">
        <is>
          <t>DALARNAS LÄN</t>
        </is>
      </c>
      <c r="E801" t="inlineStr">
        <is>
          <t>FALUN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2381-2026</t>
        </is>
      </c>
      <c r="B802" s="1" t="n">
        <v>46036</v>
      </c>
      <c r="C802" s="1" t="n">
        <v>46197</v>
      </c>
      <c r="D802" t="inlineStr">
        <is>
          <t>DALARNAS LÄN</t>
        </is>
      </c>
      <c r="E802" t="inlineStr">
        <is>
          <t>FALUN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2236-2026</t>
        </is>
      </c>
      <c r="B803" s="1" t="n">
        <v>46036</v>
      </c>
      <c r="C803" s="1" t="n">
        <v>46197</v>
      </c>
      <c r="D803" t="inlineStr">
        <is>
          <t>DALARNAS LÄN</t>
        </is>
      </c>
      <c r="E803" t="inlineStr">
        <is>
          <t>FALUN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2237-2026</t>
        </is>
      </c>
      <c r="B804" s="1" t="n">
        <v>46036</v>
      </c>
      <c r="C804" s="1" t="n">
        <v>46197</v>
      </c>
      <c r="D804" t="inlineStr">
        <is>
          <t>DALARNAS LÄN</t>
        </is>
      </c>
      <c r="E804" t="inlineStr">
        <is>
          <t>FALUN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2-2026</t>
        </is>
      </c>
      <c r="B805" s="1" t="n">
        <v>46023</v>
      </c>
      <c r="C805" s="1" t="n">
        <v>46197</v>
      </c>
      <c r="D805" t="inlineStr">
        <is>
          <t>DALARNAS LÄN</t>
        </is>
      </c>
      <c r="E805" t="inlineStr">
        <is>
          <t>FALUN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15550-2026</t>
        </is>
      </c>
      <c r="B806" s="1" t="n">
        <v>46106</v>
      </c>
      <c r="C806" s="1" t="n">
        <v>46197</v>
      </c>
      <c r="D806" t="inlineStr">
        <is>
          <t>DALARNAS LÄN</t>
        </is>
      </c>
      <c r="E806" t="inlineStr">
        <is>
          <t>FALUN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2013-2026</t>
        </is>
      </c>
      <c r="B807" s="1" t="n">
        <v>46035</v>
      </c>
      <c r="C807" s="1" t="n">
        <v>46197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2015-2026</t>
        </is>
      </c>
      <c r="B808" s="1" t="n">
        <v>46035</v>
      </c>
      <c r="C808" s="1" t="n">
        <v>46197</v>
      </c>
      <c r="D808" t="inlineStr">
        <is>
          <t>DALARNAS LÄN</t>
        </is>
      </c>
      <c r="E808" t="inlineStr">
        <is>
          <t>FALUN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16303-2026</t>
        </is>
      </c>
      <c r="B809" s="1" t="n">
        <v>46111</v>
      </c>
      <c r="C809" s="1" t="n">
        <v>46197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34003-2024</t>
        </is>
      </c>
      <c r="B810" s="1" t="n">
        <v>45523</v>
      </c>
      <c r="C810" s="1" t="n">
        <v>46197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15954-2026</t>
        </is>
      </c>
      <c r="B811" s="1" t="n">
        <v>46108</v>
      </c>
      <c r="C811" s="1" t="n">
        <v>46197</v>
      </c>
      <c r="D811" t="inlineStr">
        <is>
          <t>DALARNAS LÄN</t>
        </is>
      </c>
      <c r="E811" t="inlineStr">
        <is>
          <t>FALUN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16165-2026</t>
        </is>
      </c>
      <c r="B812" s="1" t="n">
        <v>46110</v>
      </c>
      <c r="C812" s="1" t="n">
        <v>46197</v>
      </c>
      <c r="D812" t="inlineStr">
        <is>
          <t>DALARNAS LÄN</t>
        </is>
      </c>
      <c r="E812" t="inlineStr">
        <is>
          <t>FALUN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16166-2026</t>
        </is>
      </c>
      <c r="B813" s="1" t="n">
        <v>46110</v>
      </c>
      <c r="C813" s="1" t="n">
        <v>46197</v>
      </c>
      <c r="D813" t="inlineStr">
        <is>
          <t>DALARNAS LÄN</t>
        </is>
      </c>
      <c r="E813" t="inlineStr">
        <is>
          <t>FALUN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16377-2026</t>
        </is>
      </c>
      <c r="B814" s="1" t="n">
        <v>46111</v>
      </c>
      <c r="C814" s="1" t="n">
        <v>46197</v>
      </c>
      <c r="D814" t="inlineStr">
        <is>
          <t>DALARNAS LÄN</t>
        </is>
      </c>
      <c r="E814" t="inlineStr">
        <is>
          <t>FALUN</t>
        </is>
      </c>
      <c r="F814" t="inlineStr">
        <is>
          <t>Allmännings- och besparingsskogar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16412-2026</t>
        </is>
      </c>
      <c r="B815" s="1" t="n">
        <v>46111</v>
      </c>
      <c r="C815" s="1" t="n">
        <v>46197</v>
      </c>
      <c r="D815" t="inlineStr">
        <is>
          <t>DALARNAS LÄN</t>
        </is>
      </c>
      <c r="E815" t="inlineStr">
        <is>
          <t>FALUN</t>
        </is>
      </c>
      <c r="F815" t="inlineStr">
        <is>
          <t>Allmännings- och besparingsskogar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47633-2022</t>
        </is>
      </c>
      <c r="B816" s="1" t="n">
        <v>44854</v>
      </c>
      <c r="C816" s="1" t="n">
        <v>46197</v>
      </c>
      <c r="D816" t="inlineStr">
        <is>
          <t>DALARNAS LÄN</t>
        </is>
      </c>
      <c r="E816" t="inlineStr">
        <is>
          <t>FALUN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16415-2026</t>
        </is>
      </c>
      <c r="B817" s="1" t="n">
        <v>46111</v>
      </c>
      <c r="C817" s="1" t="n">
        <v>46197</v>
      </c>
      <c r="D817" t="inlineStr">
        <is>
          <t>DALARNAS LÄN</t>
        </is>
      </c>
      <c r="E817" t="inlineStr">
        <is>
          <t>FALUN</t>
        </is>
      </c>
      <c r="F817" t="inlineStr">
        <is>
          <t>Allmännings- och besparingsskogar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16378-2026</t>
        </is>
      </c>
      <c r="B818" s="1" t="n">
        <v>46111</v>
      </c>
      <c r="C818" s="1" t="n">
        <v>46197</v>
      </c>
      <c r="D818" t="inlineStr">
        <is>
          <t>DALARNAS LÄN</t>
        </is>
      </c>
      <c r="E818" t="inlineStr">
        <is>
          <t>FALUN</t>
        </is>
      </c>
      <c r="F818" t="inlineStr">
        <is>
          <t>Allmännings- och besparingsskogar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16379-2026</t>
        </is>
      </c>
      <c r="B819" s="1" t="n">
        <v>46111</v>
      </c>
      <c r="C819" s="1" t="n">
        <v>46197</v>
      </c>
      <c r="D819" t="inlineStr">
        <is>
          <t>DALARNAS LÄN</t>
        </is>
      </c>
      <c r="E819" t="inlineStr">
        <is>
          <t>FALUN</t>
        </is>
      </c>
      <c r="F819" t="inlineStr">
        <is>
          <t>Allmännings- och besparingsskogar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15278-2026</t>
        </is>
      </c>
      <c r="B820" s="1" t="n">
        <v>46105</v>
      </c>
      <c r="C820" s="1" t="n">
        <v>46197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16073-2026</t>
        </is>
      </c>
      <c r="B821" s="1" t="n">
        <v>46108</v>
      </c>
      <c r="C821" s="1" t="n">
        <v>46197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16327-2026</t>
        </is>
      </c>
      <c r="B822" s="1" t="n">
        <v>46111</v>
      </c>
      <c r="C822" s="1" t="n">
        <v>46197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16274-2026</t>
        </is>
      </c>
      <c r="B823" s="1" t="n">
        <v>46111</v>
      </c>
      <c r="C823" s="1" t="n">
        <v>46197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16256-2026</t>
        </is>
      </c>
      <c r="B824" s="1" t="n">
        <v>46111</v>
      </c>
      <c r="C824" s="1" t="n">
        <v>46197</v>
      </c>
      <c r="D824" t="inlineStr">
        <is>
          <t>DALARNAS LÄN</t>
        </is>
      </c>
      <c r="E824" t="inlineStr">
        <is>
          <t>FALUN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22608-2026</t>
        </is>
      </c>
      <c r="B825" s="1" t="n">
        <v>46155</v>
      </c>
      <c r="C825" s="1" t="n">
        <v>46197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17202-2023</t>
        </is>
      </c>
      <c r="B826" s="1" t="n">
        <v>45034</v>
      </c>
      <c r="C826" s="1" t="n">
        <v>46197</v>
      </c>
      <c r="D826" t="inlineStr">
        <is>
          <t>DALARNAS LÄN</t>
        </is>
      </c>
      <c r="E826" t="inlineStr">
        <is>
          <t>FALUN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16846-2026</t>
        </is>
      </c>
      <c r="B827" s="1" t="n">
        <v>46113</v>
      </c>
      <c r="C827" s="1" t="n">
        <v>46197</v>
      </c>
      <c r="D827" t="inlineStr">
        <is>
          <t>DALARNAS LÄN</t>
        </is>
      </c>
      <c r="E827" t="inlineStr">
        <is>
          <t>FALUN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22624-2026</t>
        </is>
      </c>
      <c r="B828" s="1" t="n">
        <v>46155</v>
      </c>
      <c r="C828" s="1" t="n">
        <v>46197</v>
      </c>
      <c r="D828" t="inlineStr">
        <is>
          <t>DALARNAS LÄN</t>
        </is>
      </c>
      <c r="E828" t="inlineStr">
        <is>
          <t>FALUN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22617-2026</t>
        </is>
      </c>
      <c r="B829" s="1" t="n">
        <v>46155</v>
      </c>
      <c r="C829" s="1" t="n">
        <v>46197</v>
      </c>
      <c r="D829" t="inlineStr">
        <is>
          <t>DALARNAS LÄN</t>
        </is>
      </c>
      <c r="E829" t="inlineStr">
        <is>
          <t>FALUN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22505-2026</t>
        </is>
      </c>
      <c r="B830" s="1" t="n">
        <v>46155</v>
      </c>
      <c r="C830" s="1" t="n">
        <v>46197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58343-2023</t>
        </is>
      </c>
      <c r="B831" s="1" t="n">
        <v>45250</v>
      </c>
      <c r="C831" s="1" t="n">
        <v>46197</v>
      </c>
      <c r="D831" t="inlineStr">
        <is>
          <t>DALARNAS LÄN</t>
        </is>
      </c>
      <c r="E831" t="inlineStr">
        <is>
          <t>FALUN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58388-2023</t>
        </is>
      </c>
      <c r="B832" s="1" t="n">
        <v>45250</v>
      </c>
      <c r="C832" s="1" t="n">
        <v>46197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22430-2026</t>
        </is>
      </c>
      <c r="B833" s="1" t="n">
        <v>46154</v>
      </c>
      <c r="C833" s="1" t="n">
        <v>46197</v>
      </c>
      <c r="D833" t="inlineStr">
        <is>
          <t>DALARNAS LÄN</t>
        </is>
      </c>
      <c r="E833" t="inlineStr">
        <is>
          <t>FALUN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22477-2026</t>
        </is>
      </c>
      <c r="B834" s="1" t="n">
        <v>46155</v>
      </c>
      <c r="C834" s="1" t="n">
        <v>46197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22658-2026</t>
        </is>
      </c>
      <c r="B835" s="1" t="n">
        <v>46155</v>
      </c>
      <c r="C835" s="1" t="n">
        <v>46197</v>
      </c>
      <c r="D835" t="inlineStr">
        <is>
          <t>DALARNAS LÄN</t>
        </is>
      </c>
      <c r="E835" t="inlineStr">
        <is>
          <t>FALUN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22622-2026</t>
        </is>
      </c>
      <c r="B836" s="1" t="n">
        <v>46155</v>
      </c>
      <c r="C836" s="1" t="n">
        <v>46197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22614-2026</t>
        </is>
      </c>
      <c r="B837" s="1" t="n">
        <v>46155</v>
      </c>
      <c r="C837" s="1" t="n">
        <v>46197</v>
      </c>
      <c r="D837" t="inlineStr">
        <is>
          <t>DALARNAS LÄN</t>
        </is>
      </c>
      <c r="E837" t="inlineStr">
        <is>
          <t>FALUN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16934-2026</t>
        </is>
      </c>
      <c r="B838" s="1" t="n">
        <v>46113</v>
      </c>
      <c r="C838" s="1" t="n">
        <v>46197</v>
      </c>
      <c r="D838" t="inlineStr">
        <is>
          <t>DALARNAS LÄN</t>
        </is>
      </c>
      <c r="E838" t="inlineStr">
        <is>
          <t>FALUN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22526-2026</t>
        </is>
      </c>
      <c r="B839" s="1" t="n">
        <v>46155</v>
      </c>
      <c r="C839" s="1" t="n">
        <v>46197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22634-2026</t>
        </is>
      </c>
      <c r="B840" s="1" t="n">
        <v>46155</v>
      </c>
      <c r="C840" s="1" t="n">
        <v>46197</v>
      </c>
      <c r="D840" t="inlineStr">
        <is>
          <t>DALARNAS LÄN</t>
        </is>
      </c>
      <c r="E840" t="inlineStr">
        <is>
          <t>FALUN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22616-2026</t>
        </is>
      </c>
      <c r="B841" s="1" t="n">
        <v>46155</v>
      </c>
      <c r="C841" s="1" t="n">
        <v>46197</v>
      </c>
      <c r="D841" t="inlineStr">
        <is>
          <t>DALARNAS LÄN</t>
        </is>
      </c>
      <c r="E841" t="inlineStr">
        <is>
          <t>FALUN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22527-2026</t>
        </is>
      </c>
      <c r="B842" s="1" t="n">
        <v>46155</v>
      </c>
      <c r="C842" s="1" t="n">
        <v>46197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17132-2026</t>
        </is>
      </c>
      <c r="B843" s="1" t="n">
        <v>46114</v>
      </c>
      <c r="C843" s="1" t="n">
        <v>46197</v>
      </c>
      <c r="D843" t="inlineStr">
        <is>
          <t>DALARNAS LÄN</t>
        </is>
      </c>
      <c r="E843" t="inlineStr">
        <is>
          <t>FALUN</t>
        </is>
      </c>
      <c r="G843" t="n">
        <v>20.1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22696-2026</t>
        </is>
      </c>
      <c r="B844" s="1" t="n">
        <v>46156</v>
      </c>
      <c r="C844" s="1" t="n">
        <v>46197</v>
      </c>
      <c r="D844" t="inlineStr">
        <is>
          <t>DALARNAS LÄN</t>
        </is>
      </c>
      <c r="E844" t="inlineStr">
        <is>
          <t>FALUN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17055-2026</t>
        </is>
      </c>
      <c r="B845" s="1" t="n">
        <v>46114</v>
      </c>
      <c r="C845" s="1" t="n">
        <v>46197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17134-2026</t>
        </is>
      </c>
      <c r="B846" s="1" t="n">
        <v>46114</v>
      </c>
      <c r="C846" s="1" t="n">
        <v>46197</v>
      </c>
      <c r="D846" t="inlineStr">
        <is>
          <t>DALARNAS LÄN</t>
        </is>
      </c>
      <c r="E846" t="inlineStr">
        <is>
          <t>FALUN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17137-2026</t>
        </is>
      </c>
      <c r="B847" s="1" t="n">
        <v>46114</v>
      </c>
      <c r="C847" s="1" t="n">
        <v>46197</v>
      </c>
      <c r="D847" t="inlineStr">
        <is>
          <t>DALARNAS LÄN</t>
        </is>
      </c>
      <c r="E847" t="inlineStr">
        <is>
          <t>FALUN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17138-2026</t>
        </is>
      </c>
      <c r="B848" s="1" t="n">
        <v>46114</v>
      </c>
      <c r="C848" s="1" t="n">
        <v>46197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17048-2026</t>
        </is>
      </c>
      <c r="B849" s="1" t="n">
        <v>46114</v>
      </c>
      <c r="C849" s="1" t="n">
        <v>46197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17051-2026</t>
        </is>
      </c>
      <c r="B850" s="1" t="n">
        <v>46114</v>
      </c>
      <c r="C850" s="1" t="n">
        <v>46197</v>
      </c>
      <c r="D850" t="inlineStr">
        <is>
          <t>DALARNAS LÄN</t>
        </is>
      </c>
      <c r="E850" t="inlineStr">
        <is>
          <t>FALUN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17067-2026</t>
        </is>
      </c>
      <c r="B851" s="1" t="n">
        <v>46114</v>
      </c>
      <c r="C851" s="1" t="n">
        <v>46197</v>
      </c>
      <c r="D851" t="inlineStr">
        <is>
          <t>DALARNAS LÄN</t>
        </is>
      </c>
      <c r="E851" t="inlineStr">
        <is>
          <t>FALUN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17041-2026</t>
        </is>
      </c>
      <c r="B852" s="1" t="n">
        <v>46114</v>
      </c>
      <c r="C852" s="1" t="n">
        <v>46197</v>
      </c>
      <c r="D852" t="inlineStr">
        <is>
          <t>DALARNAS LÄN</t>
        </is>
      </c>
      <c r="E852" t="inlineStr">
        <is>
          <t>FALUN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17135-2026</t>
        </is>
      </c>
      <c r="B853" s="1" t="n">
        <v>46114</v>
      </c>
      <c r="C853" s="1" t="n">
        <v>46197</v>
      </c>
      <c r="D853" t="inlineStr">
        <is>
          <t>DALARNAS LÄN</t>
        </is>
      </c>
      <c r="E853" t="inlineStr">
        <is>
          <t>FALUN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22694-2026</t>
        </is>
      </c>
      <c r="B854" s="1" t="n">
        <v>46156</v>
      </c>
      <c r="C854" s="1" t="n">
        <v>46197</v>
      </c>
      <c r="D854" t="inlineStr">
        <is>
          <t>DALARNAS LÄN</t>
        </is>
      </c>
      <c r="E854" t="inlineStr">
        <is>
          <t>FALUN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17310-2026</t>
        </is>
      </c>
      <c r="B855" s="1" t="n">
        <v>46119</v>
      </c>
      <c r="C855" s="1" t="n">
        <v>46197</v>
      </c>
      <c r="D855" t="inlineStr">
        <is>
          <t>DALARNAS LÄN</t>
        </is>
      </c>
      <c r="E855" t="inlineStr">
        <is>
          <t>FALUN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9837-2024</t>
        </is>
      </c>
      <c r="B856" s="1" t="n">
        <v>45363</v>
      </c>
      <c r="C856" s="1" t="n">
        <v>46197</v>
      </c>
      <c r="D856" t="inlineStr">
        <is>
          <t>DALARNAS LÄN</t>
        </is>
      </c>
      <c r="E856" t="inlineStr">
        <is>
          <t>FALUN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13064-2026</t>
        </is>
      </c>
      <c r="B857" s="1" t="n">
        <v>46093</v>
      </c>
      <c r="C857" s="1" t="n">
        <v>46197</v>
      </c>
      <c r="D857" t="inlineStr">
        <is>
          <t>DALARNAS LÄN</t>
        </is>
      </c>
      <c r="E857" t="inlineStr">
        <is>
          <t>FALUN</t>
        </is>
      </c>
      <c r="F857" t="inlineStr">
        <is>
          <t>Allmännings- och besparingsskogar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16235-2026</t>
        </is>
      </c>
      <c r="B858" s="1" t="n">
        <v>46111</v>
      </c>
      <c r="C858" s="1" t="n">
        <v>46197</v>
      </c>
      <c r="D858" t="inlineStr">
        <is>
          <t>DALARNAS LÄN</t>
        </is>
      </c>
      <c r="E858" t="inlineStr">
        <is>
          <t>FALUN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23156-2026</t>
        </is>
      </c>
      <c r="B859" s="1" t="n">
        <v>46161</v>
      </c>
      <c r="C859" s="1" t="n">
        <v>46197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23158-2026</t>
        </is>
      </c>
      <c r="B860" s="1" t="n">
        <v>46161</v>
      </c>
      <c r="C860" s="1" t="n">
        <v>46197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23159-2026</t>
        </is>
      </c>
      <c r="B861" s="1" t="n">
        <v>46161</v>
      </c>
      <c r="C861" s="1" t="n">
        <v>46197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31084-2023</t>
        </is>
      </c>
      <c r="B862" s="1" t="n">
        <v>45113</v>
      </c>
      <c r="C862" s="1" t="n">
        <v>46197</v>
      </c>
      <c r="D862" t="inlineStr">
        <is>
          <t>DALARNAS LÄN</t>
        </is>
      </c>
      <c r="E862" t="inlineStr">
        <is>
          <t>FALUN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13116-2026</t>
        </is>
      </c>
      <c r="B863" s="1" t="n">
        <v>46093</v>
      </c>
      <c r="C863" s="1" t="n">
        <v>46197</v>
      </c>
      <c r="D863" t="inlineStr">
        <is>
          <t>DALARNAS LÄN</t>
        </is>
      </c>
      <c r="E863" t="inlineStr">
        <is>
          <t>FALUN</t>
        </is>
      </c>
      <c r="F863" t="inlineStr">
        <is>
          <t>Allmännings- och besparingsskogar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17356-2026</t>
        </is>
      </c>
      <c r="B864" s="1" t="n">
        <v>46119</v>
      </c>
      <c r="C864" s="1" t="n">
        <v>46197</v>
      </c>
      <c r="D864" t="inlineStr">
        <is>
          <t>DALARNAS LÄN</t>
        </is>
      </c>
      <c r="E864" t="inlineStr">
        <is>
          <t>FALUN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17372-2026</t>
        </is>
      </c>
      <c r="B865" s="1" t="n">
        <v>46119</v>
      </c>
      <c r="C865" s="1" t="n">
        <v>46197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17212-2026</t>
        </is>
      </c>
      <c r="B866" s="1" t="n">
        <v>46119</v>
      </c>
      <c r="C866" s="1" t="n">
        <v>46197</v>
      </c>
      <c r="D866" t="inlineStr">
        <is>
          <t>DALARNAS LÄN</t>
        </is>
      </c>
      <c r="E866" t="inlineStr">
        <is>
          <t>FALUN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23044-2026</t>
        </is>
      </c>
      <c r="B867" s="1" t="n">
        <v>46161</v>
      </c>
      <c r="C867" s="1" t="n">
        <v>46197</v>
      </c>
      <c r="D867" t="inlineStr">
        <is>
          <t>DALARNAS LÄN</t>
        </is>
      </c>
      <c r="E867" t="inlineStr">
        <is>
          <t>FALUN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52506-2021</t>
        </is>
      </c>
      <c r="B868" s="1" t="n">
        <v>44466</v>
      </c>
      <c r="C868" s="1" t="n">
        <v>46197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17296-2026</t>
        </is>
      </c>
      <c r="B869" s="1" t="n">
        <v>46119</v>
      </c>
      <c r="C869" s="1" t="n">
        <v>46197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17284-2026</t>
        </is>
      </c>
      <c r="B870" s="1" t="n">
        <v>46119</v>
      </c>
      <c r="C870" s="1" t="n">
        <v>46197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63499-2023</t>
        </is>
      </c>
      <c r="B871" s="1" t="n">
        <v>45274</v>
      </c>
      <c r="C871" s="1" t="n">
        <v>46197</v>
      </c>
      <c r="D871" t="inlineStr">
        <is>
          <t>DALARNAS LÄN</t>
        </is>
      </c>
      <c r="E871" t="inlineStr">
        <is>
          <t>FALUN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65056-2023</t>
        </is>
      </c>
      <c r="B872" s="1" t="n">
        <v>45287</v>
      </c>
      <c r="C872" s="1" t="n">
        <v>46197</v>
      </c>
      <c r="D872" t="inlineStr">
        <is>
          <t>DALARNAS LÄN</t>
        </is>
      </c>
      <c r="E872" t="inlineStr">
        <is>
          <t>FALUN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17371-2026</t>
        </is>
      </c>
      <c r="B873" s="1" t="n">
        <v>46119</v>
      </c>
      <c r="C873" s="1" t="n">
        <v>46197</v>
      </c>
      <c r="D873" t="inlineStr">
        <is>
          <t>DALARNAS LÄN</t>
        </is>
      </c>
      <c r="E873" t="inlineStr">
        <is>
          <t>FALUN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47343-2024</t>
        </is>
      </c>
      <c r="B874" s="1" t="n">
        <v>45587</v>
      </c>
      <c r="C874" s="1" t="n">
        <v>46197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22907-2026</t>
        </is>
      </c>
      <c r="B875" s="1" t="n">
        <v>46160</v>
      </c>
      <c r="C875" s="1" t="n">
        <v>46197</v>
      </c>
      <c r="D875" t="inlineStr">
        <is>
          <t>DALARNAS LÄN</t>
        </is>
      </c>
      <c r="E875" t="inlineStr">
        <is>
          <t>FALUN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22857-2026</t>
        </is>
      </c>
      <c r="B876" s="1" t="n">
        <v>46160</v>
      </c>
      <c r="C876" s="1" t="n">
        <v>46197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36652-2024</t>
        </is>
      </c>
      <c r="B877" s="1" t="n">
        <v>45537</v>
      </c>
      <c r="C877" s="1" t="n">
        <v>46197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58508-2022</t>
        </is>
      </c>
      <c r="B878" s="1" t="n">
        <v>44902</v>
      </c>
      <c r="C878" s="1" t="n">
        <v>46197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23211-2026</t>
        </is>
      </c>
      <c r="B879" s="1" t="n">
        <v>46162</v>
      </c>
      <c r="C879" s="1" t="n">
        <v>46197</v>
      </c>
      <c r="D879" t="inlineStr">
        <is>
          <t>DALARNAS LÄN</t>
        </is>
      </c>
      <c r="E879" t="inlineStr">
        <is>
          <t>FALUN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23210-2026</t>
        </is>
      </c>
      <c r="B880" s="1" t="n">
        <v>46162</v>
      </c>
      <c r="C880" s="1" t="n">
        <v>46197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17406-2026</t>
        </is>
      </c>
      <c r="B881" s="1" t="n">
        <v>46120</v>
      </c>
      <c r="C881" s="1" t="n">
        <v>46197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17625-2026</t>
        </is>
      </c>
      <c r="B882" s="1" t="n">
        <v>46121</v>
      </c>
      <c r="C882" s="1" t="n">
        <v>46197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40832-2024</t>
        </is>
      </c>
      <c r="B883" s="1" t="n">
        <v>45558</v>
      </c>
      <c r="C883" s="1" t="n">
        <v>46197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17630-2026</t>
        </is>
      </c>
      <c r="B884" s="1" t="n">
        <v>46121</v>
      </c>
      <c r="C884" s="1" t="n">
        <v>46197</v>
      </c>
      <c r="D884" t="inlineStr">
        <is>
          <t>DALARNAS LÄN</t>
        </is>
      </c>
      <c r="E884" t="inlineStr">
        <is>
          <t>FALUN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23592-2026</t>
        </is>
      </c>
      <c r="B885" s="1" t="n">
        <v>46163</v>
      </c>
      <c r="C885" s="1" t="n">
        <v>46197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23597-2026</t>
        </is>
      </c>
      <c r="B886" s="1" t="n">
        <v>46163</v>
      </c>
      <c r="C886" s="1" t="n">
        <v>46197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23604-2026</t>
        </is>
      </c>
      <c r="B887" s="1" t="n">
        <v>46163</v>
      </c>
      <c r="C887" s="1" t="n">
        <v>46197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17629-2026</t>
        </is>
      </c>
      <c r="B888" s="1" t="n">
        <v>46121</v>
      </c>
      <c r="C888" s="1" t="n">
        <v>46197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23227-2026</t>
        </is>
      </c>
      <c r="B889" s="1" t="n">
        <v>46162</v>
      </c>
      <c r="C889" s="1" t="n">
        <v>46197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24732-2023</t>
        </is>
      </c>
      <c r="B890" s="1" t="n">
        <v>45084</v>
      </c>
      <c r="C890" s="1" t="n">
        <v>46197</v>
      </c>
      <c r="D890" t="inlineStr">
        <is>
          <t>DALARNAS LÄN</t>
        </is>
      </c>
      <c r="E890" t="inlineStr">
        <is>
          <t>FALUN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22881-2026</t>
        </is>
      </c>
      <c r="B891" s="1" t="n">
        <v>46160</v>
      </c>
      <c r="C891" s="1" t="n">
        <v>46197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41611-2024</t>
        </is>
      </c>
      <c r="B892" s="1" t="n">
        <v>45560</v>
      </c>
      <c r="C892" s="1" t="n">
        <v>46197</v>
      </c>
      <c r="D892" t="inlineStr">
        <is>
          <t>DALARNAS LÄN</t>
        </is>
      </c>
      <c r="E892" t="inlineStr">
        <is>
          <t>FALUN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17403-2026</t>
        </is>
      </c>
      <c r="B893" s="1" t="n">
        <v>46120</v>
      </c>
      <c r="C893" s="1" t="n">
        <v>46197</v>
      </c>
      <c r="D893" t="inlineStr">
        <is>
          <t>DALARNAS LÄN</t>
        </is>
      </c>
      <c r="E893" t="inlineStr">
        <is>
          <t>FALUN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22967-2026</t>
        </is>
      </c>
      <c r="B894" s="1" t="n">
        <v>46160</v>
      </c>
      <c r="C894" s="1" t="n">
        <v>46197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23475-2026</t>
        </is>
      </c>
      <c r="B895" s="1" t="n">
        <v>46163</v>
      </c>
      <c r="C895" s="1" t="n">
        <v>46197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17575-2026</t>
        </is>
      </c>
      <c r="B896" s="1" t="n">
        <v>46121</v>
      </c>
      <c r="C896" s="1" t="n">
        <v>46197</v>
      </c>
      <c r="D896" t="inlineStr">
        <is>
          <t>DALARNAS LÄN</t>
        </is>
      </c>
      <c r="E896" t="inlineStr">
        <is>
          <t>FALUN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17581-2026</t>
        </is>
      </c>
      <c r="B897" s="1" t="n">
        <v>46121</v>
      </c>
      <c r="C897" s="1" t="n">
        <v>46197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17593-2026</t>
        </is>
      </c>
      <c r="B898" s="1" t="n">
        <v>46121</v>
      </c>
      <c r="C898" s="1" t="n">
        <v>46197</v>
      </c>
      <c r="D898" t="inlineStr">
        <is>
          <t>DALARNAS LÄN</t>
        </is>
      </c>
      <c r="E898" t="inlineStr">
        <is>
          <t>FALUN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23511-2026</t>
        </is>
      </c>
      <c r="B899" s="1" t="n">
        <v>46163</v>
      </c>
      <c r="C899" s="1" t="n">
        <v>46197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23600-2026</t>
        </is>
      </c>
      <c r="B900" s="1" t="n">
        <v>46163</v>
      </c>
      <c r="C900" s="1" t="n">
        <v>46197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17619-2026</t>
        </is>
      </c>
      <c r="B901" s="1" t="n">
        <v>46121</v>
      </c>
      <c r="C901" s="1" t="n">
        <v>46197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23593-2026</t>
        </is>
      </c>
      <c r="B902" s="1" t="n">
        <v>46163</v>
      </c>
      <c r="C902" s="1" t="n">
        <v>46197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17881-2026</t>
        </is>
      </c>
      <c r="B903" s="1" t="n">
        <v>46122</v>
      </c>
      <c r="C903" s="1" t="n">
        <v>46197</v>
      </c>
      <c r="D903" t="inlineStr">
        <is>
          <t>DALARNAS LÄN</t>
        </is>
      </c>
      <c r="E903" t="inlineStr">
        <is>
          <t>FALUN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41538-2024</t>
        </is>
      </c>
      <c r="B904" s="1" t="n">
        <v>45560</v>
      </c>
      <c r="C904" s="1" t="n">
        <v>46197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17802-2026</t>
        </is>
      </c>
      <c r="B905" s="1" t="n">
        <v>46122</v>
      </c>
      <c r="C905" s="1" t="n">
        <v>46197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17883-2026</t>
        </is>
      </c>
      <c r="B906" s="1" t="n">
        <v>46122</v>
      </c>
      <c r="C906" s="1" t="n">
        <v>46197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18031-2026</t>
        </is>
      </c>
      <c r="B907" s="1" t="n">
        <v>46125</v>
      </c>
      <c r="C907" s="1" t="n">
        <v>46197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23282-2026</t>
        </is>
      </c>
      <c r="B908" s="1" t="n">
        <v>46162</v>
      </c>
      <c r="C908" s="1" t="n">
        <v>46197</v>
      </c>
      <c r="D908" t="inlineStr">
        <is>
          <t>DALARNAS LÄN</t>
        </is>
      </c>
      <c r="E908" t="inlineStr">
        <is>
          <t>FALUN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17941-2026</t>
        </is>
      </c>
      <c r="B909" s="1" t="n">
        <v>46122</v>
      </c>
      <c r="C909" s="1" t="n">
        <v>46197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18115-2026</t>
        </is>
      </c>
      <c r="B910" s="1" t="n">
        <v>46125</v>
      </c>
      <c r="C910" s="1" t="n">
        <v>46197</v>
      </c>
      <c r="D910" t="inlineStr">
        <is>
          <t>DALARNAS LÄN</t>
        </is>
      </c>
      <c r="E910" t="inlineStr">
        <is>
          <t>FALUN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18012-2026</t>
        </is>
      </c>
      <c r="B911" s="1" t="n">
        <v>46125</v>
      </c>
      <c r="C911" s="1" t="n">
        <v>46197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17906-2026</t>
        </is>
      </c>
      <c r="B912" s="1" t="n">
        <v>46122</v>
      </c>
      <c r="C912" s="1" t="n">
        <v>46197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23706-2026</t>
        </is>
      </c>
      <c r="B913" s="1" t="n">
        <v>46164</v>
      </c>
      <c r="C913" s="1" t="n">
        <v>46197</v>
      </c>
      <c r="D913" t="inlineStr">
        <is>
          <t>DALARNAS LÄN</t>
        </is>
      </c>
      <c r="E913" t="inlineStr">
        <is>
          <t>FALUN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36398-2024</t>
        </is>
      </c>
      <c r="B914" s="1" t="n">
        <v>45535</v>
      </c>
      <c r="C914" s="1" t="n">
        <v>46197</v>
      </c>
      <c r="D914" t="inlineStr">
        <is>
          <t>DALARNAS LÄN</t>
        </is>
      </c>
      <c r="E914" t="inlineStr">
        <is>
          <t>FALUN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17904-2026</t>
        </is>
      </c>
      <c r="B915" s="1" t="n">
        <v>46122</v>
      </c>
      <c r="C915" s="1" t="n">
        <v>46197</v>
      </c>
      <c r="D915" t="inlineStr">
        <is>
          <t>DALARNAS LÄN</t>
        </is>
      </c>
      <c r="E915" t="inlineStr">
        <is>
          <t>FALUN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17923-2026</t>
        </is>
      </c>
      <c r="B916" s="1" t="n">
        <v>46122</v>
      </c>
      <c r="C916" s="1" t="n">
        <v>46197</v>
      </c>
      <c r="D916" t="inlineStr">
        <is>
          <t>DALARNAS LÄN</t>
        </is>
      </c>
      <c r="E916" t="inlineStr">
        <is>
          <t>FALUN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18295-2026</t>
        </is>
      </c>
      <c r="B917" s="1" t="n">
        <v>46125</v>
      </c>
      <c r="C917" s="1" t="n">
        <v>46197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17890-2026</t>
        </is>
      </c>
      <c r="B918" s="1" t="n">
        <v>46122</v>
      </c>
      <c r="C918" s="1" t="n">
        <v>46197</v>
      </c>
      <c r="D918" t="inlineStr">
        <is>
          <t>DALARNAS LÄN</t>
        </is>
      </c>
      <c r="E918" t="inlineStr">
        <is>
          <t>FALUN</t>
        </is>
      </c>
      <c r="G918" t="n">
        <v>16.3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17911-2026</t>
        </is>
      </c>
      <c r="B919" s="1" t="n">
        <v>46122</v>
      </c>
      <c r="C919" s="1" t="n">
        <v>46197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23660-2026</t>
        </is>
      </c>
      <c r="B920" s="1" t="n">
        <v>46164</v>
      </c>
      <c r="C920" s="1" t="n">
        <v>46197</v>
      </c>
      <c r="D920" t="inlineStr">
        <is>
          <t>DALARNAS LÄN</t>
        </is>
      </c>
      <c r="E920" t="inlineStr">
        <is>
          <t>FALUN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17795-2026</t>
        </is>
      </c>
      <c r="B921" s="1" t="n">
        <v>46122</v>
      </c>
      <c r="C921" s="1" t="n">
        <v>46197</v>
      </c>
      <c r="D921" t="inlineStr">
        <is>
          <t>DALARNAS LÄN</t>
        </is>
      </c>
      <c r="E921" t="inlineStr">
        <is>
          <t>FALUN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24023-2026</t>
        </is>
      </c>
      <c r="B922" s="1" t="n">
        <v>46167</v>
      </c>
      <c r="C922" s="1" t="n">
        <v>46197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24025-2026</t>
        </is>
      </c>
      <c r="B923" s="1" t="n">
        <v>46167</v>
      </c>
      <c r="C923" s="1" t="n">
        <v>46197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23650-2026</t>
        </is>
      </c>
      <c r="B924" s="1" t="n">
        <v>46164</v>
      </c>
      <c r="C924" s="1" t="n">
        <v>46197</v>
      </c>
      <c r="D924" t="inlineStr">
        <is>
          <t>DALARNAS LÄN</t>
        </is>
      </c>
      <c r="E924" t="inlineStr">
        <is>
          <t>FALUN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23680-2026</t>
        </is>
      </c>
      <c r="B925" s="1" t="n">
        <v>46164</v>
      </c>
      <c r="C925" s="1" t="n">
        <v>46197</v>
      </c>
      <c r="D925" t="inlineStr">
        <is>
          <t>DALARNAS LÄN</t>
        </is>
      </c>
      <c r="E925" t="inlineStr">
        <is>
          <t>FALUN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23694-2026</t>
        </is>
      </c>
      <c r="B926" s="1" t="n">
        <v>46164</v>
      </c>
      <c r="C926" s="1" t="n">
        <v>46197</v>
      </c>
      <c r="D926" t="inlineStr">
        <is>
          <t>DALARNAS LÄN</t>
        </is>
      </c>
      <c r="E926" t="inlineStr">
        <is>
          <t>FALUN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18057-2026</t>
        </is>
      </c>
      <c r="B927" s="1" t="n">
        <v>46125</v>
      </c>
      <c r="C927" s="1" t="n">
        <v>46197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17855-2026</t>
        </is>
      </c>
      <c r="B928" s="1" t="n">
        <v>46122</v>
      </c>
      <c r="C928" s="1" t="n">
        <v>46197</v>
      </c>
      <c r="D928" t="inlineStr">
        <is>
          <t>DALARNAS LÄN</t>
        </is>
      </c>
      <c r="E928" t="inlineStr">
        <is>
          <t>FALUN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23696-2026</t>
        </is>
      </c>
      <c r="B929" s="1" t="n">
        <v>46164</v>
      </c>
      <c r="C929" s="1" t="n">
        <v>46197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18023-2026</t>
        </is>
      </c>
      <c r="B930" s="1" t="n">
        <v>46125</v>
      </c>
      <c r="C930" s="1" t="n">
        <v>46197</v>
      </c>
      <c r="D930" t="inlineStr">
        <is>
          <t>DALARNAS LÄN</t>
        </is>
      </c>
      <c r="E930" t="inlineStr">
        <is>
          <t>FALUN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24226-2026</t>
        </is>
      </c>
      <c r="B931" s="1" t="n">
        <v>46168</v>
      </c>
      <c r="C931" s="1" t="n">
        <v>46197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14.6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18215-2026</t>
        </is>
      </c>
      <c r="B932" s="1" t="n">
        <v>46126</v>
      </c>
      <c r="C932" s="1" t="n">
        <v>46197</v>
      </c>
      <c r="D932" t="inlineStr">
        <is>
          <t>DALARNAS LÄN</t>
        </is>
      </c>
      <c r="E932" t="inlineStr">
        <is>
          <t>FALUN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24364-2026</t>
        </is>
      </c>
      <c r="B933" s="1" t="n">
        <v>46169</v>
      </c>
      <c r="C933" s="1" t="n">
        <v>46197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51.1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18336-2026</t>
        </is>
      </c>
      <c r="B934" s="1" t="n">
        <v>46126</v>
      </c>
      <c r="C934" s="1" t="n">
        <v>46197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27679-2024</t>
        </is>
      </c>
      <c r="B935" s="1" t="n">
        <v>45475</v>
      </c>
      <c r="C935" s="1" t="n">
        <v>46197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24186-2026</t>
        </is>
      </c>
      <c r="B936" s="1" t="n">
        <v>46168</v>
      </c>
      <c r="C936" s="1" t="n">
        <v>46197</v>
      </c>
      <c r="D936" t="inlineStr">
        <is>
          <t>DALARNAS LÄN</t>
        </is>
      </c>
      <c r="E936" t="inlineStr">
        <is>
          <t>FALUN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18338-2026</t>
        </is>
      </c>
      <c r="B937" s="1" t="n">
        <v>46126</v>
      </c>
      <c r="C937" s="1" t="n">
        <v>46197</v>
      </c>
      <c r="D937" t="inlineStr">
        <is>
          <t>DALARNAS LÄN</t>
        </is>
      </c>
      <c r="E937" t="inlineStr">
        <is>
          <t>FALUN</t>
        </is>
      </c>
      <c r="G937" t="n">
        <v>16.6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56279-2023</t>
        </is>
      </c>
      <c r="B938" s="1" t="n">
        <v>45241</v>
      </c>
      <c r="C938" s="1" t="n">
        <v>46197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18467-2026</t>
        </is>
      </c>
      <c r="B939" s="1" t="n">
        <v>46127</v>
      </c>
      <c r="C939" s="1" t="n">
        <v>46197</v>
      </c>
      <c r="D939" t="inlineStr">
        <is>
          <t>DALARNAS LÄN</t>
        </is>
      </c>
      <c r="E939" t="inlineStr">
        <is>
          <t>FALUN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48589-2024</t>
        </is>
      </c>
      <c r="B940" s="1" t="n">
        <v>45593</v>
      </c>
      <c r="C940" s="1" t="n">
        <v>46197</v>
      </c>
      <c r="D940" t="inlineStr">
        <is>
          <t>DALARNAS LÄN</t>
        </is>
      </c>
      <c r="E940" t="inlineStr">
        <is>
          <t>FALUN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24046-2026</t>
        </is>
      </c>
      <c r="B941" s="1" t="n">
        <v>46168</v>
      </c>
      <c r="C941" s="1" t="n">
        <v>46197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24095-2026</t>
        </is>
      </c>
      <c r="B942" s="1" t="n">
        <v>46168</v>
      </c>
      <c r="C942" s="1" t="n">
        <v>46197</v>
      </c>
      <c r="D942" t="inlineStr">
        <is>
          <t>DALARNAS LÄN</t>
        </is>
      </c>
      <c r="E942" t="inlineStr">
        <is>
          <t>FALUN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39918-2024</t>
        </is>
      </c>
      <c r="B943" s="1" t="n">
        <v>45553</v>
      </c>
      <c r="C943" s="1" t="n">
        <v>46197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39924-2024</t>
        </is>
      </c>
      <c r="B944" s="1" t="n">
        <v>45553</v>
      </c>
      <c r="C944" s="1" t="n">
        <v>46197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24316-2026</t>
        </is>
      </c>
      <c r="B945" s="1" t="n">
        <v>46169</v>
      </c>
      <c r="C945" s="1" t="n">
        <v>46197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24130-2026</t>
        </is>
      </c>
      <c r="B946" s="1" t="n">
        <v>46168</v>
      </c>
      <c r="C946" s="1" t="n">
        <v>46197</v>
      </c>
      <c r="D946" t="inlineStr">
        <is>
          <t>DALARNAS LÄN</t>
        </is>
      </c>
      <c r="E946" t="inlineStr">
        <is>
          <t>FALUN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24148-2026</t>
        </is>
      </c>
      <c r="B947" s="1" t="n">
        <v>46168</v>
      </c>
      <c r="C947" s="1" t="n">
        <v>46197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18502-2026</t>
        </is>
      </c>
      <c r="B948" s="1" t="n">
        <v>46127</v>
      </c>
      <c r="C948" s="1" t="n">
        <v>46197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41275-2023</t>
        </is>
      </c>
      <c r="B949" s="1" t="n">
        <v>45174</v>
      </c>
      <c r="C949" s="1" t="n">
        <v>46197</v>
      </c>
      <c r="D949" t="inlineStr">
        <is>
          <t>DALARNAS LÄN</t>
        </is>
      </c>
      <c r="E949" t="inlineStr">
        <is>
          <t>FALUN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24050-2026</t>
        </is>
      </c>
      <c r="B950" s="1" t="n">
        <v>46168</v>
      </c>
      <c r="C950" s="1" t="n">
        <v>46197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18247-2026</t>
        </is>
      </c>
      <c r="B951" s="1" t="n">
        <v>46126</v>
      </c>
      <c r="C951" s="1" t="n">
        <v>46197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24.2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15174-2024</t>
        </is>
      </c>
      <c r="B952" s="1" t="n">
        <v>45400</v>
      </c>
      <c r="C952" s="1" t="n">
        <v>46197</v>
      </c>
      <c r="D952" t="inlineStr">
        <is>
          <t>DALARNAS LÄN</t>
        </is>
      </c>
      <c r="E952" t="inlineStr">
        <is>
          <t>FALUN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24358-2026</t>
        </is>
      </c>
      <c r="B953" s="1" t="n">
        <v>46169</v>
      </c>
      <c r="C953" s="1" t="n">
        <v>46197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41604-2023</t>
        </is>
      </c>
      <c r="B954" s="1" t="n">
        <v>45175</v>
      </c>
      <c r="C954" s="1" t="n">
        <v>46197</v>
      </c>
      <c r="D954" t="inlineStr">
        <is>
          <t>DALARNAS LÄN</t>
        </is>
      </c>
      <c r="E954" t="inlineStr">
        <is>
          <t>FALUN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24020-2026</t>
        </is>
      </c>
      <c r="B955" s="1" t="n">
        <v>46167</v>
      </c>
      <c r="C955" s="1" t="n">
        <v>46197</v>
      </c>
      <c r="D955" t="inlineStr">
        <is>
          <t>DALARNAS LÄN</t>
        </is>
      </c>
      <c r="E955" t="inlineStr">
        <is>
          <t>FALUN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24169-2026</t>
        </is>
      </c>
      <c r="B956" s="1" t="n">
        <v>46168</v>
      </c>
      <c r="C956" s="1" t="n">
        <v>46197</v>
      </c>
      <c r="D956" t="inlineStr">
        <is>
          <t>DALARNAS LÄN</t>
        </is>
      </c>
      <c r="E956" t="inlineStr">
        <is>
          <t>FALUN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18623-2026</t>
        </is>
      </c>
      <c r="B957" s="1" t="n">
        <v>46127</v>
      </c>
      <c r="C957" s="1" t="n">
        <v>46197</v>
      </c>
      <c r="D957" t="inlineStr">
        <is>
          <t>DALARNAS LÄN</t>
        </is>
      </c>
      <c r="E957" t="inlineStr">
        <is>
          <t>FALUN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24016-2026</t>
        </is>
      </c>
      <c r="B958" s="1" t="n">
        <v>46167</v>
      </c>
      <c r="C958" s="1" t="n">
        <v>46197</v>
      </c>
      <c r="D958" t="inlineStr">
        <is>
          <t>DALARNAS LÄN</t>
        </is>
      </c>
      <c r="E958" t="inlineStr">
        <is>
          <t>FALUN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18511-2026</t>
        </is>
      </c>
      <c r="B959" s="1" t="n">
        <v>46127</v>
      </c>
      <c r="C959" s="1" t="n">
        <v>46197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24107-2026</t>
        </is>
      </c>
      <c r="B960" s="1" t="n">
        <v>46168</v>
      </c>
      <c r="C960" s="1" t="n">
        <v>46197</v>
      </c>
      <c r="D960" t="inlineStr">
        <is>
          <t>DALARNAS LÄN</t>
        </is>
      </c>
      <c r="E960" t="inlineStr">
        <is>
          <t>FALUN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24934-2026</t>
        </is>
      </c>
      <c r="B961" s="1" t="n">
        <v>46174</v>
      </c>
      <c r="C961" s="1" t="n">
        <v>46197</v>
      </c>
      <c r="D961" t="inlineStr">
        <is>
          <t>DALARNAS LÄN</t>
        </is>
      </c>
      <c r="E961" t="inlineStr">
        <is>
          <t>FALUN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24978-2026</t>
        </is>
      </c>
      <c r="B962" s="1" t="n">
        <v>46174</v>
      </c>
      <c r="C962" s="1" t="n">
        <v>46197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24589-2026</t>
        </is>
      </c>
      <c r="B963" s="1" t="n">
        <v>46170</v>
      </c>
      <c r="C963" s="1" t="n">
        <v>46197</v>
      </c>
      <c r="D963" t="inlineStr">
        <is>
          <t>DALARNAS LÄN</t>
        </is>
      </c>
      <c r="E963" t="inlineStr">
        <is>
          <t>FALUN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23521-2026</t>
        </is>
      </c>
      <c r="B964" s="1" t="n">
        <v>46163</v>
      </c>
      <c r="C964" s="1" t="n">
        <v>46197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41144-2023</t>
        </is>
      </c>
      <c r="B965" s="1" t="n">
        <v>45173</v>
      </c>
      <c r="C965" s="1" t="n">
        <v>46197</v>
      </c>
      <c r="D965" t="inlineStr">
        <is>
          <t>DALARNAS LÄN</t>
        </is>
      </c>
      <c r="E965" t="inlineStr">
        <is>
          <t>FALUN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18970-2026</t>
        </is>
      </c>
      <c r="B966" s="1" t="n">
        <v>46128</v>
      </c>
      <c r="C966" s="1" t="n">
        <v>46197</v>
      </c>
      <c r="D966" t="inlineStr">
        <is>
          <t>DALARNAS LÄN</t>
        </is>
      </c>
      <c r="E966" t="inlineStr">
        <is>
          <t>FALUN</t>
        </is>
      </c>
      <c r="F966" t="inlineStr">
        <is>
          <t>Allmännings- och besparingsskogar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22961-2026</t>
        </is>
      </c>
      <c r="B967" s="1" t="n">
        <v>46160</v>
      </c>
      <c r="C967" s="1" t="n">
        <v>46197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24662-2026</t>
        </is>
      </c>
      <c r="B968" s="1" t="n">
        <v>46171</v>
      </c>
      <c r="C968" s="1" t="n">
        <v>46197</v>
      </c>
      <c r="D968" t="inlineStr">
        <is>
          <t>DALARNAS LÄN</t>
        </is>
      </c>
      <c r="E968" t="inlineStr">
        <is>
          <t>FALUN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49969-2024</t>
        </is>
      </c>
      <c r="B969" s="1" t="n">
        <v>45597</v>
      </c>
      <c r="C969" s="1" t="n">
        <v>46197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53640-2024</t>
        </is>
      </c>
      <c r="B970" s="1" t="n">
        <v>45614</v>
      </c>
      <c r="C970" s="1" t="n">
        <v>46197</v>
      </c>
      <c r="D970" t="inlineStr">
        <is>
          <t>DALARNAS LÄN</t>
        </is>
      </c>
      <c r="E970" t="inlineStr">
        <is>
          <t>FALUN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24507-2026</t>
        </is>
      </c>
      <c r="B971" s="1" t="n">
        <v>46170</v>
      </c>
      <c r="C971" s="1" t="n">
        <v>46197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18720-2026</t>
        </is>
      </c>
      <c r="B972" s="1" t="n">
        <v>46128</v>
      </c>
      <c r="C972" s="1" t="n">
        <v>46197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18653-2026</t>
        </is>
      </c>
      <c r="B973" s="1" t="n">
        <v>46128</v>
      </c>
      <c r="C973" s="1" t="n">
        <v>46197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11724-2026</t>
        </is>
      </c>
      <c r="B974" s="1" t="n">
        <v>46084</v>
      </c>
      <c r="C974" s="1" t="n">
        <v>46197</v>
      </c>
      <c r="D974" t="inlineStr">
        <is>
          <t>DALARNAS LÄN</t>
        </is>
      </c>
      <c r="E974" t="inlineStr">
        <is>
          <t>FALUN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24675-2026</t>
        </is>
      </c>
      <c r="B975" s="1" t="n">
        <v>46171</v>
      </c>
      <c r="C975" s="1" t="n">
        <v>46197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11266-2026</t>
        </is>
      </c>
      <c r="B976" s="1" t="n">
        <v>46080</v>
      </c>
      <c r="C976" s="1" t="n">
        <v>46197</v>
      </c>
      <c r="D976" t="inlineStr">
        <is>
          <t>DALARNAS LÄN</t>
        </is>
      </c>
      <c r="E976" t="inlineStr">
        <is>
          <t>FALUN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17333-2026</t>
        </is>
      </c>
      <c r="B977" s="1" t="n">
        <v>46119</v>
      </c>
      <c r="C977" s="1" t="n">
        <v>46197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18716-2026</t>
        </is>
      </c>
      <c r="B978" s="1" t="n">
        <v>46128</v>
      </c>
      <c r="C978" s="1" t="n">
        <v>46197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11.7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19041-2026</t>
        </is>
      </c>
      <c r="B979" s="1" t="n">
        <v>46132</v>
      </c>
      <c r="C979" s="1" t="n">
        <v>46197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19073-2026</t>
        </is>
      </c>
      <c r="B980" s="1" t="n">
        <v>46132</v>
      </c>
      <c r="C980" s="1" t="n">
        <v>46197</v>
      </c>
      <c r="D980" t="inlineStr">
        <is>
          <t>DALARNAS LÄN</t>
        </is>
      </c>
      <c r="E980" t="inlineStr">
        <is>
          <t>FALUN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15610-2024</t>
        </is>
      </c>
      <c r="B981" s="1" t="n">
        <v>45401</v>
      </c>
      <c r="C981" s="1" t="n">
        <v>46197</v>
      </c>
      <c r="D981" t="inlineStr">
        <is>
          <t>DALARNAS LÄN</t>
        </is>
      </c>
      <c r="E981" t="inlineStr">
        <is>
          <t>FALUN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23217-2026</t>
        </is>
      </c>
      <c r="B982" s="1" t="n">
        <v>46162</v>
      </c>
      <c r="C982" s="1" t="n">
        <v>46197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23219-2026</t>
        </is>
      </c>
      <c r="B983" s="1" t="n">
        <v>46162</v>
      </c>
      <c r="C983" s="1" t="n">
        <v>46197</v>
      </c>
      <c r="D983" t="inlineStr">
        <is>
          <t>DALARNAS LÄN</t>
        </is>
      </c>
      <c r="E983" t="inlineStr">
        <is>
          <t>FALUN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11897-2023</t>
        </is>
      </c>
      <c r="B984" s="1" t="n">
        <v>44995</v>
      </c>
      <c r="C984" s="1" t="n">
        <v>46197</v>
      </c>
      <c r="D984" t="inlineStr">
        <is>
          <t>DALARNAS LÄN</t>
        </is>
      </c>
      <c r="E984" t="inlineStr">
        <is>
          <t>FALUN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11236-2026</t>
        </is>
      </c>
      <c r="B985" s="1" t="n">
        <v>46080</v>
      </c>
      <c r="C985" s="1" t="n">
        <v>46197</v>
      </c>
      <c r="D985" t="inlineStr">
        <is>
          <t>DALARNAS LÄN</t>
        </is>
      </c>
      <c r="E985" t="inlineStr">
        <is>
          <t>FALUN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22715-2026</t>
        </is>
      </c>
      <c r="B986" s="1" t="n">
        <v>46156</v>
      </c>
      <c r="C986" s="1" t="n">
        <v>46197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24935-2026</t>
        </is>
      </c>
      <c r="B987" s="1" t="n">
        <v>46174</v>
      </c>
      <c r="C987" s="1" t="n">
        <v>46197</v>
      </c>
      <c r="D987" t="inlineStr">
        <is>
          <t>DALARNAS LÄN</t>
        </is>
      </c>
      <c r="E987" t="inlineStr">
        <is>
          <t>FALUN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18950-2026</t>
        </is>
      </c>
      <c r="B988" s="1" t="n">
        <v>46129</v>
      </c>
      <c r="C988" s="1" t="n">
        <v>46197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18983-2026</t>
        </is>
      </c>
      <c r="B989" s="1" t="n">
        <v>46128</v>
      </c>
      <c r="C989" s="1" t="n">
        <v>46197</v>
      </c>
      <c r="D989" t="inlineStr">
        <is>
          <t>DALARNAS LÄN</t>
        </is>
      </c>
      <c r="E989" t="inlineStr">
        <is>
          <t>FALUN</t>
        </is>
      </c>
      <c r="F989" t="inlineStr">
        <is>
          <t>Allmännings- och besparingsskogar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24671-2026</t>
        </is>
      </c>
      <c r="B990" s="1" t="n">
        <v>46171</v>
      </c>
      <c r="C990" s="1" t="n">
        <v>46197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24797-2026</t>
        </is>
      </c>
      <c r="B991" s="1" t="n">
        <v>46171</v>
      </c>
      <c r="C991" s="1" t="n">
        <v>46197</v>
      </c>
      <c r="D991" t="inlineStr">
        <is>
          <t>DALARNAS LÄN</t>
        </is>
      </c>
      <c r="E991" t="inlineStr">
        <is>
          <t>FALUN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18869-2026</t>
        </is>
      </c>
      <c r="B992" s="1" t="n">
        <v>46129</v>
      </c>
      <c r="C992" s="1" t="n">
        <v>46197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19033-2026</t>
        </is>
      </c>
      <c r="B993" s="1" t="n">
        <v>46131</v>
      </c>
      <c r="C993" s="1" t="n">
        <v>46197</v>
      </c>
      <c r="D993" t="inlineStr">
        <is>
          <t>DALARNAS LÄN</t>
        </is>
      </c>
      <c r="E993" t="inlineStr">
        <is>
          <t>FALUN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74196-2021</t>
        </is>
      </c>
      <c r="B994" s="1" t="n">
        <v>44558</v>
      </c>
      <c r="C994" s="1" t="n">
        <v>46197</v>
      </c>
      <c r="D994" t="inlineStr">
        <is>
          <t>DALARNAS LÄN</t>
        </is>
      </c>
      <c r="E994" t="inlineStr">
        <is>
          <t>FALUN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19176-2026</t>
        </is>
      </c>
      <c r="B995" s="1" t="n">
        <v>46132</v>
      </c>
      <c r="C995" s="1" t="n">
        <v>46197</v>
      </c>
      <c r="D995" t="inlineStr">
        <is>
          <t>DALARNAS LÄN</t>
        </is>
      </c>
      <c r="E995" t="inlineStr">
        <is>
          <t>FALUN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141-2025</t>
        </is>
      </c>
      <c r="B996" s="1" t="n">
        <v>45659</v>
      </c>
      <c r="C996" s="1" t="n">
        <v>46197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19032-2026</t>
        </is>
      </c>
      <c r="B997" s="1" t="n">
        <v>46131</v>
      </c>
      <c r="C997" s="1" t="n">
        <v>46197</v>
      </c>
      <c r="D997" t="inlineStr">
        <is>
          <t>DALARNAS LÄN</t>
        </is>
      </c>
      <c r="E997" t="inlineStr">
        <is>
          <t>FALUN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24268-2026</t>
        </is>
      </c>
      <c r="B998" s="1" t="n">
        <v>46169</v>
      </c>
      <c r="C998" s="1" t="n">
        <v>46197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16888-2024</t>
        </is>
      </c>
      <c r="B999" s="1" t="n">
        <v>45411</v>
      </c>
      <c r="C999" s="1" t="n">
        <v>46197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24653-2026</t>
        </is>
      </c>
      <c r="B1000" s="1" t="n">
        <v>46171</v>
      </c>
      <c r="C1000" s="1" t="n">
        <v>46197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19001-2026</t>
        </is>
      </c>
      <c r="B1001" s="1" t="n">
        <v>46129</v>
      </c>
      <c r="C1001" s="1" t="n">
        <v>46197</v>
      </c>
      <c r="D1001" t="inlineStr">
        <is>
          <t>DALARNAS LÄN</t>
        </is>
      </c>
      <c r="E1001" t="inlineStr">
        <is>
          <t>FALUN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18765-2026</t>
        </is>
      </c>
      <c r="B1002" s="1" t="n">
        <v>46128</v>
      </c>
      <c r="C1002" s="1" t="n">
        <v>46197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20.7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18998-2026</t>
        </is>
      </c>
      <c r="B1003" s="1" t="n">
        <v>46129</v>
      </c>
      <c r="C1003" s="1" t="n">
        <v>46197</v>
      </c>
      <c r="D1003" t="inlineStr">
        <is>
          <t>DALARNAS LÄN</t>
        </is>
      </c>
      <c r="E1003" t="inlineStr">
        <is>
          <t>FALUN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5085-2024</t>
        </is>
      </c>
      <c r="B1004" s="1" t="n">
        <v>45330</v>
      </c>
      <c r="C1004" s="1" t="n">
        <v>46197</v>
      </c>
      <c r="D1004" t="inlineStr">
        <is>
          <t>DALARNAS LÄN</t>
        </is>
      </c>
      <c r="E1004" t="inlineStr">
        <is>
          <t>FALUN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19508-2026</t>
        </is>
      </c>
      <c r="B1005" s="1" t="n">
        <v>46134</v>
      </c>
      <c r="C1005" s="1" t="n">
        <v>46197</v>
      </c>
      <c r="D1005" t="inlineStr">
        <is>
          <t>DALARNAS LÄN</t>
        </is>
      </c>
      <c r="E1005" t="inlineStr">
        <is>
          <t>FALUN</t>
        </is>
      </c>
      <c r="F1005" t="inlineStr">
        <is>
          <t>Kyrkan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4928-2024</t>
        </is>
      </c>
      <c r="B1006" s="1" t="n">
        <v>45329</v>
      </c>
      <c r="C1006" s="1" t="n">
        <v>46197</v>
      </c>
      <c r="D1006" t="inlineStr">
        <is>
          <t>DALARNAS LÄN</t>
        </is>
      </c>
      <c r="E1006" t="inlineStr">
        <is>
          <t>FALUN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19267-2026</t>
        </is>
      </c>
      <c r="B1007" s="1" t="n">
        <v>46133</v>
      </c>
      <c r="C1007" s="1" t="n">
        <v>46197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19871-2026</t>
        </is>
      </c>
      <c r="B1008" s="1" t="n">
        <v>46134</v>
      </c>
      <c r="C1008" s="1" t="n">
        <v>46197</v>
      </c>
      <c r="D1008" t="inlineStr">
        <is>
          <t>DALARNAS LÄN</t>
        </is>
      </c>
      <c r="E1008" t="inlineStr">
        <is>
          <t>FALUN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19583-2026</t>
        </is>
      </c>
      <c r="B1009" s="1" t="n">
        <v>46134</v>
      </c>
      <c r="C1009" s="1" t="n">
        <v>46197</v>
      </c>
      <c r="D1009" t="inlineStr">
        <is>
          <t>DALARNAS LÄN</t>
        </is>
      </c>
      <c r="E1009" t="inlineStr">
        <is>
          <t>FALUN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19586-2026</t>
        </is>
      </c>
      <c r="B1010" s="1" t="n">
        <v>46134</v>
      </c>
      <c r="C1010" s="1" t="n">
        <v>46197</v>
      </c>
      <c r="D1010" t="inlineStr">
        <is>
          <t>DALARNAS LÄN</t>
        </is>
      </c>
      <c r="E1010" t="inlineStr">
        <is>
          <t>FALUN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19460-2026</t>
        </is>
      </c>
      <c r="B1011" s="1" t="n">
        <v>46133</v>
      </c>
      <c r="C1011" s="1" t="n">
        <v>46197</v>
      </c>
      <c r="D1011" t="inlineStr">
        <is>
          <t>DALARNAS LÄN</t>
        </is>
      </c>
      <c r="E1011" t="inlineStr">
        <is>
          <t>FALUN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19466-2026</t>
        </is>
      </c>
      <c r="B1012" s="1" t="n">
        <v>46133</v>
      </c>
      <c r="C1012" s="1" t="n">
        <v>46197</v>
      </c>
      <c r="D1012" t="inlineStr">
        <is>
          <t>DALARNAS LÄN</t>
        </is>
      </c>
      <c r="E1012" t="inlineStr">
        <is>
          <t>FALUN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25307-2026</t>
        </is>
      </c>
      <c r="B1013" s="1" t="n">
        <v>46176</v>
      </c>
      <c r="C1013" s="1" t="n">
        <v>46197</v>
      </c>
      <c r="D1013" t="inlineStr">
        <is>
          <t>DALARNAS LÄN</t>
        </is>
      </c>
      <c r="E1013" t="inlineStr">
        <is>
          <t>FALUN</t>
        </is>
      </c>
      <c r="F1013" t="inlineStr">
        <is>
          <t>Sveaskog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25358-2026</t>
        </is>
      </c>
      <c r="B1014" s="1" t="n">
        <v>46176</v>
      </c>
      <c r="C1014" s="1" t="n">
        <v>46197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17011-2026</t>
        </is>
      </c>
      <c r="B1015" s="1" t="n">
        <v>46114</v>
      </c>
      <c r="C1015" s="1" t="n">
        <v>46197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11299-2026</t>
        </is>
      </c>
      <c r="B1016" s="1" t="n">
        <v>46080</v>
      </c>
      <c r="C1016" s="1" t="n">
        <v>46197</v>
      </c>
      <c r="D1016" t="inlineStr">
        <is>
          <t>DALARNAS LÄN</t>
        </is>
      </c>
      <c r="E1016" t="inlineStr">
        <is>
          <t>FALUN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19283-2026</t>
        </is>
      </c>
      <c r="B1017" s="1" t="n">
        <v>46133</v>
      </c>
      <c r="C1017" s="1" t="n">
        <v>46197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25032-2026</t>
        </is>
      </c>
      <c r="B1018" s="1" t="n">
        <v>46174</v>
      </c>
      <c r="C1018" s="1" t="n">
        <v>46197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2906-2022</t>
        </is>
      </c>
      <c r="B1019" s="1" t="n">
        <v>44581</v>
      </c>
      <c r="C1019" s="1" t="n">
        <v>46197</v>
      </c>
      <c r="D1019" t="inlineStr">
        <is>
          <t>DALARNAS LÄN</t>
        </is>
      </c>
      <c r="E1019" t="inlineStr">
        <is>
          <t>FALUN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19448-2026</t>
        </is>
      </c>
      <c r="B1020" s="1" t="n">
        <v>46133</v>
      </c>
      <c r="C1020" s="1" t="n">
        <v>46197</v>
      </c>
      <c r="D1020" t="inlineStr">
        <is>
          <t>DALARNAS LÄN</t>
        </is>
      </c>
      <c r="E1020" t="inlineStr">
        <is>
          <t>FALUN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19450-2026</t>
        </is>
      </c>
      <c r="B1021" s="1" t="n">
        <v>46133</v>
      </c>
      <c r="C1021" s="1" t="n">
        <v>46197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19533-2026</t>
        </is>
      </c>
      <c r="B1022" s="1" t="n">
        <v>46134</v>
      </c>
      <c r="C1022" s="1" t="n">
        <v>46197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22938-2023</t>
        </is>
      </c>
      <c r="B1023" s="1" t="n">
        <v>45072</v>
      </c>
      <c r="C1023" s="1" t="n">
        <v>46197</v>
      </c>
      <c r="D1023" t="inlineStr">
        <is>
          <t>DALARNAS LÄN</t>
        </is>
      </c>
      <c r="E1023" t="inlineStr">
        <is>
          <t>FALUN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22663-2023</t>
        </is>
      </c>
      <c r="B1024" s="1" t="n">
        <v>45071</v>
      </c>
      <c r="C1024" s="1" t="n">
        <v>46197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16043-2026</t>
        </is>
      </c>
      <c r="B1025" s="1" t="n">
        <v>46108</v>
      </c>
      <c r="C1025" s="1" t="n">
        <v>46197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19422-2026</t>
        </is>
      </c>
      <c r="B1026" s="1" t="n">
        <v>46133</v>
      </c>
      <c r="C1026" s="1" t="n">
        <v>46197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37709-2024</t>
        </is>
      </c>
      <c r="B1027" s="1" t="n">
        <v>45541</v>
      </c>
      <c r="C1027" s="1" t="n">
        <v>46197</v>
      </c>
      <c r="D1027" t="inlineStr">
        <is>
          <t>DALARNAS LÄN</t>
        </is>
      </c>
      <c r="E1027" t="inlineStr">
        <is>
          <t>FALUN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19266-2026</t>
        </is>
      </c>
      <c r="B1028" s="1" t="n">
        <v>46133</v>
      </c>
      <c r="C1028" s="1" t="n">
        <v>46197</v>
      </c>
      <c r="D1028" t="inlineStr">
        <is>
          <t>DALARNAS LÄN</t>
        </is>
      </c>
      <c r="E1028" t="inlineStr">
        <is>
          <t>FALUN</t>
        </is>
      </c>
      <c r="F1028" t="inlineStr">
        <is>
          <t>Bergvik skog väst AB</t>
        </is>
      </c>
      <c r="G1028" t="n">
        <v>13.6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19281-2026</t>
        </is>
      </c>
      <c r="B1029" s="1" t="n">
        <v>46133</v>
      </c>
      <c r="C1029" s="1" t="n">
        <v>46197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18.3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15293-2026</t>
        </is>
      </c>
      <c r="B1030" s="1" t="n">
        <v>46105</v>
      </c>
      <c r="C1030" s="1" t="n">
        <v>46197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11.2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56642-2024</t>
        </is>
      </c>
      <c r="B1031" s="1" t="n">
        <v>45625</v>
      </c>
      <c r="C1031" s="1" t="n">
        <v>46197</v>
      </c>
      <c r="D1031" t="inlineStr">
        <is>
          <t>DALARNAS LÄN</t>
        </is>
      </c>
      <c r="E1031" t="inlineStr">
        <is>
          <t>FALUN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19451-2026</t>
        </is>
      </c>
      <c r="B1032" s="1" t="n">
        <v>46133</v>
      </c>
      <c r="C1032" s="1" t="n">
        <v>46197</v>
      </c>
      <c r="D1032" t="inlineStr">
        <is>
          <t>DALARNAS LÄN</t>
        </is>
      </c>
      <c r="E1032" t="inlineStr">
        <is>
          <t>FALUN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19456-2026</t>
        </is>
      </c>
      <c r="B1033" s="1" t="n">
        <v>46133</v>
      </c>
      <c r="C1033" s="1" t="n">
        <v>46197</v>
      </c>
      <c r="D1033" t="inlineStr">
        <is>
          <t>DALARNAS LÄN</t>
        </is>
      </c>
      <c r="E1033" t="inlineStr">
        <is>
          <t>FALUN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25217-2026</t>
        </is>
      </c>
      <c r="B1034" s="1" t="n">
        <v>46175</v>
      </c>
      <c r="C1034" s="1" t="n">
        <v>46197</v>
      </c>
      <c r="D1034" t="inlineStr">
        <is>
          <t>DALARNAS LÄN</t>
        </is>
      </c>
      <c r="E1034" t="inlineStr">
        <is>
          <t>FALUN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44-2026</t>
        </is>
      </c>
      <c r="B1035" s="1" t="n">
        <v>46014</v>
      </c>
      <c r="C1035" s="1" t="n">
        <v>46197</v>
      </c>
      <c r="D1035" t="inlineStr">
        <is>
          <t>DALARNAS LÄN</t>
        </is>
      </c>
      <c r="E1035" t="inlineStr">
        <is>
          <t>FALUN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2595-2026</t>
        </is>
      </c>
      <c r="B1036" s="1" t="n">
        <v>46037</v>
      </c>
      <c r="C1036" s="1" t="n">
        <v>46197</v>
      </c>
      <c r="D1036" t="inlineStr">
        <is>
          <t>DALARNAS LÄN</t>
        </is>
      </c>
      <c r="E1036" t="inlineStr">
        <is>
          <t>FALUN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19917-2026</t>
        </is>
      </c>
      <c r="B1037" s="1" t="n">
        <v>46136</v>
      </c>
      <c r="C1037" s="1" t="n">
        <v>46197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19923-2026</t>
        </is>
      </c>
      <c r="B1038" s="1" t="n">
        <v>46136</v>
      </c>
      <c r="C1038" s="1" t="n">
        <v>46197</v>
      </c>
      <c r="D1038" t="inlineStr">
        <is>
          <t>DALARNAS LÄN</t>
        </is>
      </c>
      <c r="E1038" t="inlineStr">
        <is>
          <t>FALUN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25705-2026</t>
        </is>
      </c>
      <c r="B1039" s="1" t="n">
        <v>46178</v>
      </c>
      <c r="C1039" s="1" t="n">
        <v>46197</v>
      </c>
      <c r="D1039" t="inlineStr">
        <is>
          <t>DALARNAS LÄN</t>
        </is>
      </c>
      <c r="E1039" t="inlineStr">
        <is>
          <t>FALUN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25344-2026</t>
        </is>
      </c>
      <c r="B1040" s="1" t="n">
        <v>46176</v>
      </c>
      <c r="C1040" s="1" t="n">
        <v>46197</v>
      </c>
      <c r="D1040" t="inlineStr">
        <is>
          <t>DALARNAS LÄN</t>
        </is>
      </c>
      <c r="E1040" t="inlineStr">
        <is>
          <t>FALUN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25542-2026</t>
        </is>
      </c>
      <c r="B1041" s="1" t="n">
        <v>46177</v>
      </c>
      <c r="C1041" s="1" t="n">
        <v>46197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35943-2023</t>
        </is>
      </c>
      <c r="B1042" s="1" t="n">
        <v>45148</v>
      </c>
      <c r="C1042" s="1" t="n">
        <v>46197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56587-2024</t>
        </is>
      </c>
      <c r="B1043" s="1" t="n">
        <v>45625</v>
      </c>
      <c r="C1043" s="1" t="n">
        <v>46197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17309-2026</t>
        </is>
      </c>
      <c r="B1044" s="1" t="n">
        <v>46119</v>
      </c>
      <c r="C1044" s="1" t="n">
        <v>46197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17349-2026</t>
        </is>
      </c>
      <c r="B1045" s="1" t="n">
        <v>46119</v>
      </c>
      <c r="C1045" s="1" t="n">
        <v>46197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25550-2026</t>
        </is>
      </c>
      <c r="B1046" s="1" t="n">
        <v>46177</v>
      </c>
      <c r="C1046" s="1" t="n">
        <v>46197</v>
      </c>
      <c r="D1046" t="inlineStr">
        <is>
          <t>DALARNAS LÄN</t>
        </is>
      </c>
      <c r="E1046" t="inlineStr">
        <is>
          <t>FALUN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25563-2026</t>
        </is>
      </c>
      <c r="B1047" s="1" t="n">
        <v>46177</v>
      </c>
      <c r="C1047" s="1" t="n">
        <v>46197</v>
      </c>
      <c r="D1047" t="inlineStr">
        <is>
          <t>DALARNAS LÄN</t>
        </is>
      </c>
      <c r="E1047" t="inlineStr">
        <is>
          <t>FALUN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16677-2026</t>
        </is>
      </c>
      <c r="B1048" s="1" t="n">
        <v>46112</v>
      </c>
      <c r="C1048" s="1" t="n">
        <v>46197</v>
      </c>
      <c r="D1048" t="inlineStr">
        <is>
          <t>DALARNAS LÄN</t>
        </is>
      </c>
      <c r="E1048" t="inlineStr">
        <is>
          <t>FALUN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19723-2026</t>
        </is>
      </c>
      <c r="B1049" s="1" t="n">
        <v>46135</v>
      </c>
      <c r="C1049" s="1" t="n">
        <v>46197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25799-2026</t>
        </is>
      </c>
      <c r="B1050" s="1" t="n">
        <v>46178</v>
      </c>
      <c r="C1050" s="1" t="n">
        <v>46197</v>
      </c>
      <c r="D1050" t="inlineStr">
        <is>
          <t>DALARNAS LÄN</t>
        </is>
      </c>
      <c r="E1050" t="inlineStr">
        <is>
          <t>FALUN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24729-2023</t>
        </is>
      </c>
      <c r="B1051" s="1" t="n">
        <v>45084</v>
      </c>
      <c r="C1051" s="1" t="n">
        <v>46197</v>
      </c>
      <c r="D1051" t="inlineStr">
        <is>
          <t>DALARNAS LÄN</t>
        </is>
      </c>
      <c r="E1051" t="inlineStr">
        <is>
          <t>FALUN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25810-2026</t>
        </is>
      </c>
      <c r="B1052" s="1" t="n">
        <v>46178</v>
      </c>
      <c r="C1052" s="1" t="n">
        <v>46197</v>
      </c>
      <c r="D1052" t="inlineStr">
        <is>
          <t>DALARNAS LÄN</t>
        </is>
      </c>
      <c r="E1052" t="inlineStr">
        <is>
          <t>FALUN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53029-2024</t>
        </is>
      </c>
      <c r="B1053" s="1" t="n">
        <v>45611</v>
      </c>
      <c r="C1053" s="1" t="n">
        <v>46197</v>
      </c>
      <c r="D1053" t="inlineStr">
        <is>
          <t>DALARNAS LÄN</t>
        </is>
      </c>
      <c r="E1053" t="inlineStr">
        <is>
          <t>FALUN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25668-2026</t>
        </is>
      </c>
      <c r="B1054" s="1" t="n">
        <v>46178</v>
      </c>
      <c r="C1054" s="1" t="n">
        <v>46197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25673-2026</t>
        </is>
      </c>
      <c r="B1055" s="1" t="n">
        <v>46178</v>
      </c>
      <c r="C1055" s="1" t="n">
        <v>46197</v>
      </c>
      <c r="D1055" t="inlineStr">
        <is>
          <t>DALARNAS LÄN</t>
        </is>
      </c>
      <c r="E1055" t="inlineStr">
        <is>
          <t>FALUN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19728-2026</t>
        </is>
      </c>
      <c r="B1056" s="1" t="n">
        <v>46135</v>
      </c>
      <c r="C1056" s="1" t="n">
        <v>46197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17905-2026</t>
        </is>
      </c>
      <c r="B1057" s="1" t="n">
        <v>46122</v>
      </c>
      <c r="C1057" s="1" t="n">
        <v>46197</v>
      </c>
      <c r="D1057" t="inlineStr">
        <is>
          <t>DALARNAS LÄN</t>
        </is>
      </c>
      <c r="E1057" t="inlineStr">
        <is>
          <t>FALUN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18771-2026</t>
        </is>
      </c>
      <c r="B1058" s="1" t="n">
        <v>46128</v>
      </c>
      <c r="C1058" s="1" t="n">
        <v>46197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19892-2026</t>
        </is>
      </c>
      <c r="B1059" s="1" t="n">
        <v>46135</v>
      </c>
      <c r="C1059" s="1" t="n">
        <v>46197</v>
      </c>
      <c r="D1059" t="inlineStr">
        <is>
          <t>DALARNAS LÄN</t>
        </is>
      </c>
      <c r="E1059" t="inlineStr">
        <is>
          <t>FALUN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51135-2024</t>
        </is>
      </c>
      <c r="B1060" s="1" t="n">
        <v>45603</v>
      </c>
      <c r="C1060" s="1" t="n">
        <v>46197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17282-2026</t>
        </is>
      </c>
      <c r="B1061" s="1" t="n">
        <v>46119</v>
      </c>
      <c r="C1061" s="1" t="n">
        <v>46197</v>
      </c>
      <c r="D1061" t="inlineStr">
        <is>
          <t>DALARNAS LÄN</t>
        </is>
      </c>
      <c r="E1061" t="inlineStr">
        <is>
          <t>FALUN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46959-2023</t>
        </is>
      </c>
      <c r="B1062" s="1" t="n">
        <v>45201</v>
      </c>
      <c r="C1062" s="1" t="n">
        <v>46197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19916-2026</t>
        </is>
      </c>
      <c r="B1063" s="1" t="n">
        <v>46136</v>
      </c>
      <c r="C1063" s="1" t="n">
        <v>46197</v>
      </c>
      <c r="D1063" t="inlineStr">
        <is>
          <t>DALARNAS LÄN</t>
        </is>
      </c>
      <c r="E1063" t="inlineStr">
        <is>
          <t>FALUN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25757-2026</t>
        </is>
      </c>
      <c r="B1064" s="1" t="n">
        <v>46178</v>
      </c>
      <c r="C1064" s="1" t="n">
        <v>46197</v>
      </c>
      <c r="D1064" t="inlineStr">
        <is>
          <t>DALARNAS LÄN</t>
        </is>
      </c>
      <c r="E1064" t="inlineStr">
        <is>
          <t>FALUN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19579-2026</t>
        </is>
      </c>
      <c r="B1065" s="1" t="n">
        <v>46134</v>
      </c>
      <c r="C1065" s="1" t="n">
        <v>46197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16236-2026</t>
        </is>
      </c>
      <c r="B1066" s="1" t="n">
        <v>46111</v>
      </c>
      <c r="C1066" s="1" t="n">
        <v>46197</v>
      </c>
      <c r="D1066" t="inlineStr">
        <is>
          <t>DALARNAS LÄN</t>
        </is>
      </c>
      <c r="E1066" t="inlineStr">
        <is>
          <t>FALUN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19897-2026</t>
        </is>
      </c>
      <c r="B1067" s="1" t="n">
        <v>46135</v>
      </c>
      <c r="C1067" s="1" t="n">
        <v>46197</v>
      </c>
      <c r="D1067" t="inlineStr">
        <is>
          <t>DALARNAS LÄN</t>
        </is>
      </c>
      <c r="E1067" t="inlineStr">
        <is>
          <t>FALUN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17213-2026</t>
        </is>
      </c>
      <c r="B1068" s="1" t="n">
        <v>46119</v>
      </c>
      <c r="C1068" s="1" t="n">
        <v>46197</v>
      </c>
      <c r="D1068" t="inlineStr">
        <is>
          <t>DALARNAS LÄN</t>
        </is>
      </c>
      <c r="E1068" t="inlineStr">
        <is>
          <t>FALUN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25739-2026</t>
        </is>
      </c>
      <c r="B1069" s="1" t="n">
        <v>46178</v>
      </c>
      <c r="C1069" s="1" t="n">
        <v>46197</v>
      </c>
      <c r="D1069" t="inlineStr">
        <is>
          <t>DALARNAS LÄN</t>
        </is>
      </c>
      <c r="E1069" t="inlineStr">
        <is>
          <t>FALUN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25811-2026</t>
        </is>
      </c>
      <c r="B1070" s="1" t="n">
        <v>46178</v>
      </c>
      <c r="C1070" s="1" t="n">
        <v>46197</v>
      </c>
      <c r="D1070" t="inlineStr">
        <is>
          <t>DALARNAS LÄN</t>
        </is>
      </c>
      <c r="E1070" t="inlineStr">
        <is>
          <t>FALUN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15346-2026</t>
        </is>
      </c>
      <c r="B1071" s="1" t="n">
        <v>46105</v>
      </c>
      <c r="C1071" s="1" t="n">
        <v>46197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16933-2026</t>
        </is>
      </c>
      <c r="B1072" s="1" t="n">
        <v>46113</v>
      </c>
      <c r="C1072" s="1" t="n">
        <v>46197</v>
      </c>
      <c r="D1072" t="inlineStr">
        <is>
          <t>DALARNAS LÄN</t>
        </is>
      </c>
      <c r="E1072" t="inlineStr">
        <is>
          <t>FALUN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19896-2026</t>
        </is>
      </c>
      <c r="B1073" s="1" t="n">
        <v>46135</v>
      </c>
      <c r="C1073" s="1" t="n">
        <v>46197</v>
      </c>
      <c r="D1073" t="inlineStr">
        <is>
          <t>DALARNAS LÄN</t>
        </is>
      </c>
      <c r="E1073" t="inlineStr">
        <is>
          <t>FALUN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14501-2025</t>
        </is>
      </c>
      <c r="B1074" s="1" t="n">
        <v>45741</v>
      </c>
      <c r="C1074" s="1" t="n">
        <v>46197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19995-2026</t>
        </is>
      </c>
      <c r="B1075" s="1" t="n">
        <v>46136</v>
      </c>
      <c r="C1075" s="1" t="n">
        <v>46197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5311-2025</t>
        </is>
      </c>
      <c r="B1076" s="1" t="n">
        <v>45692</v>
      </c>
      <c r="C1076" s="1" t="n">
        <v>46197</v>
      </c>
      <c r="D1076" t="inlineStr">
        <is>
          <t>DALARNAS LÄN</t>
        </is>
      </c>
      <c r="E1076" t="inlineStr">
        <is>
          <t>FALUN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18714-2026</t>
        </is>
      </c>
      <c r="B1077" s="1" t="n">
        <v>46128</v>
      </c>
      <c r="C1077" s="1" t="n">
        <v>46197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25667-2026</t>
        </is>
      </c>
      <c r="B1078" s="1" t="n">
        <v>46178</v>
      </c>
      <c r="C1078" s="1" t="n">
        <v>46197</v>
      </c>
      <c r="D1078" t="inlineStr">
        <is>
          <t>DALARNAS LÄN</t>
        </is>
      </c>
      <c r="E1078" t="inlineStr">
        <is>
          <t>FALUN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51958-2024</t>
        </is>
      </c>
      <c r="B1079" s="1" t="n">
        <v>45607</v>
      </c>
      <c r="C1079" s="1" t="n">
        <v>46197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56481-2024</t>
        </is>
      </c>
      <c r="B1080" s="1" t="n">
        <v>45625</v>
      </c>
      <c r="C1080" s="1" t="n">
        <v>46197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25689-2026</t>
        </is>
      </c>
      <c r="B1081" s="1" t="n">
        <v>46178</v>
      </c>
      <c r="C1081" s="1" t="n">
        <v>46197</v>
      </c>
      <c r="D1081" t="inlineStr">
        <is>
          <t>DALARNAS LÄN</t>
        </is>
      </c>
      <c r="E1081" t="inlineStr">
        <is>
          <t>FALUN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25517-2026</t>
        </is>
      </c>
      <c r="B1082" s="1" t="n">
        <v>46177</v>
      </c>
      <c r="C1082" s="1" t="n">
        <v>46197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25809-2026</t>
        </is>
      </c>
      <c r="B1083" s="1" t="n">
        <v>46178</v>
      </c>
      <c r="C1083" s="1" t="n">
        <v>46197</v>
      </c>
      <c r="D1083" t="inlineStr">
        <is>
          <t>DALARNAS LÄN</t>
        </is>
      </c>
      <c r="E1083" t="inlineStr">
        <is>
          <t>FALUN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25755-2026</t>
        </is>
      </c>
      <c r="B1084" s="1" t="n">
        <v>46178</v>
      </c>
      <c r="C1084" s="1" t="n">
        <v>46197</v>
      </c>
      <c r="D1084" t="inlineStr">
        <is>
          <t>DALARNAS LÄN</t>
        </is>
      </c>
      <c r="E1084" t="inlineStr">
        <is>
          <t>FALUN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52271-2025</t>
        </is>
      </c>
      <c r="B1085" s="1" t="n">
        <v>45953</v>
      </c>
      <c r="C1085" s="1" t="n">
        <v>46197</v>
      </c>
      <c r="D1085" t="inlineStr">
        <is>
          <t>DALARNAS LÄN</t>
        </is>
      </c>
      <c r="E1085" t="inlineStr">
        <is>
          <t>FALUN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25823-2026</t>
        </is>
      </c>
      <c r="B1086" s="1" t="n">
        <v>46178</v>
      </c>
      <c r="C1086" s="1" t="n">
        <v>46197</v>
      </c>
      <c r="D1086" t="inlineStr">
        <is>
          <t>DALARNAS LÄN</t>
        </is>
      </c>
      <c r="E1086" t="inlineStr">
        <is>
          <t>FALUN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17142-2026</t>
        </is>
      </c>
      <c r="B1087" s="1" t="n">
        <v>46114</v>
      </c>
      <c r="C1087" s="1" t="n">
        <v>46197</v>
      </c>
      <c r="D1087" t="inlineStr">
        <is>
          <t>DALARNAS LÄN</t>
        </is>
      </c>
      <c r="E1087" t="inlineStr">
        <is>
          <t>FALUN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19976-2026</t>
        </is>
      </c>
      <c r="B1088" s="1" t="n">
        <v>46136</v>
      </c>
      <c r="C1088" s="1" t="n">
        <v>46197</v>
      </c>
      <c r="D1088" t="inlineStr">
        <is>
          <t>DALARNAS LÄN</t>
        </is>
      </c>
      <c r="E1088" t="inlineStr">
        <is>
          <t>FALUN</t>
        </is>
      </c>
      <c r="G1088" t="n">
        <v>40.2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43236-2024</t>
        </is>
      </c>
      <c r="B1089" s="1" t="n">
        <v>45567</v>
      </c>
      <c r="C1089" s="1" t="n">
        <v>46197</v>
      </c>
      <c r="D1089" t="inlineStr">
        <is>
          <t>DALARNAS LÄN</t>
        </is>
      </c>
      <c r="E1089" t="inlineStr">
        <is>
          <t>FALUN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25893-2026</t>
        </is>
      </c>
      <c r="B1090" s="1" t="n">
        <v>46178</v>
      </c>
      <c r="C1090" s="1" t="n">
        <v>46197</v>
      </c>
      <c r="D1090" t="inlineStr">
        <is>
          <t>DALARNAS LÄN</t>
        </is>
      </c>
      <c r="E1090" t="inlineStr">
        <is>
          <t>FALUN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25601-2026</t>
        </is>
      </c>
      <c r="B1091" s="1" t="n">
        <v>46177</v>
      </c>
      <c r="C1091" s="1" t="n">
        <v>46197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32753-2025</t>
        </is>
      </c>
      <c r="B1092" s="1" t="n">
        <v>45838</v>
      </c>
      <c r="C1092" s="1" t="n">
        <v>46197</v>
      </c>
      <c r="D1092" t="inlineStr">
        <is>
          <t>DALARNAS LÄN</t>
        </is>
      </c>
      <c r="E1092" t="inlineStr">
        <is>
          <t>FALUN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9659-2025</t>
        </is>
      </c>
      <c r="B1093" s="1" t="n">
        <v>45716</v>
      </c>
      <c r="C1093" s="1" t="n">
        <v>46197</v>
      </c>
      <c r="D1093" t="inlineStr">
        <is>
          <t>DALARNAS LÄN</t>
        </is>
      </c>
      <c r="E1093" t="inlineStr">
        <is>
          <t>FALUN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54082-2023</t>
        </is>
      </c>
      <c r="B1094" s="1" t="n">
        <v>45232</v>
      </c>
      <c r="C1094" s="1" t="n">
        <v>46197</v>
      </c>
      <c r="D1094" t="inlineStr">
        <is>
          <t>DALARNAS LÄN</t>
        </is>
      </c>
      <c r="E1094" t="inlineStr">
        <is>
          <t>FALUN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193-2026</t>
        </is>
      </c>
      <c r="B1095" s="1" t="n">
        <v>46025</v>
      </c>
      <c r="C1095" s="1" t="n">
        <v>46197</v>
      </c>
      <c r="D1095" t="inlineStr">
        <is>
          <t>DALARNAS LÄN</t>
        </is>
      </c>
      <c r="E1095" t="inlineStr">
        <is>
          <t>FALUN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8435-2025</t>
        </is>
      </c>
      <c r="B1096" s="1" t="n">
        <v>45709</v>
      </c>
      <c r="C1096" s="1" t="n">
        <v>46197</v>
      </c>
      <c r="D1096" t="inlineStr">
        <is>
          <t>DALARNAS LÄN</t>
        </is>
      </c>
      <c r="E1096" t="inlineStr">
        <is>
          <t>FALUN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13073-2026</t>
        </is>
      </c>
      <c r="B1097" s="1" t="n">
        <v>46093</v>
      </c>
      <c r="C1097" s="1" t="n">
        <v>46197</v>
      </c>
      <c r="D1097" t="inlineStr">
        <is>
          <t>DALARNAS LÄN</t>
        </is>
      </c>
      <c r="E1097" t="inlineStr">
        <is>
          <t>FALUN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1307-2025</t>
        </is>
      </c>
      <c r="B1098" s="1" t="n">
        <v>45667</v>
      </c>
      <c r="C1098" s="1" t="n">
        <v>46197</v>
      </c>
      <c r="D1098" t="inlineStr">
        <is>
          <t>DALARNAS LÄN</t>
        </is>
      </c>
      <c r="E1098" t="inlineStr">
        <is>
          <t>FALUN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9611-2026</t>
        </is>
      </c>
      <c r="B1099" s="1" t="n">
        <v>46072</v>
      </c>
      <c r="C1099" s="1" t="n">
        <v>46197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56768-2024</t>
        </is>
      </c>
      <c r="B1100" s="1" t="n">
        <v>45628</v>
      </c>
      <c r="C1100" s="1" t="n">
        <v>46197</v>
      </c>
      <c r="D1100" t="inlineStr">
        <is>
          <t>DALARNAS LÄN</t>
        </is>
      </c>
      <c r="E1100" t="inlineStr">
        <is>
          <t>FALUN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7948-2026</t>
        </is>
      </c>
      <c r="B1101" s="1" t="n">
        <v>46063</v>
      </c>
      <c r="C1101" s="1" t="n">
        <v>46197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23512-2025</t>
        </is>
      </c>
      <c r="B1102" s="1" t="n">
        <v>45792</v>
      </c>
      <c r="C1102" s="1" t="n">
        <v>46197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40308-2025</t>
        </is>
      </c>
      <c r="B1103" s="1" t="n">
        <v>45895</v>
      </c>
      <c r="C1103" s="1" t="n">
        <v>46197</v>
      </c>
      <c r="D1103" t="inlineStr">
        <is>
          <t>DALARNAS LÄN</t>
        </is>
      </c>
      <c r="E1103" t="inlineStr">
        <is>
          <t>FALUN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9587-2026</t>
        </is>
      </c>
      <c r="B1104" s="1" t="n">
        <v>46071</v>
      </c>
      <c r="C1104" s="1" t="n">
        <v>46197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20197-2026</t>
        </is>
      </c>
      <c r="B1105" s="1" t="n">
        <v>46139</v>
      </c>
      <c r="C1105" s="1" t="n">
        <v>46197</v>
      </c>
      <c r="D1105" t="inlineStr">
        <is>
          <t>DALARNAS LÄN</t>
        </is>
      </c>
      <c r="E1105" t="inlineStr">
        <is>
          <t>FALUN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20201-2026</t>
        </is>
      </c>
      <c r="B1106" s="1" t="n">
        <v>46139</v>
      </c>
      <c r="C1106" s="1" t="n">
        <v>46197</v>
      </c>
      <c r="D1106" t="inlineStr">
        <is>
          <t>DALARNAS LÄN</t>
        </is>
      </c>
      <c r="E1106" t="inlineStr">
        <is>
          <t>FALUN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2464-2026</t>
        </is>
      </c>
      <c r="B1107" s="1" t="n">
        <v>46037</v>
      </c>
      <c r="C1107" s="1" t="n">
        <v>46197</v>
      </c>
      <c r="D1107" t="inlineStr">
        <is>
          <t>DALARNAS LÄN</t>
        </is>
      </c>
      <c r="E1107" t="inlineStr">
        <is>
          <t>FALUN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14009-2026</t>
        </is>
      </c>
      <c r="B1108" s="1" t="n">
        <v>46098</v>
      </c>
      <c r="C1108" s="1" t="n">
        <v>46197</v>
      </c>
      <c r="D1108" t="inlineStr">
        <is>
          <t>DALARNAS LÄN</t>
        </is>
      </c>
      <c r="E1108" t="inlineStr">
        <is>
          <t>FALUN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43300-2025</t>
        </is>
      </c>
      <c r="B1109" s="1" t="n">
        <v>45910</v>
      </c>
      <c r="C1109" s="1" t="n">
        <v>46197</v>
      </c>
      <c r="D1109" t="inlineStr">
        <is>
          <t>DALARNAS LÄN</t>
        </is>
      </c>
      <c r="E1109" t="inlineStr">
        <is>
          <t>FALUN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43187-2024</t>
        </is>
      </c>
      <c r="B1110" s="1" t="n">
        <v>45567</v>
      </c>
      <c r="C1110" s="1" t="n">
        <v>46197</v>
      </c>
      <c r="D1110" t="inlineStr">
        <is>
          <t>DALARNAS LÄN</t>
        </is>
      </c>
      <c r="E1110" t="inlineStr">
        <is>
          <t>FALUN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58411-2024</t>
        </is>
      </c>
      <c r="B1111" s="1" t="n">
        <v>45634</v>
      </c>
      <c r="C1111" s="1" t="n">
        <v>46197</v>
      </c>
      <c r="D1111" t="inlineStr">
        <is>
          <t>DALARNAS LÄN</t>
        </is>
      </c>
      <c r="E1111" t="inlineStr">
        <is>
          <t>FALUN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53090-2024</t>
        </is>
      </c>
      <c r="B1112" s="1" t="n">
        <v>45611</v>
      </c>
      <c r="C1112" s="1" t="n">
        <v>46197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59319-2024</t>
        </is>
      </c>
      <c r="B1113" s="1" t="n">
        <v>45637</v>
      </c>
      <c r="C1113" s="1" t="n">
        <v>46197</v>
      </c>
      <c r="D1113" t="inlineStr">
        <is>
          <t>DALARNAS LÄN</t>
        </is>
      </c>
      <c r="E1113" t="inlineStr">
        <is>
          <t>FALUN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27885-2023</t>
        </is>
      </c>
      <c r="B1114" s="1" t="n">
        <v>45098</v>
      </c>
      <c r="C1114" s="1" t="n">
        <v>46197</v>
      </c>
      <c r="D1114" t="inlineStr">
        <is>
          <t>DALARNAS LÄN</t>
        </is>
      </c>
      <c r="E1114" t="inlineStr">
        <is>
          <t>FALUN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64521-2023</t>
        </is>
      </c>
      <c r="B1115" s="1" t="n">
        <v>45281</v>
      </c>
      <c r="C1115" s="1" t="n">
        <v>46197</v>
      </c>
      <c r="D1115" t="inlineStr">
        <is>
          <t>DALARNAS LÄN</t>
        </is>
      </c>
      <c r="E1115" t="inlineStr">
        <is>
          <t>FALUN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9439-2026</t>
        </is>
      </c>
      <c r="B1116" s="1" t="n">
        <v>46071</v>
      </c>
      <c r="C1116" s="1" t="n">
        <v>46197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20198-2026</t>
        </is>
      </c>
      <c r="B1117" s="1" t="n">
        <v>46139</v>
      </c>
      <c r="C1117" s="1" t="n">
        <v>46197</v>
      </c>
      <c r="D1117" t="inlineStr">
        <is>
          <t>DALARNAS LÄN</t>
        </is>
      </c>
      <c r="E1117" t="inlineStr">
        <is>
          <t>FALUN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13103-2026</t>
        </is>
      </c>
      <c r="B1118" s="1" t="n">
        <v>46093</v>
      </c>
      <c r="C1118" s="1" t="n">
        <v>46197</v>
      </c>
      <c r="D1118" t="inlineStr">
        <is>
          <t>DALARNAS LÄN</t>
        </is>
      </c>
      <c r="E1118" t="inlineStr">
        <is>
          <t>FALUN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19903-2022</t>
        </is>
      </c>
      <c r="B1119" s="1" t="n">
        <v>44697</v>
      </c>
      <c r="C1119" s="1" t="n">
        <v>46197</v>
      </c>
      <c r="D1119" t="inlineStr">
        <is>
          <t>DALARNAS LÄN</t>
        </is>
      </c>
      <c r="E1119" t="inlineStr">
        <is>
          <t>FALUN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4887-2024</t>
        </is>
      </c>
      <c r="B1120" s="1" t="n">
        <v>45329</v>
      </c>
      <c r="C1120" s="1" t="n">
        <v>46197</v>
      </c>
      <c r="D1120" t="inlineStr">
        <is>
          <t>DALARNAS LÄN</t>
        </is>
      </c>
      <c r="E1120" t="inlineStr">
        <is>
          <t>FALUN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42953-2022</t>
        </is>
      </c>
      <c r="B1121" s="1" t="n">
        <v>44833</v>
      </c>
      <c r="C1121" s="1" t="n">
        <v>46197</v>
      </c>
      <c r="D1121" t="inlineStr">
        <is>
          <t>DALARNAS LÄN</t>
        </is>
      </c>
      <c r="E1121" t="inlineStr">
        <is>
          <t>FALUN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8557-2026</t>
        </is>
      </c>
      <c r="B1122" s="1" t="n">
        <v>46065</v>
      </c>
      <c r="C1122" s="1" t="n">
        <v>46197</v>
      </c>
      <c r="D1122" t="inlineStr">
        <is>
          <t>DALARNAS LÄN</t>
        </is>
      </c>
      <c r="E1122" t="inlineStr">
        <is>
          <t>FALUN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35903-2023</t>
        </is>
      </c>
      <c r="B1123" s="1" t="n">
        <v>45148</v>
      </c>
      <c r="C1123" s="1" t="n">
        <v>46197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8368-2026</t>
        </is>
      </c>
      <c r="B1124" s="1" t="n">
        <v>46064</v>
      </c>
      <c r="C1124" s="1" t="n">
        <v>46197</v>
      </c>
      <c r="D1124" t="inlineStr">
        <is>
          <t>DALARNAS LÄN</t>
        </is>
      </c>
      <c r="E1124" t="inlineStr">
        <is>
          <t>FALUN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6539-2026</t>
        </is>
      </c>
      <c r="B1125" s="1" t="n">
        <v>46056</v>
      </c>
      <c r="C1125" s="1" t="n">
        <v>46197</v>
      </c>
      <c r="D1125" t="inlineStr">
        <is>
          <t>DALARNAS LÄN</t>
        </is>
      </c>
      <c r="E1125" t="inlineStr">
        <is>
          <t>FALUN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25149-2025</t>
        </is>
      </c>
      <c r="B1126" s="1" t="n">
        <v>45800</v>
      </c>
      <c r="C1126" s="1" t="n">
        <v>46197</v>
      </c>
      <c r="D1126" t="inlineStr">
        <is>
          <t>DALARNAS LÄN</t>
        </is>
      </c>
      <c r="E1126" t="inlineStr">
        <is>
          <t>FALUN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55542-2023</t>
        </is>
      </c>
      <c r="B1127" s="1" t="n">
        <v>45238</v>
      </c>
      <c r="C1127" s="1" t="n">
        <v>46197</v>
      </c>
      <c r="D1127" t="inlineStr">
        <is>
          <t>DALARNAS LÄN</t>
        </is>
      </c>
      <c r="E1127" t="inlineStr">
        <is>
          <t>FALUN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56557-2024</t>
        </is>
      </c>
      <c r="B1128" s="1" t="n">
        <v>45625</v>
      </c>
      <c r="C1128" s="1" t="n">
        <v>46197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20356-2026</t>
        </is>
      </c>
      <c r="B1129" s="1" t="n">
        <v>46139</v>
      </c>
      <c r="C1129" s="1" t="n">
        <v>46197</v>
      </c>
      <c r="D1129" t="inlineStr">
        <is>
          <t>DALARNAS LÄN</t>
        </is>
      </c>
      <c r="E1129" t="inlineStr">
        <is>
          <t>FALUN</t>
        </is>
      </c>
      <c r="G1129" t="n">
        <v>11.8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20384-2026</t>
        </is>
      </c>
      <c r="B1130" s="1" t="n">
        <v>46139</v>
      </c>
      <c r="C1130" s="1" t="n">
        <v>46197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20402-2026</t>
        </is>
      </c>
      <c r="B1131" s="1" t="n">
        <v>46140</v>
      </c>
      <c r="C1131" s="1" t="n">
        <v>46197</v>
      </c>
      <c r="D1131" t="inlineStr">
        <is>
          <t>DALARNAS LÄN</t>
        </is>
      </c>
      <c r="E1131" t="inlineStr">
        <is>
          <t>FALUN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20403-2026</t>
        </is>
      </c>
      <c r="B1132" s="1" t="n">
        <v>46140</v>
      </c>
      <c r="C1132" s="1" t="n">
        <v>46197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48246-2023</t>
        </is>
      </c>
      <c r="B1133" s="1" t="n">
        <v>45205</v>
      </c>
      <c r="C1133" s="1" t="n">
        <v>46197</v>
      </c>
      <c r="D1133" t="inlineStr">
        <is>
          <t>DALARNAS LÄN</t>
        </is>
      </c>
      <c r="E1133" t="inlineStr">
        <is>
          <t>FALUN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20431-2026</t>
        </is>
      </c>
      <c r="B1134" s="1" t="n">
        <v>46140</v>
      </c>
      <c r="C1134" s="1" t="n">
        <v>46197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20435-2026</t>
        </is>
      </c>
      <c r="B1135" s="1" t="n">
        <v>46140</v>
      </c>
      <c r="C1135" s="1" t="n">
        <v>46197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20444-2026</t>
        </is>
      </c>
      <c r="B1136" s="1" t="n">
        <v>46140</v>
      </c>
      <c r="C1136" s="1" t="n">
        <v>46197</v>
      </c>
      <c r="D1136" t="inlineStr">
        <is>
          <t>DALARNAS LÄN</t>
        </is>
      </c>
      <c r="E1136" t="inlineStr">
        <is>
          <t>FALUN</t>
        </is>
      </c>
      <c r="G1136" t="n">
        <v>11.8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20029-2026</t>
        </is>
      </c>
      <c r="B1137" s="1" t="n">
        <v>46136</v>
      </c>
      <c r="C1137" s="1" t="n">
        <v>46197</v>
      </c>
      <c r="D1137" t="inlineStr">
        <is>
          <t>DALARNAS LÄN</t>
        </is>
      </c>
      <c r="E1137" t="inlineStr">
        <is>
          <t>FALUN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37061-2025</t>
        </is>
      </c>
      <c r="B1138" s="1" t="n">
        <v>45874</v>
      </c>
      <c r="C1138" s="1" t="n">
        <v>46197</v>
      </c>
      <c r="D1138" t="inlineStr">
        <is>
          <t>DALARNAS LÄN</t>
        </is>
      </c>
      <c r="E1138" t="inlineStr">
        <is>
          <t>FALUN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43736-2024</t>
        </is>
      </c>
      <c r="B1139" s="1" t="n">
        <v>45569</v>
      </c>
      <c r="C1139" s="1" t="n">
        <v>46197</v>
      </c>
      <c r="D1139" t="inlineStr">
        <is>
          <t>DALARNAS LÄN</t>
        </is>
      </c>
      <c r="E1139" t="inlineStr">
        <is>
          <t>FALUN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25967-2026</t>
        </is>
      </c>
      <c r="B1140" s="1" t="n">
        <v>46181</v>
      </c>
      <c r="C1140" s="1" t="n">
        <v>46197</v>
      </c>
      <c r="D1140" t="inlineStr">
        <is>
          <t>DALARNAS LÄN</t>
        </is>
      </c>
      <c r="E1140" t="inlineStr">
        <is>
          <t>FALUN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46561-2023</t>
        </is>
      </c>
      <c r="B1141" s="1" t="n">
        <v>45198</v>
      </c>
      <c r="C1141" s="1" t="n">
        <v>46197</v>
      </c>
      <c r="D1141" t="inlineStr">
        <is>
          <t>DALARNAS LÄN</t>
        </is>
      </c>
      <c r="E1141" t="inlineStr">
        <is>
          <t>FALUN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24640-2024</t>
        </is>
      </c>
      <c r="B1142" s="1" t="n">
        <v>45460</v>
      </c>
      <c r="C1142" s="1" t="n">
        <v>46197</v>
      </c>
      <c r="D1142" t="inlineStr">
        <is>
          <t>DALARNAS LÄN</t>
        </is>
      </c>
      <c r="E1142" t="inlineStr">
        <is>
          <t>FALUN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8033-2026</t>
        </is>
      </c>
      <c r="B1143" s="1" t="n">
        <v>46063</v>
      </c>
      <c r="C1143" s="1" t="n">
        <v>46197</v>
      </c>
      <c r="D1143" t="inlineStr">
        <is>
          <t>DALARNAS LÄN</t>
        </is>
      </c>
      <c r="E1143" t="inlineStr">
        <is>
          <t>FALUN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11316-2026</t>
        </is>
      </c>
      <c r="B1144" s="1" t="n">
        <v>46080</v>
      </c>
      <c r="C1144" s="1" t="n">
        <v>46197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20448-2026</t>
        </is>
      </c>
      <c r="B1145" s="1" t="n">
        <v>46140</v>
      </c>
      <c r="C1145" s="1" t="n">
        <v>46197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2961-2026</t>
        </is>
      </c>
      <c r="B1146" s="1" t="n">
        <v>46037</v>
      </c>
      <c r="C1146" s="1" t="n">
        <v>46197</v>
      </c>
      <c r="D1146" t="inlineStr">
        <is>
          <t>DALARNAS LÄN</t>
        </is>
      </c>
      <c r="E1146" t="inlineStr">
        <is>
          <t>FALUN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2612-2026</t>
        </is>
      </c>
      <c r="B1147" s="1" t="n">
        <v>46037</v>
      </c>
      <c r="C1147" s="1" t="n">
        <v>46197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13514-2026</t>
        </is>
      </c>
      <c r="B1148" s="1" t="n">
        <v>46094</v>
      </c>
      <c r="C1148" s="1" t="n">
        <v>46197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3132-2025</t>
        </is>
      </c>
      <c r="B1149" s="1" t="n">
        <v>45678</v>
      </c>
      <c r="C1149" s="1" t="n">
        <v>46197</v>
      </c>
      <c r="D1149" t="inlineStr">
        <is>
          <t>DALARNAS LÄN</t>
        </is>
      </c>
      <c r="E1149" t="inlineStr">
        <is>
          <t>FALUN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8122-2026</t>
        </is>
      </c>
      <c r="B1150" s="1" t="n">
        <v>46063</v>
      </c>
      <c r="C1150" s="1" t="n">
        <v>46197</v>
      </c>
      <c r="D1150" t="inlineStr">
        <is>
          <t>DALARNAS LÄN</t>
        </is>
      </c>
      <c r="E1150" t="inlineStr">
        <is>
          <t>FALUN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27495-2022</t>
        </is>
      </c>
      <c r="B1151" s="1" t="n">
        <v>44742</v>
      </c>
      <c r="C1151" s="1" t="n">
        <v>46197</v>
      </c>
      <c r="D1151" t="inlineStr">
        <is>
          <t>DALARNAS LÄN</t>
        </is>
      </c>
      <c r="E1151" t="inlineStr">
        <is>
          <t>FALUN</t>
        </is>
      </c>
      <c r="F1151" t="inlineStr">
        <is>
          <t>Kyrkan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7962-2026</t>
        </is>
      </c>
      <c r="B1152" s="1" t="n">
        <v>46063</v>
      </c>
      <c r="C1152" s="1" t="n">
        <v>46197</v>
      </c>
      <c r="D1152" t="inlineStr">
        <is>
          <t>DALARNAS LÄN</t>
        </is>
      </c>
      <c r="E1152" t="inlineStr">
        <is>
          <t>FALUN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1781-2026</t>
        </is>
      </c>
      <c r="B1153" s="1" t="n">
        <v>46031</v>
      </c>
      <c r="C1153" s="1" t="n">
        <v>46197</v>
      </c>
      <c r="D1153" t="inlineStr">
        <is>
          <t>DALARNAS LÄN</t>
        </is>
      </c>
      <c r="E1153" t="inlineStr">
        <is>
          <t>FALUN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2742-2026</t>
        </is>
      </c>
      <c r="B1154" s="1" t="n">
        <v>46038</v>
      </c>
      <c r="C1154" s="1" t="n">
        <v>46197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2213-2026</t>
        </is>
      </c>
      <c r="B1155" s="1" t="n">
        <v>46036</v>
      </c>
      <c r="C1155" s="1" t="n">
        <v>46197</v>
      </c>
      <c r="D1155" t="inlineStr">
        <is>
          <t>DALARNAS LÄN</t>
        </is>
      </c>
      <c r="E1155" t="inlineStr">
        <is>
          <t>FALUN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26120-2026</t>
        </is>
      </c>
      <c r="B1156" s="1" t="n">
        <v>46181</v>
      </c>
      <c r="C1156" s="1" t="n">
        <v>46197</v>
      </c>
      <c r="D1156" t="inlineStr">
        <is>
          <t>DALARNAS LÄN</t>
        </is>
      </c>
      <c r="E1156" t="inlineStr">
        <is>
          <t>FALUN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3336-2026</t>
        </is>
      </c>
      <c r="B1157" s="1" t="n">
        <v>46041</v>
      </c>
      <c r="C1157" s="1" t="n">
        <v>46197</v>
      </c>
      <c r="D1157" t="inlineStr">
        <is>
          <t>DALARNAS LÄN</t>
        </is>
      </c>
      <c r="E1157" t="inlineStr">
        <is>
          <t>FALUN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6943-2026</t>
        </is>
      </c>
      <c r="B1158" s="1" t="n">
        <v>46056</v>
      </c>
      <c r="C1158" s="1" t="n">
        <v>46197</v>
      </c>
      <c r="D1158" t="inlineStr">
        <is>
          <t>DALARNAS LÄN</t>
        </is>
      </c>
      <c r="E1158" t="inlineStr">
        <is>
          <t>FALUN</t>
        </is>
      </c>
      <c r="F1158" t="inlineStr">
        <is>
          <t>Allmännings- och besparingsskogar</t>
        </is>
      </c>
      <c r="G1158" t="n">
        <v>22.5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45040-2025</t>
        </is>
      </c>
      <c r="B1159" s="1" t="n">
        <v>45918</v>
      </c>
      <c r="C1159" s="1" t="n">
        <v>46197</v>
      </c>
      <c r="D1159" t="inlineStr">
        <is>
          <t>DALARNAS LÄN</t>
        </is>
      </c>
      <c r="E1159" t="inlineStr">
        <is>
          <t>FALUN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15816-2025</t>
        </is>
      </c>
      <c r="B1160" s="1" t="n">
        <v>45748</v>
      </c>
      <c r="C1160" s="1" t="n">
        <v>46197</v>
      </c>
      <c r="D1160" t="inlineStr">
        <is>
          <t>DALARNAS LÄN</t>
        </is>
      </c>
      <c r="E1160" t="inlineStr">
        <is>
          <t>FALUN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30804-2025</t>
        </is>
      </c>
      <c r="B1161" s="1" t="n">
        <v>45831</v>
      </c>
      <c r="C1161" s="1" t="n">
        <v>46197</v>
      </c>
      <c r="D1161" t="inlineStr">
        <is>
          <t>DALARNAS LÄN</t>
        </is>
      </c>
      <c r="E1161" t="inlineStr">
        <is>
          <t>FALUN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3444-2026</t>
        </is>
      </c>
      <c r="B1162" s="1" t="n">
        <v>46042</v>
      </c>
      <c r="C1162" s="1" t="n">
        <v>46197</v>
      </c>
      <c r="D1162" t="inlineStr">
        <is>
          <t>DALARNAS LÄN</t>
        </is>
      </c>
      <c r="E1162" t="inlineStr">
        <is>
          <t>FALUN</t>
        </is>
      </c>
      <c r="G1162" t="n">
        <v>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1303-2026</t>
        </is>
      </c>
      <c r="B1163" s="1" t="n">
        <v>46031</v>
      </c>
      <c r="C1163" s="1" t="n">
        <v>46197</v>
      </c>
      <c r="D1163" t="inlineStr">
        <is>
          <t>DALARNAS LÄN</t>
        </is>
      </c>
      <c r="E1163" t="inlineStr">
        <is>
          <t>FALUN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13568-2024</t>
        </is>
      </c>
      <c r="B1164" s="1" t="n">
        <v>45389</v>
      </c>
      <c r="C1164" s="1" t="n">
        <v>46197</v>
      </c>
      <c r="D1164" t="inlineStr">
        <is>
          <t>DALARNAS LÄN</t>
        </is>
      </c>
      <c r="E1164" t="inlineStr">
        <is>
          <t>FALUN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12100-2026</t>
        </is>
      </c>
      <c r="B1165" s="1" t="n">
        <v>46086</v>
      </c>
      <c r="C1165" s="1" t="n">
        <v>46197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40585-2025</t>
        </is>
      </c>
      <c r="B1166" s="1" t="n">
        <v>45896</v>
      </c>
      <c r="C1166" s="1" t="n">
        <v>46197</v>
      </c>
      <c r="D1166" t="inlineStr">
        <is>
          <t>DALARNAS LÄN</t>
        </is>
      </c>
      <c r="E1166" t="inlineStr">
        <is>
          <t>FALUN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63723-2023</t>
        </is>
      </c>
      <c r="B1167" s="1" t="n">
        <v>45276</v>
      </c>
      <c r="C1167" s="1" t="n">
        <v>46197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5550-2026</t>
        </is>
      </c>
      <c r="B1168" s="1" t="n">
        <v>46050</v>
      </c>
      <c r="C1168" s="1" t="n">
        <v>46197</v>
      </c>
      <c r="D1168" t="inlineStr">
        <is>
          <t>DALARNAS LÄN</t>
        </is>
      </c>
      <c r="E1168" t="inlineStr">
        <is>
          <t>FALUN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2600-2026</t>
        </is>
      </c>
      <c r="B1169" s="1" t="n">
        <v>46037</v>
      </c>
      <c r="C1169" s="1" t="n">
        <v>46197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4915-2026</t>
        </is>
      </c>
      <c r="B1170" s="1" t="n">
        <v>46045</v>
      </c>
      <c r="C1170" s="1" t="n">
        <v>46197</v>
      </c>
      <c r="D1170" t="inlineStr">
        <is>
          <t>DALARNAS LÄN</t>
        </is>
      </c>
      <c r="E1170" t="inlineStr">
        <is>
          <t>FALUN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6453-2026</t>
        </is>
      </c>
      <c r="B1171" s="1" t="n">
        <v>46055</v>
      </c>
      <c r="C1171" s="1" t="n">
        <v>46197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20517-2026</t>
        </is>
      </c>
      <c r="B1172" s="1" t="n">
        <v>46140</v>
      </c>
      <c r="C1172" s="1" t="n">
        <v>46197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5300-2026</t>
        </is>
      </c>
      <c r="B1173" s="1" t="n">
        <v>46050</v>
      </c>
      <c r="C1173" s="1" t="n">
        <v>46197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19.4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12366-2026</t>
        </is>
      </c>
      <c r="B1174" s="1" t="n">
        <v>46089</v>
      </c>
      <c r="C1174" s="1" t="n">
        <v>46197</v>
      </c>
      <c r="D1174" t="inlineStr">
        <is>
          <t>DALARNAS LÄN</t>
        </is>
      </c>
      <c r="E1174" t="inlineStr">
        <is>
          <t>FALUN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5767-2026</t>
        </is>
      </c>
      <c r="B1175" s="1" t="n">
        <v>46051</v>
      </c>
      <c r="C1175" s="1" t="n">
        <v>46197</v>
      </c>
      <c r="D1175" t="inlineStr">
        <is>
          <t>DALARNAS LÄN</t>
        </is>
      </c>
      <c r="E1175" t="inlineStr">
        <is>
          <t>FALUN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53067-2024</t>
        </is>
      </c>
      <c r="B1176" s="1" t="n">
        <v>45611</v>
      </c>
      <c r="C1176" s="1" t="n">
        <v>46197</v>
      </c>
      <c r="D1176" t="inlineStr">
        <is>
          <t>DALARNAS LÄN</t>
        </is>
      </c>
      <c r="E1176" t="inlineStr">
        <is>
          <t>FALUN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20511-2026</t>
        </is>
      </c>
      <c r="B1177" s="1" t="n">
        <v>46140</v>
      </c>
      <c r="C1177" s="1" t="n">
        <v>46197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47.3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2284-2026</t>
        </is>
      </c>
      <c r="B1178" s="1" t="n">
        <v>46036</v>
      </c>
      <c r="C1178" s="1" t="n">
        <v>46197</v>
      </c>
      <c r="D1178" t="inlineStr">
        <is>
          <t>DALARNAS LÄN</t>
        </is>
      </c>
      <c r="E1178" t="inlineStr">
        <is>
          <t>FALUN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10084-2026</t>
        </is>
      </c>
      <c r="B1179" s="1" t="n">
        <v>46073</v>
      </c>
      <c r="C1179" s="1" t="n">
        <v>46197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19031-2026</t>
        </is>
      </c>
      <c r="B1180" s="1" t="n">
        <v>46131</v>
      </c>
      <c r="C1180" s="1" t="n">
        <v>46197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105-2026</t>
        </is>
      </c>
      <c r="B1181" s="1" t="n">
        <v>46024</v>
      </c>
      <c r="C1181" s="1" t="n">
        <v>46197</v>
      </c>
      <c r="D1181" t="inlineStr">
        <is>
          <t>DALARNAS LÄN</t>
        </is>
      </c>
      <c r="E1181" t="inlineStr">
        <is>
          <t>FALUN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26346-2026</t>
        </is>
      </c>
      <c r="B1182" s="1" t="n">
        <v>46182</v>
      </c>
      <c r="C1182" s="1" t="n">
        <v>46197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20358-2026</t>
        </is>
      </c>
      <c r="B1183" s="1" t="n">
        <v>46139</v>
      </c>
      <c r="C1183" s="1" t="n">
        <v>46197</v>
      </c>
      <c r="D1183" t="inlineStr">
        <is>
          <t>DALARNAS LÄN</t>
        </is>
      </c>
      <c r="E1183" t="inlineStr">
        <is>
          <t>FALUN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16542-2026</t>
        </is>
      </c>
      <c r="B1184" s="1" t="n">
        <v>46112</v>
      </c>
      <c r="C1184" s="1" t="n">
        <v>46197</v>
      </c>
      <c r="D1184" t="inlineStr">
        <is>
          <t>DALARNAS LÄN</t>
        </is>
      </c>
      <c r="E1184" t="inlineStr">
        <is>
          <t>FALUN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1422-2026</t>
        </is>
      </c>
      <c r="B1185" s="1" t="n">
        <v>46031</v>
      </c>
      <c r="C1185" s="1" t="n">
        <v>46197</v>
      </c>
      <c r="D1185" t="inlineStr">
        <is>
          <t>DALARNAS LÄN</t>
        </is>
      </c>
      <c r="E1185" t="inlineStr">
        <is>
          <t>FALUN</t>
        </is>
      </c>
      <c r="G1185" t="n">
        <v>25.5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34103-2024</t>
        </is>
      </c>
      <c r="B1186" s="1" t="n">
        <v>45523</v>
      </c>
      <c r="C1186" s="1" t="n">
        <v>46197</v>
      </c>
      <c r="D1186" t="inlineStr">
        <is>
          <t>DALARNAS LÄN</t>
        </is>
      </c>
      <c r="E1186" t="inlineStr">
        <is>
          <t>FALUN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30593-2025</t>
        </is>
      </c>
      <c r="B1187" s="1" t="n">
        <v>45831</v>
      </c>
      <c r="C1187" s="1" t="n">
        <v>46197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34507-2022</t>
        </is>
      </c>
      <c r="B1188" s="1" t="n">
        <v>44792</v>
      </c>
      <c r="C1188" s="1" t="n">
        <v>46197</v>
      </c>
      <c r="D1188" t="inlineStr">
        <is>
          <t>DALARNAS LÄN</t>
        </is>
      </c>
      <c r="E1188" t="inlineStr">
        <is>
          <t>FALUN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53864-2023</t>
        </is>
      </c>
      <c r="B1189" s="1" t="n">
        <v>45231</v>
      </c>
      <c r="C1189" s="1" t="n">
        <v>46197</v>
      </c>
      <c r="D1189" t="inlineStr">
        <is>
          <t>DALARNAS LÄN</t>
        </is>
      </c>
      <c r="E1189" t="inlineStr">
        <is>
          <t>FALUN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3345-2026</t>
        </is>
      </c>
      <c r="B1190" s="1" t="n">
        <v>46041</v>
      </c>
      <c r="C1190" s="1" t="n">
        <v>46197</v>
      </c>
      <c r="D1190" t="inlineStr">
        <is>
          <t>DALARNAS LÄN</t>
        </is>
      </c>
      <c r="E1190" t="inlineStr">
        <is>
          <t>FALUN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1306-2026</t>
        </is>
      </c>
      <c r="B1191" s="1" t="n">
        <v>46031</v>
      </c>
      <c r="C1191" s="1" t="n">
        <v>46197</v>
      </c>
      <c r="D1191" t="inlineStr">
        <is>
          <t>DALARNAS LÄN</t>
        </is>
      </c>
      <c r="E1191" t="inlineStr">
        <is>
          <t>FALUN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18042-2025</t>
        </is>
      </c>
      <c r="B1192" s="1" t="n">
        <v>45761</v>
      </c>
      <c r="C1192" s="1" t="n">
        <v>46197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12231-2026</t>
        </is>
      </c>
      <c r="B1193" s="1" t="n">
        <v>46087</v>
      </c>
      <c r="C1193" s="1" t="n">
        <v>46197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13220-2025</t>
        </is>
      </c>
      <c r="B1194" s="1" t="n">
        <v>45735</v>
      </c>
      <c r="C1194" s="1" t="n">
        <v>46197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16375-2026</t>
        </is>
      </c>
      <c r="B1195" s="1" t="n">
        <v>46111</v>
      </c>
      <c r="C1195" s="1" t="n">
        <v>46197</v>
      </c>
      <c r="D1195" t="inlineStr">
        <is>
          <t>DALARNAS LÄN</t>
        </is>
      </c>
      <c r="E1195" t="inlineStr">
        <is>
          <t>FALUN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4012-2026</t>
        </is>
      </c>
      <c r="B1196" s="1" t="n">
        <v>46044</v>
      </c>
      <c r="C1196" s="1" t="n">
        <v>46197</v>
      </c>
      <c r="D1196" t="inlineStr">
        <is>
          <t>DALARNAS LÄN</t>
        </is>
      </c>
      <c r="E1196" t="inlineStr">
        <is>
          <t>FALUN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425-2026</t>
        </is>
      </c>
      <c r="B1197" s="1" t="n">
        <v>46029</v>
      </c>
      <c r="C1197" s="1" t="n">
        <v>46197</v>
      </c>
      <c r="D1197" t="inlineStr">
        <is>
          <t>DALARNAS LÄN</t>
        </is>
      </c>
      <c r="E1197" t="inlineStr">
        <is>
          <t>FALUN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283-2026</t>
        </is>
      </c>
      <c r="B1198" s="1" t="n">
        <v>46027</v>
      </c>
      <c r="C1198" s="1" t="n">
        <v>46197</v>
      </c>
      <c r="D1198" t="inlineStr">
        <is>
          <t>DALARNAS LÄN</t>
        </is>
      </c>
      <c r="E1198" t="inlineStr">
        <is>
          <t>FALUN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297-2026</t>
        </is>
      </c>
      <c r="B1199" s="1" t="n">
        <v>46027</v>
      </c>
      <c r="C1199" s="1" t="n">
        <v>46197</v>
      </c>
      <c r="D1199" t="inlineStr">
        <is>
          <t>DALARNAS LÄN</t>
        </is>
      </c>
      <c r="E1199" t="inlineStr">
        <is>
          <t>FALUN</t>
        </is>
      </c>
      <c r="G1199" t="n">
        <v>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478-2026</t>
        </is>
      </c>
      <c r="B1200" s="1" t="n">
        <v>46024</v>
      </c>
      <c r="C1200" s="1" t="n">
        <v>46197</v>
      </c>
      <c r="D1200" t="inlineStr">
        <is>
          <t>DALARNAS LÄN</t>
        </is>
      </c>
      <c r="E1200" t="inlineStr">
        <is>
          <t>FALUN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1435-2026</t>
        </is>
      </c>
      <c r="B1201" s="1" t="n">
        <v>46032</v>
      </c>
      <c r="C1201" s="1" t="n">
        <v>46197</v>
      </c>
      <c r="D1201" t="inlineStr">
        <is>
          <t>DALARNAS LÄN</t>
        </is>
      </c>
      <c r="E1201" t="inlineStr">
        <is>
          <t>FALUN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11681-2026</t>
        </is>
      </c>
      <c r="B1202" s="1" t="n">
        <v>46084</v>
      </c>
      <c r="C1202" s="1" t="n">
        <v>46197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7454-2026</t>
        </is>
      </c>
      <c r="B1203" s="1" t="n">
        <v>46058</v>
      </c>
      <c r="C1203" s="1" t="n">
        <v>46197</v>
      </c>
      <c r="D1203" t="inlineStr">
        <is>
          <t>DALARNAS LÄN</t>
        </is>
      </c>
      <c r="E1203" t="inlineStr">
        <is>
          <t>FALUN</t>
        </is>
      </c>
      <c r="F1203" t="inlineStr">
        <is>
          <t>Allmännings- och besparingsskogar</t>
        </is>
      </c>
      <c r="G1203" t="n">
        <v>9.6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20196-2026</t>
        </is>
      </c>
      <c r="B1204" s="1" t="n">
        <v>46139</v>
      </c>
      <c r="C1204" s="1" t="n">
        <v>46197</v>
      </c>
      <c r="D1204" t="inlineStr">
        <is>
          <t>DALARNAS LÄN</t>
        </is>
      </c>
      <c r="E1204" t="inlineStr">
        <is>
          <t>FALUN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14484-2024</t>
        </is>
      </c>
      <c r="B1205" s="1" t="n">
        <v>45394</v>
      </c>
      <c r="C1205" s="1" t="n">
        <v>46197</v>
      </c>
      <c r="D1205" t="inlineStr">
        <is>
          <t>DALARNAS LÄN</t>
        </is>
      </c>
      <c r="E1205" t="inlineStr">
        <is>
          <t>FALUN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20830-2026</t>
        </is>
      </c>
      <c r="B1206" s="1" t="n">
        <v>46142</v>
      </c>
      <c r="C1206" s="1" t="n">
        <v>46197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20890-2026</t>
        </is>
      </c>
      <c r="B1207" s="1" t="n">
        <v>46142</v>
      </c>
      <c r="C1207" s="1" t="n">
        <v>46197</v>
      </c>
      <c r="D1207" t="inlineStr">
        <is>
          <t>DALARNAS LÄN</t>
        </is>
      </c>
      <c r="E1207" t="inlineStr">
        <is>
          <t>FALUN</t>
        </is>
      </c>
      <c r="G1207" t="n">
        <v>15.7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20936-2026</t>
        </is>
      </c>
      <c r="B1208" s="1" t="n">
        <v>46142</v>
      </c>
      <c r="C1208" s="1" t="n">
        <v>46197</v>
      </c>
      <c r="D1208" t="inlineStr">
        <is>
          <t>DALARNAS LÄN</t>
        </is>
      </c>
      <c r="E1208" t="inlineStr">
        <is>
          <t>FALUN</t>
        </is>
      </c>
      <c r="G1208" t="n">
        <v>45.9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1088-2024</t>
        </is>
      </c>
      <c r="B1209" s="1" t="n">
        <v>45302</v>
      </c>
      <c r="C1209" s="1" t="n">
        <v>46197</v>
      </c>
      <c r="D1209" t="inlineStr">
        <is>
          <t>DALARNAS LÄN</t>
        </is>
      </c>
      <c r="E1209" t="inlineStr">
        <is>
          <t>FALUN</t>
        </is>
      </c>
      <c r="G1209" t="n">
        <v>9.699999999999999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64077-2025</t>
        </is>
      </c>
      <c r="B1210" s="1" t="n">
        <v>46021</v>
      </c>
      <c r="C1210" s="1" t="n">
        <v>46197</v>
      </c>
      <c r="D1210" t="inlineStr">
        <is>
          <t>DALARNAS LÄN</t>
        </is>
      </c>
      <c r="E1210" t="inlineStr">
        <is>
          <t>FALUN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5871-2026</t>
        </is>
      </c>
      <c r="B1211" s="1" t="n">
        <v>46052</v>
      </c>
      <c r="C1211" s="1" t="n">
        <v>46197</v>
      </c>
      <c r="D1211" t="inlineStr">
        <is>
          <t>DALARNAS LÄN</t>
        </is>
      </c>
      <c r="E1211" t="inlineStr">
        <is>
          <t>FALUN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15085-2025</t>
        </is>
      </c>
      <c r="B1212" s="1" t="n">
        <v>45744</v>
      </c>
      <c r="C1212" s="1" t="n">
        <v>46197</v>
      </c>
      <c r="D1212" t="inlineStr">
        <is>
          <t>DALARNAS LÄN</t>
        </is>
      </c>
      <c r="E1212" t="inlineStr">
        <is>
          <t>FALUN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8590-2026</t>
        </is>
      </c>
      <c r="B1213" s="1" t="n">
        <v>46065</v>
      </c>
      <c r="C1213" s="1" t="n">
        <v>46197</v>
      </c>
      <c r="D1213" t="inlineStr">
        <is>
          <t>DALARNAS LÄN</t>
        </is>
      </c>
      <c r="E1213" t="inlineStr">
        <is>
          <t>FALUN</t>
        </is>
      </c>
      <c r="G1213" t="n">
        <v>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13232-2026</t>
        </is>
      </c>
      <c r="B1214" s="1" t="n">
        <v>46093</v>
      </c>
      <c r="C1214" s="1" t="n">
        <v>46197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20765-2026</t>
        </is>
      </c>
      <c r="B1215" s="1" t="n">
        <v>46141</v>
      </c>
      <c r="C1215" s="1" t="n">
        <v>46197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5229-2026</t>
        </is>
      </c>
      <c r="B1216" s="1" t="n">
        <v>46049</v>
      </c>
      <c r="C1216" s="1" t="n">
        <v>46197</v>
      </c>
      <c r="D1216" t="inlineStr">
        <is>
          <t>DALARNAS LÄN</t>
        </is>
      </c>
      <c r="E1216" t="inlineStr">
        <is>
          <t>FALUN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1627-2026</t>
        </is>
      </c>
      <c r="B1217" s="1" t="n">
        <v>46034</v>
      </c>
      <c r="C1217" s="1" t="n">
        <v>46197</v>
      </c>
      <c r="D1217" t="inlineStr">
        <is>
          <t>DALARNAS LÄN</t>
        </is>
      </c>
      <c r="E1217" t="inlineStr">
        <is>
          <t>FALUN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10717-2026</t>
        </is>
      </c>
      <c r="B1218" s="1" t="n">
        <v>46078</v>
      </c>
      <c r="C1218" s="1" t="n">
        <v>46197</v>
      </c>
      <c r="D1218" t="inlineStr">
        <is>
          <t>DALARNAS LÄN</t>
        </is>
      </c>
      <c r="E1218" t="inlineStr">
        <is>
          <t>FALUN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5501-2026</t>
        </is>
      </c>
      <c r="B1219" s="1" t="n">
        <v>46050</v>
      </c>
      <c r="C1219" s="1" t="n">
        <v>46197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20633-2026</t>
        </is>
      </c>
      <c r="B1220" s="1" t="n">
        <v>46141</v>
      </c>
      <c r="C1220" s="1" t="n">
        <v>46197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20775-2026</t>
        </is>
      </c>
      <c r="B1221" s="1" t="n">
        <v>46141</v>
      </c>
      <c r="C1221" s="1" t="n">
        <v>46197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18666-2026</t>
        </is>
      </c>
      <c r="B1222" s="1" t="n">
        <v>46128</v>
      </c>
      <c r="C1222" s="1" t="n">
        <v>46197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26546-2026</t>
        </is>
      </c>
      <c r="B1223" s="1" t="n">
        <v>46183</v>
      </c>
      <c r="C1223" s="1" t="n">
        <v>46197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17313-2026</t>
        </is>
      </c>
      <c r="B1224" s="1" t="n">
        <v>46119</v>
      </c>
      <c r="C1224" s="1" t="n">
        <v>46197</v>
      </c>
      <c r="D1224" t="inlineStr">
        <is>
          <t>DALARNAS LÄN</t>
        </is>
      </c>
      <c r="E1224" t="inlineStr">
        <is>
          <t>FALUN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12740-2026</t>
        </is>
      </c>
      <c r="B1225" s="1" t="n">
        <v>46091</v>
      </c>
      <c r="C1225" s="1" t="n">
        <v>46197</v>
      </c>
      <c r="D1225" t="inlineStr">
        <is>
          <t>DALARNAS LÄN</t>
        </is>
      </c>
      <c r="E1225" t="inlineStr">
        <is>
          <t>FALUN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5762-2026</t>
        </is>
      </c>
      <c r="B1226" s="1" t="n">
        <v>46051</v>
      </c>
      <c r="C1226" s="1" t="n">
        <v>46197</v>
      </c>
      <c r="D1226" t="inlineStr">
        <is>
          <t>DALARNAS LÄN</t>
        </is>
      </c>
      <c r="E1226" t="inlineStr">
        <is>
          <t>FALUN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15330-2026</t>
        </is>
      </c>
      <c r="B1227" s="1" t="n">
        <v>46105</v>
      </c>
      <c r="C1227" s="1" t="n">
        <v>46197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6667-2026</t>
        </is>
      </c>
      <c r="B1228" s="1" t="n">
        <v>46056</v>
      </c>
      <c r="C1228" s="1" t="n">
        <v>46197</v>
      </c>
      <c r="D1228" t="inlineStr">
        <is>
          <t>DALARNAS LÄN</t>
        </is>
      </c>
      <c r="E1228" t="inlineStr">
        <is>
          <t>FALUN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10462-2026</t>
        </is>
      </c>
      <c r="B1229" s="1" t="n">
        <v>46077</v>
      </c>
      <c r="C1229" s="1" t="n">
        <v>46197</v>
      </c>
      <c r="D1229" t="inlineStr">
        <is>
          <t>DALARNAS LÄN</t>
        </is>
      </c>
      <c r="E1229" t="inlineStr">
        <is>
          <t>FALUN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331-2026</t>
        </is>
      </c>
      <c r="B1230" s="1" t="n">
        <v>46027</v>
      </c>
      <c r="C1230" s="1" t="n">
        <v>46197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3100-2026</t>
        </is>
      </c>
      <c r="B1231" s="1" t="n">
        <v>46041</v>
      </c>
      <c r="C1231" s="1" t="n">
        <v>46197</v>
      </c>
      <c r="D1231" t="inlineStr">
        <is>
          <t>DALARNAS LÄN</t>
        </is>
      </c>
      <c r="E1231" t="inlineStr">
        <is>
          <t>FALUN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1628-2026</t>
        </is>
      </c>
      <c r="B1232" s="1" t="n">
        <v>46034</v>
      </c>
      <c r="C1232" s="1" t="n">
        <v>46197</v>
      </c>
      <c r="D1232" t="inlineStr">
        <is>
          <t>DALARNAS LÄN</t>
        </is>
      </c>
      <c r="E1232" t="inlineStr">
        <is>
          <t>FALUN</t>
        </is>
      </c>
      <c r="G1232" t="n">
        <v>11.6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22565-2026</t>
        </is>
      </c>
      <c r="B1233" s="1" t="n">
        <v>46155</v>
      </c>
      <c r="C1233" s="1" t="n">
        <v>46197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20831-2026</t>
        </is>
      </c>
      <c r="B1234" s="1" t="n">
        <v>46142</v>
      </c>
      <c r="C1234" s="1" t="n">
        <v>46197</v>
      </c>
      <c r="D1234" t="inlineStr">
        <is>
          <t>DALARNAS LÄN</t>
        </is>
      </c>
      <c r="E1234" t="inlineStr">
        <is>
          <t>FALUN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2557-2026</t>
        </is>
      </c>
      <c r="B1235" s="1" t="n">
        <v>46037</v>
      </c>
      <c r="C1235" s="1" t="n">
        <v>46197</v>
      </c>
      <c r="D1235" t="inlineStr">
        <is>
          <t>DALARNAS LÄN</t>
        </is>
      </c>
      <c r="E1235" t="inlineStr">
        <is>
          <t>FALUN</t>
        </is>
      </c>
      <c r="G1235" t="n">
        <v>17.4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2588-2026</t>
        </is>
      </c>
      <c r="B1236" s="1" t="n">
        <v>46037</v>
      </c>
      <c r="C1236" s="1" t="n">
        <v>46197</v>
      </c>
      <c r="D1236" t="inlineStr">
        <is>
          <t>DALARNAS LÄN</t>
        </is>
      </c>
      <c r="E1236" t="inlineStr">
        <is>
          <t>FALUN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2288-2026</t>
        </is>
      </c>
      <c r="B1237" s="1" t="n">
        <v>46036</v>
      </c>
      <c r="C1237" s="1" t="n">
        <v>46197</v>
      </c>
      <c r="D1237" t="inlineStr">
        <is>
          <t>DALARNAS LÄN</t>
        </is>
      </c>
      <c r="E1237" t="inlineStr">
        <is>
          <t>FALUN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1839-2025</t>
        </is>
      </c>
      <c r="B1238" s="1" t="n">
        <v>45671</v>
      </c>
      <c r="C1238" s="1" t="n">
        <v>46197</v>
      </c>
      <c r="D1238" t="inlineStr">
        <is>
          <t>DALARNAS LÄN</t>
        </is>
      </c>
      <c r="E1238" t="inlineStr">
        <is>
          <t>FALUN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15672-2026</t>
        </is>
      </c>
      <c r="B1239" s="1" t="n">
        <v>46106</v>
      </c>
      <c r="C1239" s="1" t="n">
        <v>46197</v>
      </c>
      <c r="D1239" t="inlineStr">
        <is>
          <t>DALARNAS LÄN</t>
        </is>
      </c>
      <c r="E1239" t="inlineStr">
        <is>
          <t>FALUN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20960-2026</t>
        </is>
      </c>
      <c r="B1240" s="1" t="n">
        <v>46142</v>
      </c>
      <c r="C1240" s="1" t="n">
        <v>46197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20961-2026</t>
        </is>
      </c>
      <c r="B1241" s="1" t="n">
        <v>46142</v>
      </c>
      <c r="C1241" s="1" t="n">
        <v>46197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26380-2026</t>
        </is>
      </c>
      <c r="B1242" s="1" t="n">
        <v>46183</v>
      </c>
      <c r="C1242" s="1" t="n">
        <v>46197</v>
      </c>
      <c r="D1242" t="inlineStr">
        <is>
          <t>DALARNAS LÄN</t>
        </is>
      </c>
      <c r="E1242" t="inlineStr">
        <is>
          <t>FALUN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35981-2022</t>
        </is>
      </c>
      <c r="B1243" s="1" t="n">
        <v>44802</v>
      </c>
      <c r="C1243" s="1" t="n">
        <v>46197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20223-2026</t>
        </is>
      </c>
      <c r="B1244" s="1" t="n">
        <v>46139</v>
      </c>
      <c r="C1244" s="1" t="n">
        <v>46197</v>
      </c>
      <c r="D1244" t="inlineStr">
        <is>
          <t>DALARNAS LÄN</t>
        </is>
      </c>
      <c r="E1244" t="inlineStr">
        <is>
          <t>FALUN</t>
        </is>
      </c>
      <c r="G1244" t="n">
        <v>58.1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18708-2026</t>
        </is>
      </c>
      <c r="B1245" s="1" t="n">
        <v>46128</v>
      </c>
      <c r="C1245" s="1" t="n">
        <v>46197</v>
      </c>
      <c r="D1245" t="inlineStr">
        <is>
          <t>DALARNAS LÄN</t>
        </is>
      </c>
      <c r="E1245" t="inlineStr">
        <is>
          <t>FALUN</t>
        </is>
      </c>
      <c r="G1245" t="n">
        <v>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12232-2026</t>
        </is>
      </c>
      <c r="B1246" s="1" t="n">
        <v>46087</v>
      </c>
      <c r="C1246" s="1" t="n">
        <v>46197</v>
      </c>
      <c r="D1246" t="inlineStr">
        <is>
          <t>DALARNAS LÄN</t>
        </is>
      </c>
      <c r="E1246" t="inlineStr">
        <is>
          <t>FALUN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15059-2026</t>
        </is>
      </c>
      <c r="B1247" s="1" t="n">
        <v>46104</v>
      </c>
      <c r="C1247" s="1" t="n">
        <v>46197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15535-2023</t>
        </is>
      </c>
      <c r="B1248" s="1" t="n">
        <v>45020</v>
      </c>
      <c r="C1248" s="1" t="n">
        <v>46197</v>
      </c>
      <c r="D1248" t="inlineStr">
        <is>
          <t>DALARNAS LÄN</t>
        </is>
      </c>
      <c r="E1248" t="inlineStr">
        <is>
          <t>FALUN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20889-2026</t>
        </is>
      </c>
      <c r="B1249" s="1" t="n">
        <v>46142</v>
      </c>
      <c r="C1249" s="1" t="n">
        <v>46197</v>
      </c>
      <c r="D1249" t="inlineStr">
        <is>
          <t>DALARNAS LÄN</t>
        </is>
      </c>
      <c r="E1249" t="inlineStr">
        <is>
          <t>FALUN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20891-2026</t>
        </is>
      </c>
      <c r="B1250" s="1" t="n">
        <v>46142</v>
      </c>
      <c r="C1250" s="1" t="n">
        <v>46197</v>
      </c>
      <c r="D1250" t="inlineStr">
        <is>
          <t>DALARNAS LÄN</t>
        </is>
      </c>
      <c r="E1250" t="inlineStr">
        <is>
          <t>FALUN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24131-2022</t>
        </is>
      </c>
      <c r="B1251" s="1" t="n">
        <v>44725</v>
      </c>
      <c r="C1251" s="1" t="n">
        <v>46197</v>
      </c>
      <c r="D1251" t="inlineStr">
        <is>
          <t>DALARNAS LÄN</t>
        </is>
      </c>
      <c r="E1251" t="inlineStr">
        <is>
          <t>FALUN</t>
        </is>
      </c>
      <c r="F1251" t="inlineStr">
        <is>
          <t>Kyrkan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64103-2025</t>
        </is>
      </c>
      <c r="B1252" s="1" t="n">
        <v>46021</v>
      </c>
      <c r="C1252" s="1" t="n">
        <v>46197</v>
      </c>
      <c r="D1252" t="inlineStr">
        <is>
          <t>DALARNAS LÄN</t>
        </is>
      </c>
      <c r="E1252" t="inlineStr">
        <is>
          <t>FALUN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4739-2026</t>
        </is>
      </c>
      <c r="B1253" s="1" t="n">
        <v>46048</v>
      </c>
      <c r="C1253" s="1" t="n">
        <v>46197</v>
      </c>
      <c r="D1253" t="inlineStr">
        <is>
          <t>DALARNAS LÄN</t>
        </is>
      </c>
      <c r="E1253" t="inlineStr">
        <is>
          <t>FALUN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5546-2026</t>
        </is>
      </c>
      <c r="B1254" s="1" t="n">
        <v>46050</v>
      </c>
      <c r="C1254" s="1" t="n">
        <v>46197</v>
      </c>
      <c r="D1254" t="inlineStr">
        <is>
          <t>DALARNAS LÄN</t>
        </is>
      </c>
      <c r="E1254" t="inlineStr">
        <is>
          <t>FALUN</t>
        </is>
      </c>
      <c r="G1254" t="n">
        <v>7.7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4020-2026</t>
        </is>
      </c>
      <c r="B1255" s="1" t="n">
        <v>46044</v>
      </c>
      <c r="C1255" s="1" t="n">
        <v>46197</v>
      </c>
      <c r="D1255" t="inlineStr">
        <is>
          <t>DALARNAS LÄN</t>
        </is>
      </c>
      <c r="E1255" t="inlineStr">
        <is>
          <t>FALUN</t>
        </is>
      </c>
      <c r="F1255" t="inlineStr">
        <is>
          <t>Kyrkan</t>
        </is>
      </c>
      <c r="G1255" t="n">
        <v>21.5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6541-2026</t>
        </is>
      </c>
      <c r="B1256" s="1" t="n">
        <v>46056</v>
      </c>
      <c r="C1256" s="1" t="n">
        <v>46197</v>
      </c>
      <c r="D1256" t="inlineStr">
        <is>
          <t>DALARNAS LÄN</t>
        </is>
      </c>
      <c r="E1256" t="inlineStr">
        <is>
          <t>FALUN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15147-2026</t>
        </is>
      </c>
      <c r="B1257" s="1" t="n">
        <v>46104</v>
      </c>
      <c r="C1257" s="1" t="n">
        <v>46197</v>
      </c>
      <c r="D1257" t="inlineStr">
        <is>
          <t>DALARNAS LÄN</t>
        </is>
      </c>
      <c r="E1257" t="inlineStr">
        <is>
          <t>FALUN</t>
        </is>
      </c>
      <c r="F1257" t="inlineStr">
        <is>
          <t>Allmännings- och besparingsskogar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4932-2026</t>
        </is>
      </c>
      <c r="B1258" s="1" t="n">
        <v>46045</v>
      </c>
      <c r="C1258" s="1" t="n">
        <v>46197</v>
      </c>
      <c r="D1258" t="inlineStr">
        <is>
          <t>DALARNAS LÄN</t>
        </is>
      </c>
      <c r="E1258" t="inlineStr">
        <is>
          <t>FALUN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7754-2024</t>
        </is>
      </c>
      <c r="B1259" s="1" t="n">
        <v>45349</v>
      </c>
      <c r="C1259" s="1" t="n">
        <v>46197</v>
      </c>
      <c r="D1259" t="inlineStr">
        <is>
          <t>DALARNAS LÄN</t>
        </is>
      </c>
      <c r="E1259" t="inlineStr">
        <is>
          <t>FALUN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51233-2023</t>
        </is>
      </c>
      <c r="B1260" s="1" t="n">
        <v>45219</v>
      </c>
      <c r="C1260" s="1" t="n">
        <v>46197</v>
      </c>
      <c r="D1260" t="inlineStr">
        <is>
          <t>DALARNAS LÄN</t>
        </is>
      </c>
      <c r="E1260" t="inlineStr">
        <is>
          <t>FALUN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6889-2026</t>
        </is>
      </c>
      <c r="B1261" s="1" t="n">
        <v>46057</v>
      </c>
      <c r="C1261" s="1" t="n">
        <v>46197</v>
      </c>
      <c r="D1261" t="inlineStr">
        <is>
          <t>DALARNAS LÄN</t>
        </is>
      </c>
      <c r="E1261" t="inlineStr">
        <is>
          <t>FALUN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3589-2026</t>
        </is>
      </c>
      <c r="B1262" s="1" t="n">
        <v>46042</v>
      </c>
      <c r="C1262" s="1" t="n">
        <v>46197</v>
      </c>
      <c r="D1262" t="inlineStr">
        <is>
          <t>DALARNAS LÄN</t>
        </is>
      </c>
      <c r="E1262" t="inlineStr">
        <is>
          <t>FALUN</t>
        </is>
      </c>
      <c r="G1262" t="n">
        <v>8.6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6794-2026</t>
        </is>
      </c>
      <c r="B1263" s="1" t="n">
        <v>46057</v>
      </c>
      <c r="C1263" s="1" t="n">
        <v>46197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23271-2026</t>
        </is>
      </c>
      <c r="B1264" s="1" t="n">
        <v>46162</v>
      </c>
      <c r="C1264" s="1" t="n">
        <v>46197</v>
      </c>
      <c r="D1264" t="inlineStr">
        <is>
          <t>DALARNAS LÄN</t>
        </is>
      </c>
      <c r="E1264" t="inlineStr">
        <is>
          <t>FALUN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2611-2026</t>
        </is>
      </c>
      <c r="B1265" s="1" t="n">
        <v>46037</v>
      </c>
      <c r="C1265" s="1" t="n">
        <v>46197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15100-2026</t>
        </is>
      </c>
      <c r="B1266" s="1" t="n">
        <v>46105</v>
      </c>
      <c r="C1266" s="1" t="n">
        <v>46197</v>
      </c>
      <c r="D1266" t="inlineStr">
        <is>
          <t>DALARNAS LÄN</t>
        </is>
      </c>
      <c r="E1266" t="inlineStr">
        <is>
          <t>FALUN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20215-2026</t>
        </is>
      </c>
      <c r="B1267" s="1" t="n">
        <v>46139</v>
      </c>
      <c r="C1267" s="1" t="n">
        <v>46197</v>
      </c>
      <c r="D1267" t="inlineStr">
        <is>
          <t>DALARNAS LÄN</t>
        </is>
      </c>
      <c r="E1267" t="inlineStr">
        <is>
          <t>FALUN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9037-2026</t>
        </is>
      </c>
      <c r="B1268" s="1" t="n">
        <v>46069</v>
      </c>
      <c r="C1268" s="1" t="n">
        <v>46197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27.8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2367-2026</t>
        </is>
      </c>
      <c r="B1269" s="1" t="n">
        <v>46036</v>
      </c>
      <c r="C1269" s="1" t="n">
        <v>46197</v>
      </c>
      <c r="D1269" t="inlineStr">
        <is>
          <t>DALARNAS LÄN</t>
        </is>
      </c>
      <c r="E1269" t="inlineStr">
        <is>
          <t>FALUN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9131-2026</t>
        </is>
      </c>
      <c r="B1270" s="1" t="n">
        <v>46069</v>
      </c>
      <c r="C1270" s="1" t="n">
        <v>46197</v>
      </c>
      <c r="D1270" t="inlineStr">
        <is>
          <t>DALARNAS LÄN</t>
        </is>
      </c>
      <c r="E1270" t="inlineStr">
        <is>
          <t>FALUN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1509-2024</t>
        </is>
      </c>
      <c r="B1271" s="1" t="n">
        <v>45306</v>
      </c>
      <c r="C1271" s="1" t="n">
        <v>46197</v>
      </c>
      <c r="D1271" t="inlineStr">
        <is>
          <t>DALARNAS LÄN</t>
        </is>
      </c>
      <c r="E1271" t="inlineStr">
        <is>
          <t>FALUN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2463-2024</t>
        </is>
      </c>
      <c r="B1272" s="1" t="n">
        <v>45313</v>
      </c>
      <c r="C1272" s="1" t="n">
        <v>46197</v>
      </c>
      <c r="D1272" t="inlineStr">
        <is>
          <t>DALARNAS LÄN</t>
        </is>
      </c>
      <c r="E1272" t="inlineStr">
        <is>
          <t>FALUN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18251-2026</t>
        </is>
      </c>
      <c r="B1273" s="1" t="n">
        <v>46126</v>
      </c>
      <c r="C1273" s="1" t="n">
        <v>46197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2936-2026</t>
        </is>
      </c>
      <c r="B1274" s="1" t="n">
        <v>46037</v>
      </c>
      <c r="C1274" s="1" t="n">
        <v>46197</v>
      </c>
      <c r="D1274" t="inlineStr">
        <is>
          <t>DALARNAS LÄN</t>
        </is>
      </c>
      <c r="E1274" t="inlineStr">
        <is>
          <t>FALUN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4508-2026</t>
        </is>
      </c>
      <c r="B1275" s="1" t="n">
        <v>46045</v>
      </c>
      <c r="C1275" s="1" t="n">
        <v>46197</v>
      </c>
      <c r="D1275" t="inlineStr">
        <is>
          <t>DALARNAS LÄN</t>
        </is>
      </c>
      <c r="E1275" t="inlineStr">
        <is>
          <t>FALUN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4904-2026</t>
        </is>
      </c>
      <c r="B1276" s="1" t="n">
        <v>46048</v>
      </c>
      <c r="C1276" s="1" t="n">
        <v>46197</v>
      </c>
      <c r="D1276" t="inlineStr">
        <is>
          <t>DALARNAS LÄN</t>
        </is>
      </c>
      <c r="E1276" t="inlineStr">
        <is>
          <t>FALUN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20657-2026</t>
        </is>
      </c>
      <c r="B1277" s="1" t="n">
        <v>46141</v>
      </c>
      <c r="C1277" s="1" t="n">
        <v>46197</v>
      </c>
      <c r="D1277" t="inlineStr">
        <is>
          <t>DALARNAS LÄN</t>
        </is>
      </c>
      <c r="E1277" t="inlineStr">
        <is>
          <t>FALUN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20873-2026</t>
        </is>
      </c>
      <c r="B1278" s="1" t="n">
        <v>46142</v>
      </c>
      <c r="C1278" s="1" t="n">
        <v>46197</v>
      </c>
      <c r="D1278" t="inlineStr">
        <is>
          <t>DALARNAS LÄN</t>
        </is>
      </c>
      <c r="E1278" t="inlineStr">
        <is>
          <t>FALUN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39187-2025</t>
        </is>
      </c>
      <c r="B1279" s="1" t="n">
        <v>45888</v>
      </c>
      <c r="C1279" s="1" t="n">
        <v>46197</v>
      </c>
      <c r="D1279" t="inlineStr">
        <is>
          <t>DALARNAS LÄN</t>
        </is>
      </c>
      <c r="E1279" t="inlineStr">
        <is>
          <t>FALUN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27265-2026</t>
        </is>
      </c>
      <c r="B1280" s="1" t="n">
        <v>46188</v>
      </c>
      <c r="C1280" s="1" t="n">
        <v>46197</v>
      </c>
      <c r="D1280" t="inlineStr">
        <is>
          <t>DALARNAS LÄN</t>
        </is>
      </c>
      <c r="E1280" t="inlineStr">
        <is>
          <t>FALUN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21041-2026</t>
        </is>
      </c>
      <c r="B1281" s="1" t="n">
        <v>46146</v>
      </c>
      <c r="C1281" s="1" t="n">
        <v>46197</v>
      </c>
      <c r="D1281" t="inlineStr">
        <is>
          <t>DALARNAS LÄN</t>
        </is>
      </c>
      <c r="E1281" t="inlineStr">
        <is>
          <t>FALUN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29844-2022</t>
        </is>
      </c>
      <c r="B1282" s="1" t="n">
        <v>44755</v>
      </c>
      <c r="C1282" s="1" t="n">
        <v>46197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21103-2026</t>
        </is>
      </c>
      <c r="B1283" s="1" t="n">
        <v>46146</v>
      </c>
      <c r="C1283" s="1" t="n">
        <v>46197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21107-2026</t>
        </is>
      </c>
      <c r="B1284" s="1" t="n">
        <v>46146</v>
      </c>
      <c r="C1284" s="1" t="n">
        <v>46197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57.6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29850-2022</t>
        </is>
      </c>
      <c r="B1285" s="1" t="n">
        <v>44755</v>
      </c>
      <c r="C1285" s="1" t="n">
        <v>46197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21116-2026</t>
        </is>
      </c>
      <c r="B1286" s="1" t="n">
        <v>46146</v>
      </c>
      <c r="C1286" s="1" t="n">
        <v>46197</v>
      </c>
      <c r="D1286" t="inlineStr">
        <is>
          <t>DALARNAS LÄN</t>
        </is>
      </c>
      <c r="E1286" t="inlineStr">
        <is>
          <t>FALUN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52856-2023</t>
        </is>
      </c>
      <c r="B1287" s="1" t="n">
        <v>45226</v>
      </c>
      <c r="C1287" s="1" t="n">
        <v>46197</v>
      </c>
      <c r="D1287" t="inlineStr">
        <is>
          <t>DALARNAS LÄN</t>
        </is>
      </c>
      <c r="E1287" t="inlineStr">
        <is>
          <t>FALUN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21121-2026</t>
        </is>
      </c>
      <c r="B1288" s="1" t="n">
        <v>46146</v>
      </c>
      <c r="C1288" s="1" t="n">
        <v>46197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21124-2026</t>
        </is>
      </c>
      <c r="B1289" s="1" t="n">
        <v>46146</v>
      </c>
      <c r="C1289" s="1" t="n">
        <v>46197</v>
      </c>
      <c r="D1289" t="inlineStr">
        <is>
          <t>DALARNAS LÄN</t>
        </is>
      </c>
      <c r="E1289" t="inlineStr">
        <is>
          <t>FALUN</t>
        </is>
      </c>
      <c r="G1289" t="n">
        <v>11.6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21127-2026</t>
        </is>
      </c>
      <c r="B1290" s="1" t="n">
        <v>46146</v>
      </c>
      <c r="C1290" s="1" t="n">
        <v>46197</v>
      </c>
      <c r="D1290" t="inlineStr">
        <is>
          <t>DALARNAS LÄN</t>
        </is>
      </c>
      <c r="E1290" t="inlineStr">
        <is>
          <t>FALUN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19783-2026</t>
        </is>
      </c>
      <c r="B1291" s="1" t="n">
        <v>46135</v>
      </c>
      <c r="C1291" s="1" t="n">
        <v>46197</v>
      </c>
      <c r="D1291" t="inlineStr">
        <is>
          <t>DALARNAS LÄN</t>
        </is>
      </c>
      <c r="E1291" t="inlineStr">
        <is>
          <t>FALUN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26968-2026</t>
        </is>
      </c>
      <c r="B1292" s="1" t="n">
        <v>46185</v>
      </c>
      <c r="C1292" s="1" t="n">
        <v>46197</v>
      </c>
      <c r="D1292" t="inlineStr">
        <is>
          <t>DALARNAS LÄN</t>
        </is>
      </c>
      <c r="E1292" t="inlineStr">
        <is>
          <t>FALUN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4980-2026</t>
        </is>
      </c>
      <c r="B1293" s="1" t="n">
        <v>46049</v>
      </c>
      <c r="C1293" s="1" t="n">
        <v>46197</v>
      </c>
      <c r="D1293" t="inlineStr">
        <is>
          <t>DALARNAS LÄN</t>
        </is>
      </c>
      <c r="E1293" t="inlineStr">
        <is>
          <t>FALUN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21155-2026</t>
        </is>
      </c>
      <c r="B1294" s="1" t="n">
        <v>46146</v>
      </c>
      <c r="C1294" s="1" t="n">
        <v>46197</v>
      </c>
      <c r="D1294" t="inlineStr">
        <is>
          <t>DALARNAS LÄN</t>
        </is>
      </c>
      <c r="E1294" t="inlineStr">
        <is>
          <t>FALUN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21174-2026</t>
        </is>
      </c>
      <c r="B1295" s="1" t="n">
        <v>46146</v>
      </c>
      <c r="C1295" s="1" t="n">
        <v>46197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63383-2023</t>
        </is>
      </c>
      <c r="B1296" s="1" t="n">
        <v>45274</v>
      </c>
      <c r="C1296" s="1" t="n">
        <v>46197</v>
      </c>
      <c r="D1296" t="inlineStr">
        <is>
          <t>DALARNAS LÄN</t>
        </is>
      </c>
      <c r="E1296" t="inlineStr">
        <is>
          <t>FALUN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21076-2026</t>
        </is>
      </c>
      <c r="B1297" s="1" t="n">
        <v>46146</v>
      </c>
      <c r="C1297" s="1" t="n">
        <v>46197</v>
      </c>
      <c r="D1297" t="inlineStr">
        <is>
          <t>DALARNAS LÄN</t>
        </is>
      </c>
      <c r="E1297" t="inlineStr">
        <is>
          <t>FALUN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27163-2026</t>
        </is>
      </c>
      <c r="B1298" s="1" t="n">
        <v>46188</v>
      </c>
      <c r="C1298" s="1" t="n">
        <v>46197</v>
      </c>
      <c r="D1298" t="inlineStr">
        <is>
          <t>DALARNAS LÄN</t>
        </is>
      </c>
      <c r="E1298" t="inlineStr">
        <is>
          <t>FALUN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29508-2024</t>
        </is>
      </c>
      <c r="B1299" s="1" t="n">
        <v>45484</v>
      </c>
      <c r="C1299" s="1" t="n">
        <v>46197</v>
      </c>
      <c r="D1299" t="inlineStr">
        <is>
          <t>DALARNAS LÄN</t>
        </is>
      </c>
      <c r="E1299" t="inlineStr">
        <is>
          <t>FALUN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4-2026</t>
        </is>
      </c>
      <c r="B1300" s="1" t="n">
        <v>46023</v>
      </c>
      <c r="C1300" s="1" t="n">
        <v>46197</v>
      </c>
      <c r="D1300" t="inlineStr">
        <is>
          <t>DALARNAS LÄN</t>
        </is>
      </c>
      <c r="E1300" t="inlineStr">
        <is>
          <t>FALUN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26965-2026</t>
        </is>
      </c>
      <c r="B1301" s="1" t="n">
        <v>46185</v>
      </c>
      <c r="C1301" s="1" t="n">
        <v>46197</v>
      </c>
      <c r="D1301" t="inlineStr">
        <is>
          <t>DALARNAS LÄN</t>
        </is>
      </c>
      <c r="E1301" t="inlineStr">
        <is>
          <t>FALUN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21077-2026</t>
        </is>
      </c>
      <c r="B1302" s="1" t="n">
        <v>46146</v>
      </c>
      <c r="C1302" s="1" t="n">
        <v>46197</v>
      </c>
      <c r="D1302" t="inlineStr">
        <is>
          <t>DALARNAS LÄN</t>
        </is>
      </c>
      <c r="E1302" t="inlineStr">
        <is>
          <t>FALUN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21083-2026</t>
        </is>
      </c>
      <c r="B1303" s="1" t="n">
        <v>46146</v>
      </c>
      <c r="C1303" s="1" t="n">
        <v>46197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21110-2026</t>
        </is>
      </c>
      <c r="B1304" s="1" t="n">
        <v>46146</v>
      </c>
      <c r="C1304" s="1" t="n">
        <v>46197</v>
      </c>
      <c r="D1304" t="inlineStr">
        <is>
          <t>DALARNAS LÄN</t>
        </is>
      </c>
      <c r="E1304" t="inlineStr">
        <is>
          <t>FALUN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34508-2022</t>
        </is>
      </c>
      <c r="B1305" s="1" t="n">
        <v>44792</v>
      </c>
      <c r="C1305" s="1" t="n">
        <v>46197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34509-2022</t>
        </is>
      </c>
      <c r="B1306" s="1" t="n">
        <v>44792</v>
      </c>
      <c r="C1306" s="1" t="n">
        <v>46197</v>
      </c>
      <c r="D1306" t="inlineStr">
        <is>
          <t>DALARNAS LÄN</t>
        </is>
      </c>
      <c r="E1306" t="inlineStr">
        <is>
          <t>FALUN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2019-2026</t>
        </is>
      </c>
      <c r="B1307" s="1" t="n">
        <v>46035</v>
      </c>
      <c r="C1307" s="1" t="n">
        <v>46197</v>
      </c>
      <c r="D1307" t="inlineStr">
        <is>
          <t>DALARNAS LÄN</t>
        </is>
      </c>
      <c r="E1307" t="inlineStr">
        <is>
          <t>FALUN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17932-2026</t>
        </is>
      </c>
      <c r="B1308" s="1" t="n">
        <v>46122</v>
      </c>
      <c r="C1308" s="1" t="n">
        <v>46197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19426-2025</t>
        </is>
      </c>
      <c r="B1309" s="1" t="n">
        <v>45769</v>
      </c>
      <c r="C1309" s="1" t="n">
        <v>46197</v>
      </c>
      <c r="D1309" t="inlineStr">
        <is>
          <t>DALARNAS LÄN</t>
        </is>
      </c>
      <c r="E1309" t="inlineStr">
        <is>
          <t>FALUN</t>
        </is>
      </c>
      <c r="G1309" t="n">
        <v>0.1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21129-2026</t>
        </is>
      </c>
      <c r="B1310" s="1" t="n">
        <v>46146</v>
      </c>
      <c r="C1310" s="1" t="n">
        <v>46197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27313-2026</t>
        </is>
      </c>
      <c r="B1311" s="1" t="n">
        <v>46188</v>
      </c>
      <c r="C1311" s="1" t="n">
        <v>46197</v>
      </c>
      <c r="D1311" t="inlineStr">
        <is>
          <t>DALARNAS LÄN</t>
        </is>
      </c>
      <c r="E1311" t="inlineStr">
        <is>
          <t>FALUN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27335-2026</t>
        </is>
      </c>
      <c r="B1312" s="1" t="n">
        <v>46188</v>
      </c>
      <c r="C1312" s="1" t="n">
        <v>46197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18051-2025</t>
        </is>
      </c>
      <c r="B1313" s="1" t="n">
        <v>45761</v>
      </c>
      <c r="C1313" s="1" t="n">
        <v>46197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36212-2024</t>
        </is>
      </c>
      <c r="B1314" s="1" t="n">
        <v>45534</v>
      </c>
      <c r="C1314" s="1" t="n">
        <v>46197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3083-2026</t>
        </is>
      </c>
      <c r="B1315" s="1" t="n">
        <v>46040</v>
      </c>
      <c r="C1315" s="1" t="n">
        <v>46197</v>
      </c>
      <c r="D1315" t="inlineStr">
        <is>
          <t>DALARNAS LÄN</t>
        </is>
      </c>
      <c r="E1315" t="inlineStr">
        <is>
          <t>FALUN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26969-2026</t>
        </is>
      </c>
      <c r="B1316" s="1" t="n">
        <v>46185</v>
      </c>
      <c r="C1316" s="1" t="n">
        <v>46197</v>
      </c>
      <c r="D1316" t="inlineStr">
        <is>
          <t>DALARNAS LÄN</t>
        </is>
      </c>
      <c r="E1316" t="inlineStr">
        <is>
          <t>FALUN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8212-2026</t>
        </is>
      </c>
      <c r="B1317" s="1" t="n">
        <v>46064</v>
      </c>
      <c r="C1317" s="1" t="n">
        <v>46197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46200-2023</t>
        </is>
      </c>
      <c r="B1318" s="1" t="n">
        <v>45196</v>
      </c>
      <c r="C1318" s="1" t="n">
        <v>46197</v>
      </c>
      <c r="D1318" t="inlineStr">
        <is>
          <t>DALARNAS LÄN</t>
        </is>
      </c>
      <c r="E1318" t="inlineStr">
        <is>
          <t>FALUN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26828-2026</t>
        </is>
      </c>
      <c r="B1319" s="1" t="n">
        <v>46185</v>
      </c>
      <c r="C1319" s="1" t="n">
        <v>46197</v>
      </c>
      <c r="D1319" t="inlineStr">
        <is>
          <t>DALARNAS LÄN</t>
        </is>
      </c>
      <c r="E1319" t="inlineStr">
        <is>
          <t>FALUN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26830-2026</t>
        </is>
      </c>
      <c r="B1320" s="1" t="n">
        <v>46185</v>
      </c>
      <c r="C1320" s="1" t="n">
        <v>46197</v>
      </c>
      <c r="D1320" t="inlineStr">
        <is>
          <t>DALARNAS LÄN</t>
        </is>
      </c>
      <c r="E1320" t="inlineStr">
        <is>
          <t>FALUN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21212-2026</t>
        </is>
      </c>
      <c r="B1321" s="1" t="n">
        <v>46146</v>
      </c>
      <c r="C1321" s="1" t="n">
        <v>46197</v>
      </c>
      <c r="D1321" t="inlineStr">
        <is>
          <t>DALARNAS LÄN</t>
        </is>
      </c>
      <c r="E1321" t="inlineStr">
        <is>
          <t>FALUN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21130-2026</t>
        </is>
      </c>
      <c r="B1322" s="1" t="n">
        <v>46146</v>
      </c>
      <c r="C1322" s="1" t="n">
        <v>46197</v>
      </c>
      <c r="D1322" t="inlineStr">
        <is>
          <t>DALARNAS LÄN</t>
        </is>
      </c>
      <c r="E1322" t="inlineStr">
        <is>
          <t>FALUN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27152-2026</t>
        </is>
      </c>
      <c r="B1323" s="1" t="n">
        <v>46188</v>
      </c>
      <c r="C1323" s="1" t="n">
        <v>46197</v>
      </c>
      <c r="D1323" t="inlineStr">
        <is>
          <t>DALARNAS LÄN</t>
        </is>
      </c>
      <c r="E1323" t="inlineStr">
        <is>
          <t>FALUN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12616-2026</t>
        </is>
      </c>
      <c r="B1324" s="1" t="n">
        <v>46090</v>
      </c>
      <c r="C1324" s="1" t="n">
        <v>46197</v>
      </c>
      <c r="D1324" t="inlineStr">
        <is>
          <t>DALARNAS LÄN</t>
        </is>
      </c>
      <c r="E1324" t="inlineStr">
        <is>
          <t>FALUN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27145-2026</t>
        </is>
      </c>
      <c r="B1325" s="1" t="n">
        <v>46188</v>
      </c>
      <c r="C1325" s="1" t="n">
        <v>46197</v>
      </c>
      <c r="D1325" t="inlineStr">
        <is>
          <t>DALARNAS LÄN</t>
        </is>
      </c>
      <c r="E1325" t="inlineStr">
        <is>
          <t>FALUN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26832-2026</t>
        </is>
      </c>
      <c r="B1326" s="1" t="n">
        <v>46185</v>
      </c>
      <c r="C1326" s="1" t="n">
        <v>46197</v>
      </c>
      <c r="D1326" t="inlineStr">
        <is>
          <t>DALARNAS LÄN</t>
        </is>
      </c>
      <c r="E1326" t="inlineStr">
        <is>
          <t>FALUN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6613-2026</t>
        </is>
      </c>
      <c r="B1327" s="1" t="n">
        <v>46056</v>
      </c>
      <c r="C1327" s="1" t="n">
        <v>46197</v>
      </c>
      <c r="D1327" t="inlineStr">
        <is>
          <t>DALARNAS LÄN</t>
        </is>
      </c>
      <c r="E1327" t="inlineStr">
        <is>
          <t>FALUN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27267-2026</t>
        </is>
      </c>
      <c r="B1328" s="1" t="n">
        <v>46188</v>
      </c>
      <c r="C1328" s="1" t="n">
        <v>46197</v>
      </c>
      <c r="D1328" t="inlineStr">
        <is>
          <t>DALARNAS LÄN</t>
        </is>
      </c>
      <c r="E1328" t="inlineStr">
        <is>
          <t>FALUN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6455-2026</t>
        </is>
      </c>
      <c r="B1329" s="1" t="n">
        <v>46055</v>
      </c>
      <c r="C1329" s="1" t="n">
        <v>46197</v>
      </c>
      <c r="D1329" t="inlineStr">
        <is>
          <t>DALARNAS LÄN</t>
        </is>
      </c>
      <c r="E1329" t="inlineStr">
        <is>
          <t>FALUN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21414-2026</t>
        </is>
      </c>
      <c r="B1330" s="1" t="n">
        <v>46148</v>
      </c>
      <c r="C1330" s="1" t="n">
        <v>46197</v>
      </c>
      <c r="D1330" t="inlineStr">
        <is>
          <t>DALARNAS LÄN</t>
        </is>
      </c>
      <c r="E1330" t="inlineStr">
        <is>
          <t>FALUN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5973-2024</t>
        </is>
      </c>
      <c r="B1331" s="1" t="n">
        <v>45336</v>
      </c>
      <c r="C1331" s="1" t="n">
        <v>46197</v>
      </c>
      <c r="D1331" t="inlineStr">
        <is>
          <t>DALARNAS LÄN</t>
        </is>
      </c>
      <c r="E1331" t="inlineStr">
        <is>
          <t>FALUN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21450-2026</t>
        </is>
      </c>
      <c r="B1332" s="1" t="n">
        <v>46148</v>
      </c>
      <c r="C1332" s="1" t="n">
        <v>46197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21415-2026</t>
        </is>
      </c>
      <c r="B1333" s="1" t="n">
        <v>46148</v>
      </c>
      <c r="C1333" s="1" t="n">
        <v>46197</v>
      </c>
      <c r="D1333" t="inlineStr">
        <is>
          <t>DALARNAS LÄN</t>
        </is>
      </c>
      <c r="E1333" t="inlineStr">
        <is>
          <t>FALUN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21416-2026</t>
        </is>
      </c>
      <c r="B1334" s="1" t="n">
        <v>46148</v>
      </c>
      <c r="C1334" s="1" t="n">
        <v>46197</v>
      </c>
      <c r="D1334" t="inlineStr">
        <is>
          <t>DALARNAS LÄN</t>
        </is>
      </c>
      <c r="E1334" t="inlineStr">
        <is>
          <t>FALUN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21441-2026</t>
        </is>
      </c>
      <c r="B1335" s="1" t="n">
        <v>46148</v>
      </c>
      <c r="C1335" s="1" t="n">
        <v>46197</v>
      </c>
      <c r="D1335" t="inlineStr">
        <is>
          <t>DALARNAS LÄN</t>
        </is>
      </c>
      <c r="E1335" t="inlineStr">
        <is>
          <t>FALUN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21346-2026</t>
        </is>
      </c>
      <c r="B1336" s="1" t="n">
        <v>46147</v>
      </c>
      <c r="C1336" s="1" t="n">
        <v>46197</v>
      </c>
      <c r="D1336" t="inlineStr">
        <is>
          <t>DALARNAS LÄN</t>
        </is>
      </c>
      <c r="E1336" t="inlineStr">
        <is>
          <t>FALUN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56474-2024</t>
        </is>
      </c>
      <c r="B1337" s="1" t="n">
        <v>45625</v>
      </c>
      <c r="C1337" s="1" t="n">
        <v>46197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27628-2026</t>
        </is>
      </c>
      <c r="B1338" s="1" t="n">
        <v>46190</v>
      </c>
      <c r="C1338" s="1" t="n">
        <v>46197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26770-2024</t>
        </is>
      </c>
      <c r="B1339" s="1" t="n">
        <v>45470</v>
      </c>
      <c r="C1339" s="1" t="n">
        <v>46197</v>
      </c>
      <c r="D1339" t="inlineStr">
        <is>
          <t>DALARNAS LÄN</t>
        </is>
      </c>
      <c r="E1339" t="inlineStr">
        <is>
          <t>FALUN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21410-2026</t>
        </is>
      </c>
      <c r="B1340" s="1" t="n">
        <v>46148</v>
      </c>
      <c r="C1340" s="1" t="n">
        <v>46197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21460-2026</t>
        </is>
      </c>
      <c r="B1341" s="1" t="n">
        <v>46148</v>
      </c>
      <c r="C1341" s="1" t="n">
        <v>46197</v>
      </c>
      <c r="D1341" t="inlineStr">
        <is>
          <t>DALARNAS LÄN</t>
        </is>
      </c>
      <c r="E1341" t="inlineStr">
        <is>
          <t>FALUN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18024-2025</t>
        </is>
      </c>
      <c r="B1342" s="1" t="n">
        <v>45761</v>
      </c>
      <c r="C1342" s="1" t="n">
        <v>46197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21516-2026</t>
        </is>
      </c>
      <c r="B1343" s="1" t="n">
        <v>46148</v>
      </c>
      <c r="C1343" s="1" t="n">
        <v>46197</v>
      </c>
      <c r="D1343" t="inlineStr">
        <is>
          <t>DALARNAS LÄN</t>
        </is>
      </c>
      <c r="E1343" t="inlineStr">
        <is>
          <t>FALUN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27626-2026</t>
        </is>
      </c>
      <c r="B1344" s="1" t="n">
        <v>46190</v>
      </c>
      <c r="C1344" s="1" t="n">
        <v>46197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27649-2026</t>
        </is>
      </c>
      <c r="B1345" s="1" t="n">
        <v>46190</v>
      </c>
      <c r="C1345" s="1" t="n">
        <v>46197</v>
      </c>
      <c r="D1345" t="inlineStr">
        <is>
          <t>DALARNAS LÄN</t>
        </is>
      </c>
      <c r="E1345" t="inlineStr">
        <is>
          <t>FALUN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50266-2024</t>
        </is>
      </c>
      <c r="B1346" s="1" t="n">
        <v>45600</v>
      </c>
      <c r="C1346" s="1" t="n">
        <v>46197</v>
      </c>
      <c r="D1346" t="inlineStr">
        <is>
          <t>DALARNAS LÄN</t>
        </is>
      </c>
      <c r="E1346" t="inlineStr">
        <is>
          <t>FALUN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21289-2026</t>
        </is>
      </c>
      <c r="B1347" s="1" t="n">
        <v>46147</v>
      </c>
      <c r="C1347" s="1" t="n">
        <v>46197</v>
      </c>
      <c r="D1347" t="inlineStr">
        <is>
          <t>DALARNAS LÄN</t>
        </is>
      </c>
      <c r="E1347" t="inlineStr">
        <is>
          <t>FALUN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21561-2026</t>
        </is>
      </c>
      <c r="B1348" s="1" t="n">
        <v>46148</v>
      </c>
      <c r="C1348" s="1" t="n">
        <v>46197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21306-2026</t>
        </is>
      </c>
      <c r="B1349" s="1" t="n">
        <v>46147</v>
      </c>
      <c r="C1349" s="1" t="n">
        <v>46197</v>
      </c>
      <c r="D1349" t="inlineStr">
        <is>
          <t>DALARNAS LÄN</t>
        </is>
      </c>
      <c r="E1349" t="inlineStr">
        <is>
          <t>FALUN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27847-2026</t>
        </is>
      </c>
      <c r="B1350" s="1" t="n">
        <v>46191</v>
      </c>
      <c r="C1350" s="1" t="n">
        <v>46197</v>
      </c>
      <c r="D1350" t="inlineStr">
        <is>
          <t>DALARNAS LÄN</t>
        </is>
      </c>
      <c r="E1350" t="inlineStr">
        <is>
          <t>FALUN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24192-2026</t>
        </is>
      </c>
      <c r="B1351" s="1" t="n">
        <v>46168</v>
      </c>
      <c r="C1351" s="1" t="n">
        <v>46197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24789-2026</t>
        </is>
      </c>
      <c r="B1352" s="1" t="n">
        <v>46171</v>
      </c>
      <c r="C1352" s="1" t="n">
        <v>46197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21829-2026</t>
        </is>
      </c>
      <c r="B1353" s="1" t="n">
        <v>46150</v>
      </c>
      <c r="C1353" s="1" t="n">
        <v>46197</v>
      </c>
      <c r="D1353" t="inlineStr">
        <is>
          <t>DALARNAS LÄN</t>
        </is>
      </c>
      <c r="E1353" t="inlineStr">
        <is>
          <t>FALUN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21830-2026</t>
        </is>
      </c>
      <c r="B1354" s="1" t="n">
        <v>46150</v>
      </c>
      <c r="C1354" s="1" t="n">
        <v>46197</v>
      </c>
      <c r="D1354" t="inlineStr">
        <is>
          <t>DALARNAS LÄN</t>
        </is>
      </c>
      <c r="E1354" t="inlineStr">
        <is>
          <t>FALUN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22820-2026</t>
        </is>
      </c>
      <c r="B1355" s="1" t="n">
        <v>46160</v>
      </c>
      <c r="C1355" s="1" t="n">
        <v>46197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21824-2026</t>
        </is>
      </c>
      <c r="B1356" s="1" t="n">
        <v>46150</v>
      </c>
      <c r="C1356" s="1" t="n">
        <v>46197</v>
      </c>
      <c r="D1356" t="inlineStr">
        <is>
          <t>DALARNAS LÄN</t>
        </is>
      </c>
      <c r="E1356" t="inlineStr">
        <is>
          <t>FALUN</t>
        </is>
      </c>
      <c r="G1356" t="n">
        <v>10.7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21831-2026</t>
        </is>
      </c>
      <c r="B1357" s="1" t="n">
        <v>46150</v>
      </c>
      <c r="C1357" s="1" t="n">
        <v>46197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27821-2026</t>
        </is>
      </c>
      <c r="B1358" s="1" t="n">
        <v>46191</v>
      </c>
      <c r="C1358" s="1" t="n">
        <v>46197</v>
      </c>
      <c r="D1358" t="inlineStr">
        <is>
          <t>DALARNAS LÄN</t>
        </is>
      </c>
      <c r="E1358" t="inlineStr">
        <is>
          <t>FALUN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27822-2026</t>
        </is>
      </c>
      <c r="B1359" s="1" t="n">
        <v>46191</v>
      </c>
      <c r="C1359" s="1" t="n">
        <v>46197</v>
      </c>
      <c r="D1359" t="inlineStr">
        <is>
          <t>DALARNAS LÄN</t>
        </is>
      </c>
      <c r="E1359" t="inlineStr">
        <is>
          <t>FALUN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27834-2026</t>
        </is>
      </c>
      <c r="B1360" s="1" t="n">
        <v>46191</v>
      </c>
      <c r="C1360" s="1" t="n">
        <v>46197</v>
      </c>
      <c r="D1360" t="inlineStr">
        <is>
          <t>DALARNAS LÄN</t>
        </is>
      </c>
      <c r="E1360" t="inlineStr">
        <is>
          <t>FALUN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21795-2026</t>
        </is>
      </c>
      <c r="B1361" s="1" t="n">
        <v>46150</v>
      </c>
      <c r="C1361" s="1" t="n">
        <v>46197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21823-2026</t>
        </is>
      </c>
      <c r="B1362" s="1" t="n">
        <v>46150</v>
      </c>
      <c r="C1362" s="1" t="n">
        <v>46197</v>
      </c>
      <c r="D1362" t="inlineStr">
        <is>
          <t>DALARNAS LÄN</t>
        </is>
      </c>
      <c r="E1362" t="inlineStr">
        <is>
          <t>FALUN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21834-2026</t>
        </is>
      </c>
      <c r="B1363" s="1" t="n">
        <v>46150</v>
      </c>
      <c r="C1363" s="1" t="n">
        <v>46197</v>
      </c>
      <c r="D1363" t="inlineStr">
        <is>
          <t>DALARNAS LÄN</t>
        </is>
      </c>
      <c r="E1363" t="inlineStr">
        <is>
          <t>FALUN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21584-2026</t>
        </is>
      </c>
      <c r="B1364" s="1" t="n">
        <v>46149</v>
      </c>
      <c r="C1364" s="1" t="n">
        <v>46197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8.699999999999999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27924-2026</t>
        </is>
      </c>
      <c r="B1365" s="1" t="n">
        <v>46191</v>
      </c>
      <c r="C1365" s="1" t="n">
        <v>46197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7.5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27896-2026</t>
        </is>
      </c>
      <c r="B1366" s="1" t="n">
        <v>46191</v>
      </c>
      <c r="C1366" s="1" t="n">
        <v>46197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6.9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21895-2026</t>
        </is>
      </c>
      <c r="B1367" s="1" t="n">
        <v>46150</v>
      </c>
      <c r="C1367" s="1" t="n">
        <v>46197</v>
      </c>
      <c r="D1367" t="inlineStr">
        <is>
          <t>DALARNAS LÄN</t>
        </is>
      </c>
      <c r="E1367" t="inlineStr">
        <is>
          <t>FALUN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22927-2026</t>
        </is>
      </c>
      <c r="B1368" s="1" t="n">
        <v>46160</v>
      </c>
      <c r="C1368" s="1" t="n">
        <v>46197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21636-2026</t>
        </is>
      </c>
      <c r="B1369" s="1" t="n">
        <v>46149</v>
      </c>
      <c r="C1369" s="1" t="n">
        <v>46197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21653-2026</t>
        </is>
      </c>
      <c r="B1370" s="1" t="n">
        <v>46149</v>
      </c>
      <c r="C1370" s="1" t="n">
        <v>46197</v>
      </c>
      <c r="D1370" t="inlineStr">
        <is>
          <t>DALARNAS LÄN</t>
        </is>
      </c>
      <c r="E1370" t="inlineStr">
        <is>
          <t>FALUN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24779-2026</t>
        </is>
      </c>
      <c r="B1371" s="1" t="n">
        <v>46171</v>
      </c>
      <c r="C1371" s="1" t="n">
        <v>46197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21635-2026</t>
        </is>
      </c>
      <c r="B1372" s="1" t="n">
        <v>46149</v>
      </c>
      <c r="C1372" s="1" t="n">
        <v>46197</v>
      </c>
      <c r="D1372" t="inlineStr">
        <is>
          <t>DALARNAS LÄN</t>
        </is>
      </c>
      <c r="E1372" t="inlineStr">
        <is>
          <t>FALUN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24766-2026</t>
        </is>
      </c>
      <c r="B1373" s="1" t="n">
        <v>46171</v>
      </c>
      <c r="C1373" s="1" t="n">
        <v>46197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21873-2026</t>
        </is>
      </c>
      <c r="B1374" s="1" t="n">
        <v>46150</v>
      </c>
      <c r="C1374" s="1" t="n">
        <v>46197</v>
      </c>
      <c r="D1374" t="inlineStr">
        <is>
          <t>DALARNAS LÄN</t>
        </is>
      </c>
      <c r="E1374" t="inlineStr">
        <is>
          <t>FALUN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21910-2026</t>
        </is>
      </c>
      <c r="B1375" s="1" t="n">
        <v>46150</v>
      </c>
      <c r="C1375" s="1" t="n">
        <v>46197</v>
      </c>
      <c r="D1375" t="inlineStr">
        <is>
          <t>DALARNAS LÄN</t>
        </is>
      </c>
      <c r="E1375" t="inlineStr">
        <is>
          <t>FALUN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18718-2026</t>
        </is>
      </c>
      <c r="B1376" s="1" t="n">
        <v>46128</v>
      </c>
      <c r="C1376" s="1" t="n">
        <v>46197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21825-2026</t>
        </is>
      </c>
      <c r="B1377" s="1" t="n">
        <v>46150</v>
      </c>
      <c r="C1377" s="1" t="n">
        <v>46197</v>
      </c>
      <c r="D1377" t="inlineStr">
        <is>
          <t>DALARNAS LÄN</t>
        </is>
      </c>
      <c r="E1377" t="inlineStr">
        <is>
          <t>FALUN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27800-2026</t>
        </is>
      </c>
      <c r="B1378" s="1" t="n">
        <v>46191</v>
      </c>
      <c r="C1378" s="1" t="n">
        <v>46197</v>
      </c>
      <c r="D1378" t="inlineStr">
        <is>
          <t>DALARNAS LÄN</t>
        </is>
      </c>
      <c r="E1378" t="inlineStr">
        <is>
          <t>FALUN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27832-2026</t>
        </is>
      </c>
      <c r="B1379" s="1" t="n">
        <v>46191</v>
      </c>
      <c r="C1379" s="1" t="n">
        <v>46197</v>
      </c>
      <c r="D1379" t="inlineStr">
        <is>
          <t>DALARNAS LÄN</t>
        </is>
      </c>
      <c r="E1379" t="inlineStr">
        <is>
          <t>FALUN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62156-2023</t>
        </is>
      </c>
      <c r="B1380" s="1" t="n">
        <v>45267</v>
      </c>
      <c r="C1380" s="1" t="n">
        <v>46197</v>
      </c>
      <c r="D1380" t="inlineStr">
        <is>
          <t>DALARNAS LÄN</t>
        </is>
      </c>
      <c r="E1380" t="inlineStr">
        <is>
          <t>FALUN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21896-2026</t>
        </is>
      </c>
      <c r="B1381" s="1" t="n">
        <v>46150</v>
      </c>
      <c r="C1381" s="1" t="n">
        <v>46197</v>
      </c>
      <c r="D1381" t="inlineStr">
        <is>
          <t>DALARNAS LÄN</t>
        </is>
      </c>
      <c r="E1381" t="inlineStr">
        <is>
          <t>FALUN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21782-2026</t>
        </is>
      </c>
      <c r="B1382" s="1" t="n">
        <v>46150</v>
      </c>
      <c r="C1382" s="1" t="n">
        <v>46197</v>
      </c>
      <c r="D1382" t="inlineStr">
        <is>
          <t>DALARNAS LÄN</t>
        </is>
      </c>
      <c r="E1382" t="inlineStr">
        <is>
          <t>FALUN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54909-2024</t>
        </is>
      </c>
      <c r="B1383" s="1" t="n">
        <v>45618</v>
      </c>
      <c r="C1383" s="1" t="n">
        <v>46197</v>
      </c>
      <c r="D1383" t="inlineStr">
        <is>
          <t>DALARNAS LÄN</t>
        </is>
      </c>
      <c r="E1383" t="inlineStr">
        <is>
          <t>FALUN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21596-2026</t>
        </is>
      </c>
      <c r="B1384" s="1" t="n">
        <v>46149</v>
      </c>
      <c r="C1384" s="1" t="n">
        <v>46197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27850-2026</t>
        </is>
      </c>
      <c r="B1385" s="1" t="n">
        <v>46191</v>
      </c>
      <c r="C1385" s="1" t="n">
        <v>46197</v>
      </c>
      <c r="D1385" t="inlineStr">
        <is>
          <t>DALARNAS LÄN</t>
        </is>
      </c>
      <c r="E1385" t="inlineStr">
        <is>
          <t>FALUN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21701-2026</t>
        </is>
      </c>
      <c r="B1386" s="1" t="n">
        <v>46149</v>
      </c>
      <c r="C1386" s="1" t="n">
        <v>46197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21837-2026</t>
        </is>
      </c>
      <c r="B1387" s="1" t="n">
        <v>46150</v>
      </c>
      <c r="C1387" s="1" t="n">
        <v>46197</v>
      </c>
      <c r="D1387" t="inlineStr">
        <is>
          <t>DALARNAS LÄN</t>
        </is>
      </c>
      <c r="E1387" t="inlineStr">
        <is>
          <t>FALUN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21822-2026</t>
        </is>
      </c>
      <c r="B1388" s="1" t="n">
        <v>46150</v>
      </c>
      <c r="C1388" s="1" t="n">
        <v>46197</v>
      </c>
      <c r="D1388" t="inlineStr">
        <is>
          <t>DALARNAS LÄN</t>
        </is>
      </c>
      <c r="E1388" t="inlineStr">
        <is>
          <t>FALUN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4294-2025</t>
        </is>
      </c>
      <c r="B1389" s="1" t="n">
        <v>45685</v>
      </c>
      <c r="C1389" s="1" t="n">
        <v>46197</v>
      </c>
      <c r="D1389" t="inlineStr">
        <is>
          <t>DALARNAS LÄN</t>
        </is>
      </c>
      <c r="E1389" t="inlineStr">
        <is>
          <t>FALUN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36411-2025</t>
        </is>
      </c>
      <c r="B1390" s="1" t="n">
        <v>45868</v>
      </c>
      <c r="C1390" s="1" t="n">
        <v>46197</v>
      </c>
      <c r="D1390" t="inlineStr">
        <is>
          <t>DALARNAS LÄN</t>
        </is>
      </c>
      <c r="E1390" t="inlineStr">
        <is>
          <t>FALUN</t>
        </is>
      </c>
      <c r="G1390" t="n">
        <v>10.7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21936-2026</t>
        </is>
      </c>
      <c r="B1391" s="1" t="n">
        <v>46150</v>
      </c>
      <c r="C1391" s="1" t="n">
        <v>46197</v>
      </c>
      <c r="D1391" t="inlineStr">
        <is>
          <t>DALARNAS LÄN</t>
        </is>
      </c>
      <c r="E1391" t="inlineStr">
        <is>
          <t>FALUN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14658-2026</t>
        </is>
      </c>
      <c r="B1392" s="1" t="n">
        <v>46101</v>
      </c>
      <c r="C1392" s="1" t="n">
        <v>46197</v>
      </c>
      <c r="D1392" t="inlineStr">
        <is>
          <t>DALARNAS LÄN</t>
        </is>
      </c>
      <c r="E1392" t="inlineStr">
        <is>
          <t>FALUN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16454-2026</t>
        </is>
      </c>
      <c r="B1393" s="1" t="n">
        <v>46112</v>
      </c>
      <c r="C1393" s="1" t="n">
        <v>46197</v>
      </c>
      <c r="D1393" t="inlineStr">
        <is>
          <t>DALARNAS LÄN</t>
        </is>
      </c>
      <c r="E1393" t="inlineStr">
        <is>
          <t>FALUN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24004-2026</t>
        </is>
      </c>
      <c r="B1394" s="1" t="n">
        <v>46167</v>
      </c>
      <c r="C1394" s="1" t="n">
        <v>46197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9.5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3078-2026</t>
        </is>
      </c>
      <c r="B1395" s="1" t="n">
        <v>46040</v>
      </c>
      <c r="C1395" s="1" t="n">
        <v>46197</v>
      </c>
      <c r="D1395" t="inlineStr">
        <is>
          <t>DALARNAS LÄN</t>
        </is>
      </c>
      <c r="E1395" t="inlineStr">
        <is>
          <t>FALUN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17751-2026</t>
        </is>
      </c>
      <c r="B1396" s="1" t="n">
        <v>46122</v>
      </c>
      <c r="C1396" s="1" t="n">
        <v>46197</v>
      </c>
      <c r="D1396" t="inlineStr">
        <is>
          <t>DALARNAS LÄN</t>
        </is>
      </c>
      <c r="E1396" t="inlineStr">
        <is>
          <t>FALUN</t>
        </is>
      </c>
      <c r="G1396" t="n">
        <v>7.5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16655-2026</t>
        </is>
      </c>
      <c r="B1397" s="1" t="n">
        <v>46112</v>
      </c>
      <c r="C1397" s="1" t="n">
        <v>46197</v>
      </c>
      <c r="D1397" t="inlineStr">
        <is>
          <t>DALARNAS LÄN</t>
        </is>
      </c>
      <c r="E1397" t="inlineStr">
        <is>
          <t>FALUN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11295-2026</t>
        </is>
      </c>
      <c r="B1398" s="1" t="n">
        <v>46080</v>
      </c>
      <c r="C1398" s="1" t="n">
        <v>46197</v>
      </c>
      <c r="D1398" t="inlineStr">
        <is>
          <t>DALARNAS LÄN</t>
        </is>
      </c>
      <c r="E1398" t="inlineStr">
        <is>
          <t>FALUN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22365-2026</t>
        </is>
      </c>
      <c r="B1399" s="1" t="n">
        <v>46154</v>
      </c>
      <c r="C1399" s="1" t="n">
        <v>46197</v>
      </c>
      <c r="D1399" t="inlineStr">
        <is>
          <t>DALARNAS LÄN</t>
        </is>
      </c>
      <c r="E1399" t="inlineStr">
        <is>
          <t>FALUN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2502-2026</t>
        </is>
      </c>
      <c r="B1400" s="1" t="n">
        <v>46037</v>
      </c>
      <c r="C1400" s="1" t="n">
        <v>46197</v>
      </c>
      <c r="D1400" t="inlineStr">
        <is>
          <t>DALARNAS LÄN</t>
        </is>
      </c>
      <c r="E1400" t="inlineStr">
        <is>
          <t>FALUN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28189-2026</t>
        </is>
      </c>
      <c r="B1401" s="1" t="n">
        <v>46195</v>
      </c>
      <c r="C1401" s="1" t="n">
        <v>46197</v>
      </c>
      <c r="D1401" t="inlineStr">
        <is>
          <t>DALARNAS LÄN</t>
        </is>
      </c>
      <c r="E1401" t="inlineStr">
        <is>
          <t>FALUN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294-2026</t>
        </is>
      </c>
      <c r="B1402" s="1" t="n">
        <v>46027</v>
      </c>
      <c r="C1402" s="1" t="n">
        <v>46197</v>
      </c>
      <c r="D1402" t="inlineStr">
        <is>
          <t>DALARNAS LÄN</t>
        </is>
      </c>
      <c r="E1402" t="inlineStr">
        <is>
          <t>FALUN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6789-2026</t>
        </is>
      </c>
      <c r="B1403" s="1" t="n">
        <v>46057</v>
      </c>
      <c r="C1403" s="1" t="n">
        <v>46197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20350-2026</t>
        </is>
      </c>
      <c r="B1404" s="1" t="n">
        <v>46139</v>
      </c>
      <c r="C1404" s="1" t="n">
        <v>46197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58.4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39872-2022</t>
        </is>
      </c>
      <c r="B1405" s="1" t="n">
        <v>44819</v>
      </c>
      <c r="C1405" s="1" t="n">
        <v>46197</v>
      </c>
      <c r="D1405" t="inlineStr">
        <is>
          <t>DALARNAS LÄN</t>
        </is>
      </c>
      <c r="E1405" t="inlineStr">
        <is>
          <t>FALUN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27970-2026</t>
        </is>
      </c>
      <c r="B1406" s="1" t="n">
        <v>46195</v>
      </c>
      <c r="C1406" s="1" t="n">
        <v>46197</v>
      </c>
      <c r="D1406" t="inlineStr">
        <is>
          <t>DALARNAS LÄN</t>
        </is>
      </c>
      <c r="E1406" t="inlineStr">
        <is>
          <t>FALUN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28092-2026</t>
        </is>
      </c>
      <c r="B1407" s="1" t="n">
        <v>46195</v>
      </c>
      <c r="C1407" s="1" t="n">
        <v>46197</v>
      </c>
      <c r="D1407" t="inlineStr">
        <is>
          <t>DALARNAS LÄN</t>
        </is>
      </c>
      <c r="E1407" t="inlineStr">
        <is>
          <t>FALUN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74258-2021</t>
        </is>
      </c>
      <c r="B1408" s="1" t="n">
        <v>44558</v>
      </c>
      <c r="C1408" s="1" t="n">
        <v>46197</v>
      </c>
      <c r="D1408" t="inlineStr">
        <is>
          <t>DALARNAS LÄN</t>
        </is>
      </c>
      <c r="E1408" t="inlineStr">
        <is>
          <t>FALUN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10834-2023</t>
        </is>
      </c>
      <c r="B1409" s="1" t="n">
        <v>44991</v>
      </c>
      <c r="C1409" s="1" t="n">
        <v>46197</v>
      </c>
      <c r="D1409" t="inlineStr">
        <is>
          <t>DALARNAS LÄN</t>
        </is>
      </c>
      <c r="E1409" t="inlineStr">
        <is>
          <t>FALUN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12260-2026</t>
        </is>
      </c>
      <c r="B1410" s="1" t="n">
        <v>46087</v>
      </c>
      <c r="C1410" s="1" t="n">
        <v>46197</v>
      </c>
      <c r="D1410" t="inlineStr">
        <is>
          <t>DALARNAS LÄN</t>
        </is>
      </c>
      <c r="E1410" t="inlineStr">
        <is>
          <t>FALUN</t>
        </is>
      </c>
      <c r="G1410" t="n">
        <v>23.9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28252-2026</t>
        </is>
      </c>
      <c r="B1411" s="1" t="n">
        <v>46196</v>
      </c>
      <c r="C1411" s="1" t="n">
        <v>46197</v>
      </c>
      <c r="D1411" t="inlineStr">
        <is>
          <t>DALARNAS LÄN</t>
        </is>
      </c>
      <c r="E1411" t="inlineStr">
        <is>
          <t>FALUN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3585-2026</t>
        </is>
      </c>
      <c r="B1412" s="1" t="n">
        <v>46042</v>
      </c>
      <c r="C1412" s="1" t="n">
        <v>46197</v>
      </c>
      <c r="D1412" t="inlineStr">
        <is>
          <t>DALARNAS LÄN</t>
        </is>
      </c>
      <c r="E1412" t="inlineStr">
        <is>
          <t>FALUN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8588-2026</t>
        </is>
      </c>
      <c r="B1413" s="1" t="n">
        <v>46065</v>
      </c>
      <c r="C1413" s="1" t="n">
        <v>46197</v>
      </c>
      <c r="D1413" t="inlineStr">
        <is>
          <t>DALARNAS LÄN</t>
        </is>
      </c>
      <c r="E1413" t="inlineStr">
        <is>
          <t>FALUN</t>
        </is>
      </c>
      <c r="F1413" t="inlineStr">
        <is>
          <t>Allmännings- och besparingsskogar</t>
        </is>
      </c>
      <c r="G1413" t="n">
        <v>17.4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8598-2026</t>
        </is>
      </c>
      <c r="B1414" s="1" t="n">
        <v>46065</v>
      </c>
      <c r="C1414" s="1" t="n">
        <v>46197</v>
      </c>
      <c r="D1414" t="inlineStr">
        <is>
          <t>DALARNAS LÄN</t>
        </is>
      </c>
      <c r="E1414" t="inlineStr">
        <is>
          <t>FALUN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1135-2026</t>
        </is>
      </c>
      <c r="B1415" s="1" t="n">
        <v>46030</v>
      </c>
      <c r="C1415" s="1" t="n">
        <v>46197</v>
      </c>
      <c r="D1415" t="inlineStr">
        <is>
          <t>DALARNAS LÄN</t>
        </is>
      </c>
      <c r="E1415" t="inlineStr">
        <is>
          <t>FALUN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1178-2026</t>
        </is>
      </c>
      <c r="B1416" s="1" t="n">
        <v>46031</v>
      </c>
      <c r="C1416" s="1" t="n">
        <v>46197</v>
      </c>
      <c r="D1416" t="inlineStr">
        <is>
          <t>DALARNAS LÄN</t>
        </is>
      </c>
      <c r="E1416" t="inlineStr">
        <is>
          <t>FALUN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2235-2026</t>
        </is>
      </c>
      <c r="B1417" s="1" t="n">
        <v>46036</v>
      </c>
      <c r="C1417" s="1" t="n">
        <v>46197</v>
      </c>
      <c r="D1417" t="inlineStr">
        <is>
          <t>DALARNAS LÄN</t>
        </is>
      </c>
      <c r="E1417" t="inlineStr">
        <is>
          <t>FALUN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21970-2026</t>
        </is>
      </c>
      <c r="B1418" s="1" t="n">
        <v>46153</v>
      </c>
      <c r="C1418" s="1" t="n">
        <v>46197</v>
      </c>
      <c r="D1418" t="inlineStr">
        <is>
          <t>DALARNAS LÄN</t>
        </is>
      </c>
      <c r="E1418" t="inlineStr">
        <is>
          <t>FALUN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13812-2026</t>
        </is>
      </c>
      <c r="B1419" s="1" t="n">
        <v>46098</v>
      </c>
      <c r="C1419" s="1" t="n">
        <v>46197</v>
      </c>
      <c r="D1419" t="inlineStr">
        <is>
          <t>DALARNAS LÄN</t>
        </is>
      </c>
      <c r="E1419" t="inlineStr">
        <is>
          <t>FALUN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19717-2026</t>
        </is>
      </c>
      <c r="B1420" s="1" t="n">
        <v>46134</v>
      </c>
      <c r="C1420" s="1" t="n">
        <v>46197</v>
      </c>
      <c r="D1420" t="inlineStr">
        <is>
          <t>DALARNAS LÄN</t>
        </is>
      </c>
      <c r="E1420" t="inlineStr">
        <is>
          <t>FALUN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22174-2026</t>
        </is>
      </c>
      <c r="B1421" s="1" t="n">
        <v>46153</v>
      </c>
      <c r="C1421" s="1" t="n">
        <v>46197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22188-2026</t>
        </is>
      </c>
      <c r="B1422" s="1" t="n">
        <v>46153</v>
      </c>
      <c r="C1422" s="1" t="n">
        <v>46197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6.8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23842-2026</t>
        </is>
      </c>
      <c r="B1423" s="1" t="n">
        <v>46167</v>
      </c>
      <c r="C1423" s="1" t="n">
        <v>46197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17888-2026</t>
        </is>
      </c>
      <c r="B1424" s="1" t="n">
        <v>46122</v>
      </c>
      <c r="C1424" s="1" t="n">
        <v>46197</v>
      </c>
      <c r="D1424" t="inlineStr">
        <is>
          <t>DALARNAS LÄN</t>
        </is>
      </c>
      <c r="E1424" t="inlineStr">
        <is>
          <t>FALUN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21972-2026</t>
        </is>
      </c>
      <c r="B1425" s="1" t="n">
        <v>46153</v>
      </c>
      <c r="C1425" s="1" t="n">
        <v>46197</v>
      </c>
      <c r="D1425" t="inlineStr">
        <is>
          <t>DALARNAS LÄN</t>
        </is>
      </c>
      <c r="E1425" t="inlineStr">
        <is>
          <t>FALUN</t>
        </is>
      </c>
      <c r="G1425" t="n">
        <v>13.9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22299-2026</t>
        </is>
      </c>
      <c r="B1426" s="1" t="n">
        <v>46154</v>
      </c>
      <c r="C1426" s="1" t="n">
        <v>46197</v>
      </c>
      <c r="D1426" t="inlineStr">
        <is>
          <t>DALARNAS LÄN</t>
        </is>
      </c>
      <c r="E1426" t="inlineStr">
        <is>
          <t>FALUN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22368-2026</t>
        </is>
      </c>
      <c r="B1427" s="1" t="n">
        <v>46154</v>
      </c>
      <c r="C1427" s="1" t="n">
        <v>46197</v>
      </c>
      <c r="D1427" t="inlineStr">
        <is>
          <t>DALARNAS LÄN</t>
        </is>
      </c>
      <c r="E1427" t="inlineStr">
        <is>
          <t>FALUN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3651-2026</t>
        </is>
      </c>
      <c r="B1428" s="1" t="n">
        <v>46043</v>
      </c>
      <c r="C1428" s="1" t="n">
        <v>46197</v>
      </c>
      <c r="D1428" t="inlineStr">
        <is>
          <t>DALARNAS LÄN</t>
        </is>
      </c>
      <c r="E1428" t="inlineStr">
        <is>
          <t>FALUN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22204-2026</t>
        </is>
      </c>
      <c r="B1429" s="1" t="n">
        <v>46153</v>
      </c>
      <c r="C1429" s="1" t="n">
        <v>46197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6953-2026</t>
        </is>
      </c>
      <c r="B1430" s="1" t="n">
        <v>46056</v>
      </c>
      <c r="C1430" s="1" t="n">
        <v>46197</v>
      </c>
      <c r="D1430" t="inlineStr">
        <is>
          <t>DALARNAS LÄN</t>
        </is>
      </c>
      <c r="E1430" t="inlineStr">
        <is>
          <t>FALUN</t>
        </is>
      </c>
      <c r="F1430" t="inlineStr">
        <is>
          <t>Allmännings- och besparingsskogar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13237-2026</t>
        </is>
      </c>
      <c r="B1431" s="1" t="n">
        <v>46093</v>
      </c>
      <c r="C1431" s="1" t="n">
        <v>46197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1467-2026</t>
        </is>
      </c>
      <c r="B1432" s="1" t="n">
        <v>46033</v>
      </c>
      <c r="C1432" s="1" t="n">
        <v>46197</v>
      </c>
      <c r="D1432" t="inlineStr">
        <is>
          <t>DALARNAS LÄN</t>
        </is>
      </c>
      <c r="E1432" t="inlineStr">
        <is>
          <t>FALUN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1959-2026</t>
        </is>
      </c>
      <c r="B1433" s="1" t="n">
        <v>46035</v>
      </c>
      <c r="C1433" s="1" t="n">
        <v>46197</v>
      </c>
      <c r="D1433" t="inlineStr">
        <is>
          <t>DALARNAS LÄN</t>
        </is>
      </c>
      <c r="E1433" t="inlineStr">
        <is>
          <t>FALUN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2511-2026</t>
        </is>
      </c>
      <c r="B1434" s="1" t="n">
        <v>46037</v>
      </c>
      <c r="C1434" s="1" t="n">
        <v>46197</v>
      </c>
      <c r="D1434" t="inlineStr">
        <is>
          <t>DALARNAS LÄN</t>
        </is>
      </c>
      <c r="E1434" t="inlineStr">
        <is>
          <t>FALUN</t>
        </is>
      </c>
      <c r="G1434" t="n">
        <v>23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17549-2026</t>
        </is>
      </c>
      <c r="B1435" s="1" t="n">
        <v>46120</v>
      </c>
      <c r="C1435" s="1" t="n">
        <v>46197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6577-2026</t>
        </is>
      </c>
      <c r="B1436" s="1" t="n">
        <v>46056</v>
      </c>
      <c r="C1436" s="1" t="n">
        <v>46197</v>
      </c>
      <c r="D1436" t="inlineStr">
        <is>
          <t>DALARNAS LÄN</t>
        </is>
      </c>
      <c r="E1436" t="inlineStr">
        <is>
          <t>FALUN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28173-2026</t>
        </is>
      </c>
      <c r="B1437" s="1" t="n">
        <v>46195</v>
      </c>
      <c r="C1437" s="1" t="n">
        <v>46197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39710-2021</t>
        </is>
      </c>
      <c r="B1438" s="1" t="n">
        <v>44417</v>
      </c>
      <c r="C1438" s="1" t="n">
        <v>46197</v>
      </c>
      <c r="D1438" t="inlineStr">
        <is>
          <t>DALARNAS LÄN</t>
        </is>
      </c>
      <c r="E1438" t="inlineStr">
        <is>
          <t>FALUN</t>
        </is>
      </c>
      <c r="G1438" t="n">
        <v>0.1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22056-2026</t>
        </is>
      </c>
      <c r="B1439" s="1" t="n">
        <v>46153</v>
      </c>
      <c r="C1439" s="1" t="n">
        <v>46197</v>
      </c>
      <c r="D1439" t="inlineStr">
        <is>
          <t>DALARNAS LÄN</t>
        </is>
      </c>
      <c r="E1439" t="inlineStr">
        <is>
          <t>FALUN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27969-2026</t>
        </is>
      </c>
      <c r="B1440" s="1" t="n">
        <v>46195</v>
      </c>
      <c r="C1440" s="1" t="n">
        <v>46197</v>
      </c>
      <c r="D1440" t="inlineStr">
        <is>
          <t>DALARNAS LÄN</t>
        </is>
      </c>
      <c r="E1440" t="inlineStr">
        <is>
          <t>FALUN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23611-2026</t>
        </is>
      </c>
      <c r="B1441" s="1" t="n">
        <v>46163</v>
      </c>
      <c r="C1441" s="1" t="n">
        <v>46197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9841-2026</t>
        </is>
      </c>
      <c r="B1442" s="1" t="n">
        <v>46072</v>
      </c>
      <c r="C1442" s="1" t="n">
        <v>46197</v>
      </c>
      <c r="D1442" t="inlineStr">
        <is>
          <t>DALARNAS LÄN</t>
        </is>
      </c>
      <c r="E1442" t="inlineStr">
        <is>
          <t>FALUN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22114-2026</t>
        </is>
      </c>
      <c r="B1443" s="1" t="n">
        <v>46153</v>
      </c>
      <c r="C1443" s="1" t="n">
        <v>46197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22397-2026</t>
        </is>
      </c>
      <c r="B1444" s="1" t="n">
        <v>46154</v>
      </c>
      <c r="C1444" s="1" t="n">
        <v>46197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14411-2026</t>
        </is>
      </c>
      <c r="B1445" s="1" t="n">
        <v>46100</v>
      </c>
      <c r="C1445" s="1" t="n">
        <v>46197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2711-2026</t>
        </is>
      </c>
      <c r="B1446" s="1" t="n">
        <v>46037</v>
      </c>
      <c r="C1446" s="1" t="n">
        <v>46197</v>
      </c>
      <c r="D1446" t="inlineStr">
        <is>
          <t>DALARNAS LÄN</t>
        </is>
      </c>
      <c r="E1446" t="inlineStr">
        <is>
          <t>FALUN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4614-2026</t>
        </is>
      </c>
      <c r="B1447" s="1" t="n">
        <v>46048</v>
      </c>
      <c r="C1447" s="1" t="n">
        <v>46197</v>
      </c>
      <c r="D1447" t="inlineStr">
        <is>
          <t>DALARNAS LÄN</t>
        </is>
      </c>
      <c r="E1447" t="inlineStr">
        <is>
          <t>FALUN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28085-2026</t>
        </is>
      </c>
      <c r="B1448" s="1" t="n">
        <v>46195</v>
      </c>
      <c r="C1448" s="1" t="n">
        <v>46197</v>
      </c>
      <c r="D1448" t="inlineStr">
        <is>
          <t>DALARNAS LÄN</t>
        </is>
      </c>
      <c r="E1448" t="inlineStr">
        <is>
          <t>FALUN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15714-2026</t>
        </is>
      </c>
      <c r="B1449" s="1" t="n">
        <v>46107</v>
      </c>
      <c r="C1449" s="1" t="n">
        <v>46197</v>
      </c>
      <c r="D1449" t="inlineStr">
        <is>
          <t>DALARNAS LÄN</t>
        </is>
      </c>
      <c r="E1449" t="inlineStr">
        <is>
          <t>FALUN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9774-2026</t>
        </is>
      </c>
      <c r="B1450" s="1" t="n">
        <v>46072</v>
      </c>
      <c r="C1450" s="1" t="n">
        <v>46197</v>
      </c>
      <c r="D1450" t="inlineStr">
        <is>
          <t>DALARNAS LÄN</t>
        </is>
      </c>
      <c r="E1450" t="inlineStr">
        <is>
          <t>FALUN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16916-2025</t>
        </is>
      </c>
      <c r="B1451" s="1" t="n">
        <v>45755</v>
      </c>
      <c r="C1451" s="1" t="n">
        <v>46197</v>
      </c>
      <c r="D1451" t="inlineStr">
        <is>
          <t>DALARNAS LÄN</t>
        </is>
      </c>
      <c r="E1451" t="inlineStr">
        <is>
          <t>FALUN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33998-2024</t>
        </is>
      </c>
      <c r="B1452" s="1" t="n">
        <v>45523</v>
      </c>
      <c r="C1452" s="1" t="n">
        <v>46197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10864-2026</t>
        </is>
      </c>
      <c r="B1453" s="1" t="n">
        <v>46078</v>
      </c>
      <c r="C1453" s="1" t="n">
        <v>46197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22069-2026</t>
        </is>
      </c>
      <c r="B1454" s="1" t="n">
        <v>46153</v>
      </c>
      <c r="C1454" s="1" t="n">
        <v>46197</v>
      </c>
      <c r="D1454" t="inlineStr">
        <is>
          <t>DALARNAS LÄN</t>
        </is>
      </c>
      <c r="E1454" t="inlineStr">
        <is>
          <t>FALUN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28117-2026</t>
        </is>
      </c>
      <c r="B1455" s="1" t="n">
        <v>46195</v>
      </c>
      <c r="C1455" s="1" t="n">
        <v>46197</v>
      </c>
      <c r="D1455" t="inlineStr">
        <is>
          <t>DALARNAS LÄN</t>
        </is>
      </c>
      <c r="E1455" t="inlineStr">
        <is>
          <t>FALUN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22343-2026</t>
        </is>
      </c>
      <c r="B1456" s="1" t="n">
        <v>46154</v>
      </c>
      <c r="C1456" s="1" t="n">
        <v>46197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22374-2026</t>
        </is>
      </c>
      <c r="B1457" s="1" t="n">
        <v>46154</v>
      </c>
      <c r="C1457" s="1" t="n">
        <v>46197</v>
      </c>
      <c r="D1457" t="inlineStr">
        <is>
          <t>DALARNAS LÄN</t>
        </is>
      </c>
      <c r="E1457" t="inlineStr">
        <is>
          <t>FALUN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22382-2026</t>
        </is>
      </c>
      <c r="B1458" s="1" t="n">
        <v>46154</v>
      </c>
      <c r="C1458" s="1" t="n">
        <v>46197</v>
      </c>
      <c r="D1458" t="inlineStr">
        <is>
          <t>DALARNAS LÄN</t>
        </is>
      </c>
      <c r="E1458" t="inlineStr">
        <is>
          <t>FALUN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22283-2026</t>
        </is>
      </c>
      <c r="B1459" s="1" t="n">
        <v>46154</v>
      </c>
      <c r="C1459" s="1" t="n">
        <v>46197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22331-2026</t>
        </is>
      </c>
      <c r="B1460" s="1" t="n">
        <v>46154</v>
      </c>
      <c r="C1460" s="1" t="n">
        <v>46197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14511-2026</t>
        </is>
      </c>
      <c r="B1461" s="1" t="n">
        <v>46100</v>
      </c>
      <c r="C1461" s="1" t="n">
        <v>46197</v>
      </c>
      <c r="D1461" t="inlineStr">
        <is>
          <t>DALARNAS LÄN</t>
        </is>
      </c>
      <c r="E1461" t="inlineStr">
        <is>
          <t>FALUN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27998-2026</t>
        </is>
      </c>
      <c r="B1462" s="1" t="n">
        <v>46195</v>
      </c>
      <c r="C1462" s="1" t="n">
        <v>46197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1436-2026</t>
        </is>
      </c>
      <c r="B1463" s="1" t="n">
        <v>46032</v>
      </c>
      <c r="C1463" s="1" t="n">
        <v>46197</v>
      </c>
      <c r="D1463" t="inlineStr">
        <is>
          <t>DALARNAS LÄN</t>
        </is>
      </c>
      <c r="E1463" t="inlineStr">
        <is>
          <t>FALUN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22295-2026</t>
        </is>
      </c>
      <c r="B1464" s="1" t="n">
        <v>46154</v>
      </c>
      <c r="C1464" s="1" t="n">
        <v>46197</v>
      </c>
      <c r="D1464" t="inlineStr">
        <is>
          <t>DALARNAS LÄN</t>
        </is>
      </c>
      <c r="E1464" t="inlineStr">
        <is>
          <t>FALUN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22322-2026</t>
        </is>
      </c>
      <c r="B1465" s="1" t="n">
        <v>46154</v>
      </c>
      <c r="C1465" s="1" t="n">
        <v>46197</v>
      </c>
      <c r="D1465" t="inlineStr">
        <is>
          <t>DALARNAS LÄN</t>
        </is>
      </c>
      <c r="E1465" t="inlineStr">
        <is>
          <t>FALUN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10268-2024</t>
        </is>
      </c>
      <c r="B1466" s="1" t="n">
        <v>45365</v>
      </c>
      <c r="C1466" s="1" t="n">
        <v>46197</v>
      </c>
      <c r="D1466" t="inlineStr">
        <is>
          <t>DALARNAS LÄN</t>
        </is>
      </c>
      <c r="E1466" t="inlineStr">
        <is>
          <t>FALUN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28306-2026</t>
        </is>
      </c>
      <c r="B1467" s="1" t="n">
        <v>46196</v>
      </c>
      <c r="C1467" s="1" t="n">
        <v>46197</v>
      </c>
      <c r="D1467" t="inlineStr">
        <is>
          <t>DALARNAS LÄN</t>
        </is>
      </c>
      <c r="E1467" t="inlineStr">
        <is>
          <t>FALUN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2028-2026</t>
        </is>
      </c>
      <c r="B1468" s="1" t="n">
        <v>46035</v>
      </c>
      <c r="C1468" s="1" t="n">
        <v>46197</v>
      </c>
      <c r="D1468" t="inlineStr">
        <is>
          <t>DALARNAS LÄN</t>
        </is>
      </c>
      <c r="E1468" t="inlineStr">
        <is>
          <t>FALUN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42327-2024</t>
        </is>
      </c>
      <c r="B1469" s="1" t="n">
        <v>45562</v>
      </c>
      <c r="C1469" s="1" t="n">
        <v>46197</v>
      </c>
      <c r="D1469" t="inlineStr">
        <is>
          <t>DALARNAS LÄN</t>
        </is>
      </c>
      <c r="E1469" t="inlineStr">
        <is>
          <t>FALUN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5680-2023</t>
        </is>
      </c>
      <c r="B1470" s="1" t="n">
        <v>44960</v>
      </c>
      <c r="C1470" s="1" t="n">
        <v>46197</v>
      </c>
      <c r="D1470" t="inlineStr">
        <is>
          <t>DALARNAS LÄN</t>
        </is>
      </c>
      <c r="E1470" t="inlineStr">
        <is>
          <t>FALUN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35807-2022</t>
        </is>
      </c>
      <c r="B1471" s="1" t="n">
        <v>44802</v>
      </c>
      <c r="C1471" s="1" t="n">
        <v>46197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49642-2024</t>
        </is>
      </c>
      <c r="B1472" s="1" t="n">
        <v>45596</v>
      </c>
      <c r="C1472" s="1" t="n">
        <v>46197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49663-2024</t>
        </is>
      </c>
      <c r="B1473" s="1" t="n">
        <v>45596</v>
      </c>
      <c r="C1473" s="1" t="n">
        <v>46197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42292-2023</t>
        </is>
      </c>
      <c r="B1474" s="1" t="n">
        <v>45180</v>
      </c>
      <c r="C1474" s="1" t="n">
        <v>46197</v>
      </c>
      <c r="D1474" t="inlineStr">
        <is>
          <t>DALARNAS LÄN</t>
        </is>
      </c>
      <c r="E1474" t="inlineStr">
        <is>
          <t>FALUN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13636-2023</t>
        </is>
      </c>
      <c r="B1475" s="1" t="n">
        <v>45006</v>
      </c>
      <c r="C1475" s="1" t="n">
        <v>46197</v>
      </c>
      <c r="D1475" t="inlineStr">
        <is>
          <t>DALARNAS LÄN</t>
        </is>
      </c>
      <c r="E1475" t="inlineStr">
        <is>
          <t>FALUN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15193-2022</t>
        </is>
      </c>
      <c r="B1476" s="1" t="n">
        <v>44658</v>
      </c>
      <c r="C1476" s="1" t="n">
        <v>46197</v>
      </c>
      <c r="D1476" t="inlineStr">
        <is>
          <t>DALARNAS LÄN</t>
        </is>
      </c>
      <c r="E1476" t="inlineStr">
        <is>
          <t>FALUN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43377-2022</t>
        </is>
      </c>
      <c r="B1477" s="1" t="n">
        <v>44834</v>
      </c>
      <c r="C1477" s="1" t="n">
        <v>46197</v>
      </c>
      <c r="D1477" t="inlineStr">
        <is>
          <t>DALARNAS LÄN</t>
        </is>
      </c>
      <c r="E1477" t="inlineStr">
        <is>
          <t>FALUN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35231-2021</t>
        </is>
      </c>
      <c r="B1478" s="1" t="n">
        <v>44384</v>
      </c>
      <c r="C1478" s="1" t="n">
        <v>46197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10523-2023</t>
        </is>
      </c>
      <c r="B1479" s="1" t="n">
        <v>44987</v>
      </c>
      <c r="C1479" s="1" t="n">
        <v>46197</v>
      </c>
      <c r="D1479" t="inlineStr">
        <is>
          <t>DALARNAS LÄN</t>
        </is>
      </c>
      <c r="E1479" t="inlineStr">
        <is>
          <t>FALUN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28275-2023</t>
        </is>
      </c>
      <c r="B1480" s="1" t="n">
        <v>45099</v>
      </c>
      <c r="C1480" s="1" t="n">
        <v>46197</v>
      </c>
      <c r="D1480" t="inlineStr">
        <is>
          <t>DALARNAS LÄN</t>
        </is>
      </c>
      <c r="E1480" t="inlineStr">
        <is>
          <t>FALUN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51920-2024</t>
        </is>
      </c>
      <c r="B1481" s="1" t="n">
        <v>45607</v>
      </c>
      <c r="C1481" s="1" t="n">
        <v>46197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49645-2024</t>
        </is>
      </c>
      <c r="B1482" s="1" t="n">
        <v>45596</v>
      </c>
      <c r="C1482" s="1" t="n">
        <v>46197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16929-2023</t>
        </is>
      </c>
      <c r="B1483" s="1" t="n">
        <v>45033</v>
      </c>
      <c r="C1483" s="1" t="n">
        <v>46197</v>
      </c>
      <c r="D1483" t="inlineStr">
        <is>
          <t>DALARNAS LÄN</t>
        </is>
      </c>
      <c r="E1483" t="inlineStr">
        <is>
          <t>FALUN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34764-2021</t>
        </is>
      </c>
      <c r="B1484" s="1" t="n">
        <v>44382</v>
      </c>
      <c r="C1484" s="1" t="n">
        <v>46197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42436-2024</t>
        </is>
      </c>
      <c r="B1485" s="1" t="n">
        <v>45565</v>
      </c>
      <c r="C1485" s="1" t="n">
        <v>46197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52615-2021</t>
        </is>
      </c>
      <c r="B1486" s="1" t="n">
        <v>44466</v>
      </c>
      <c r="C1486" s="1" t="n">
        <v>46197</v>
      </c>
      <c r="D1486" t="inlineStr">
        <is>
          <t>DALARNAS LÄN</t>
        </is>
      </c>
      <c r="E1486" t="inlineStr">
        <is>
          <t>FALUN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31884-2023</t>
        </is>
      </c>
      <c r="B1487" s="1" t="n">
        <v>45118</v>
      </c>
      <c r="C1487" s="1" t="n">
        <v>46197</v>
      </c>
      <c r="D1487" t="inlineStr">
        <is>
          <t>DALARNAS LÄN</t>
        </is>
      </c>
      <c r="E1487" t="inlineStr">
        <is>
          <t>FALUN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49986-2024</t>
        </is>
      </c>
      <c r="B1488" s="1" t="n">
        <v>45597</v>
      </c>
      <c r="C1488" s="1" t="n">
        <v>46197</v>
      </c>
      <c r="D1488" t="inlineStr">
        <is>
          <t>DALARNAS LÄN</t>
        </is>
      </c>
      <c r="E1488" t="inlineStr">
        <is>
          <t>FALUN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50184-2022</t>
        </is>
      </c>
      <c r="B1489" s="1" t="n">
        <v>44865</v>
      </c>
      <c r="C1489" s="1" t="n">
        <v>46197</v>
      </c>
      <c r="D1489" t="inlineStr">
        <is>
          <t>DALARNAS LÄN</t>
        </is>
      </c>
      <c r="E1489" t="inlineStr">
        <is>
          <t>FALUN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33534-2023</t>
        </is>
      </c>
      <c r="B1490" s="1" t="n">
        <v>45131</v>
      </c>
      <c r="C1490" s="1" t="n">
        <v>46197</v>
      </c>
      <c r="D1490" t="inlineStr">
        <is>
          <t>DALARNAS LÄN</t>
        </is>
      </c>
      <c r="E1490" t="inlineStr">
        <is>
          <t>FALUN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33539-2023</t>
        </is>
      </c>
      <c r="B1491" s="1" t="n">
        <v>45131</v>
      </c>
      <c r="C1491" s="1" t="n">
        <v>46197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33543-2023</t>
        </is>
      </c>
      <c r="B1492" s="1" t="n">
        <v>45131</v>
      </c>
      <c r="C1492" s="1" t="n">
        <v>46197</v>
      </c>
      <c r="D1492" t="inlineStr">
        <is>
          <t>DALARNAS LÄN</t>
        </is>
      </c>
      <c r="E1492" t="inlineStr">
        <is>
          <t>FALUN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24694-2023</t>
        </is>
      </c>
      <c r="B1493" s="1" t="n">
        <v>45084</v>
      </c>
      <c r="C1493" s="1" t="n">
        <v>46197</v>
      </c>
      <c r="D1493" t="inlineStr">
        <is>
          <t>DALARNAS LÄN</t>
        </is>
      </c>
      <c r="E1493" t="inlineStr">
        <is>
          <t>FALUN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2380-2025</t>
        </is>
      </c>
      <c r="B1494" s="1" t="n">
        <v>45673</v>
      </c>
      <c r="C1494" s="1" t="n">
        <v>46197</v>
      </c>
      <c r="D1494" t="inlineStr">
        <is>
          <t>DALARNAS LÄN</t>
        </is>
      </c>
      <c r="E1494" t="inlineStr">
        <is>
          <t>FALUN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35917-2023</t>
        </is>
      </c>
      <c r="B1495" s="1" t="n">
        <v>45148</v>
      </c>
      <c r="C1495" s="1" t="n">
        <v>46197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44315-2023</t>
        </is>
      </c>
      <c r="B1496" s="1" t="n">
        <v>45188</v>
      </c>
      <c r="C1496" s="1" t="n">
        <v>46197</v>
      </c>
      <c r="D1496" t="inlineStr">
        <is>
          <t>DALARNAS LÄN</t>
        </is>
      </c>
      <c r="E1496" t="inlineStr">
        <is>
          <t>FALUN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39914-2024</t>
        </is>
      </c>
      <c r="B1497" s="1" t="n">
        <v>45553</v>
      </c>
      <c r="C1497" s="1" t="n">
        <v>46197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15121-2025</t>
        </is>
      </c>
      <c r="B1498" s="1" t="n">
        <v>45744</v>
      </c>
      <c r="C1498" s="1" t="n">
        <v>46197</v>
      </c>
      <c r="D1498" t="inlineStr">
        <is>
          <t>DALARNAS LÄN</t>
        </is>
      </c>
      <c r="E1498" t="inlineStr">
        <is>
          <t>FALUN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17883-2025</t>
        </is>
      </c>
      <c r="B1499" s="1" t="n">
        <v>45758</v>
      </c>
      <c r="C1499" s="1" t="n">
        <v>46197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23642-2024</t>
        </is>
      </c>
      <c r="B1500" s="1" t="n">
        <v>45454</v>
      </c>
      <c r="C1500" s="1" t="n">
        <v>46197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2556-2023</t>
        </is>
      </c>
      <c r="B1501" s="1" t="n">
        <v>44943</v>
      </c>
      <c r="C1501" s="1" t="n">
        <v>46197</v>
      </c>
      <c r="D1501" t="inlineStr">
        <is>
          <t>DALARNAS LÄN</t>
        </is>
      </c>
      <c r="E1501" t="inlineStr">
        <is>
          <t>FALUN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746-2025</t>
        </is>
      </c>
      <c r="B1502" s="1" t="n">
        <v>45665</v>
      </c>
      <c r="C1502" s="1" t="n">
        <v>46197</v>
      </c>
      <c r="D1502" t="inlineStr">
        <is>
          <t>DALARNAS LÄN</t>
        </is>
      </c>
      <c r="E1502" t="inlineStr">
        <is>
          <t>FALUN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7755-2024</t>
        </is>
      </c>
      <c r="B1503" s="1" t="n">
        <v>45349</v>
      </c>
      <c r="C1503" s="1" t="n">
        <v>46197</v>
      </c>
      <c r="D1503" t="inlineStr">
        <is>
          <t>DALARNAS LÄN</t>
        </is>
      </c>
      <c r="E1503" t="inlineStr">
        <is>
          <t>FALUN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44593-2023</t>
        </is>
      </c>
      <c r="B1504" s="1" t="n">
        <v>45189</v>
      </c>
      <c r="C1504" s="1" t="n">
        <v>46197</v>
      </c>
      <c r="D1504" t="inlineStr">
        <is>
          <t>DALARNAS LÄN</t>
        </is>
      </c>
      <c r="E1504" t="inlineStr">
        <is>
          <t>FALUN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46871-2023</t>
        </is>
      </c>
      <c r="B1505" s="1" t="n">
        <v>45200</v>
      </c>
      <c r="C1505" s="1" t="n">
        <v>46197</v>
      </c>
      <c r="D1505" t="inlineStr">
        <is>
          <t>DALARNAS LÄN</t>
        </is>
      </c>
      <c r="E1505" t="inlineStr">
        <is>
          <t>FALUN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19967-2025</t>
        </is>
      </c>
      <c r="B1506" s="1" t="n">
        <v>45771</v>
      </c>
      <c r="C1506" s="1" t="n">
        <v>46197</v>
      </c>
      <c r="D1506" t="inlineStr">
        <is>
          <t>DALARNAS LÄN</t>
        </is>
      </c>
      <c r="E1506" t="inlineStr">
        <is>
          <t>FALUN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63842-2023</t>
        </is>
      </c>
      <c r="B1507" s="1" t="n">
        <v>45278</v>
      </c>
      <c r="C1507" s="1" t="n">
        <v>46197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35941-2023</t>
        </is>
      </c>
      <c r="B1508" s="1" t="n">
        <v>45148</v>
      </c>
      <c r="C1508" s="1" t="n">
        <v>46197</v>
      </c>
      <c r="D1508" t="inlineStr">
        <is>
          <t>DALARNAS LÄN</t>
        </is>
      </c>
      <c r="E1508" t="inlineStr">
        <is>
          <t>FALUN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14688-2023</t>
        </is>
      </c>
      <c r="B1509" s="1" t="n">
        <v>45014</v>
      </c>
      <c r="C1509" s="1" t="n">
        <v>46197</v>
      </c>
      <c r="D1509" t="inlineStr">
        <is>
          <t>DALARNAS LÄN</t>
        </is>
      </c>
      <c r="E1509" t="inlineStr">
        <is>
          <t>FALUN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26615-2022</t>
        </is>
      </c>
      <c r="B1510" s="1" t="n">
        <v>44739</v>
      </c>
      <c r="C1510" s="1" t="n">
        <v>46197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18308-2025</t>
        </is>
      </c>
      <c r="B1511" s="1" t="n">
        <v>45762</v>
      </c>
      <c r="C1511" s="1" t="n">
        <v>46197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13565-2024</t>
        </is>
      </c>
      <c r="B1512" s="1" t="n">
        <v>45389</v>
      </c>
      <c r="C1512" s="1" t="n">
        <v>46197</v>
      </c>
      <c r="D1512" t="inlineStr">
        <is>
          <t>DALARNAS LÄN</t>
        </is>
      </c>
      <c r="E1512" t="inlineStr">
        <is>
          <t>FALUN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58713-2024</t>
        </is>
      </c>
      <c r="B1513" s="1" t="n">
        <v>45635</v>
      </c>
      <c r="C1513" s="1" t="n">
        <v>46197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58819-2023</t>
        </is>
      </c>
      <c r="B1514" s="1" t="n">
        <v>45252</v>
      </c>
      <c r="C1514" s="1" t="n">
        <v>46197</v>
      </c>
      <c r="D1514" t="inlineStr">
        <is>
          <t>DALARNAS LÄN</t>
        </is>
      </c>
      <c r="E1514" t="inlineStr">
        <is>
          <t>FALUN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40426-2022</t>
        </is>
      </c>
      <c r="B1515" s="1" t="n">
        <v>44823</v>
      </c>
      <c r="C1515" s="1" t="n">
        <v>46197</v>
      </c>
      <c r="D1515" t="inlineStr">
        <is>
          <t>DALARNAS LÄN</t>
        </is>
      </c>
      <c r="E1515" t="inlineStr">
        <is>
          <t>FALUN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43222-2023</t>
        </is>
      </c>
      <c r="B1516" s="1" t="n">
        <v>45183</v>
      </c>
      <c r="C1516" s="1" t="n">
        <v>46197</v>
      </c>
      <c r="D1516" t="inlineStr">
        <is>
          <t>DALARNAS LÄN</t>
        </is>
      </c>
      <c r="E1516" t="inlineStr">
        <is>
          <t>FALUN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47767-2024</t>
        </is>
      </c>
      <c r="B1517" s="1" t="n">
        <v>45588</v>
      </c>
      <c r="C1517" s="1" t="n">
        <v>46197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50757-2024</t>
        </is>
      </c>
      <c r="B1518" s="1" t="n">
        <v>45602</v>
      </c>
      <c r="C1518" s="1" t="n">
        <v>46197</v>
      </c>
      <c r="D1518" t="inlineStr">
        <is>
          <t>DALARNAS LÄN</t>
        </is>
      </c>
      <c r="E1518" t="inlineStr">
        <is>
          <t>FALUN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5397-2024</t>
        </is>
      </c>
      <c r="B1519" s="1" t="n">
        <v>45331</v>
      </c>
      <c r="C1519" s="1" t="n">
        <v>46197</v>
      </c>
      <c r="D1519" t="inlineStr">
        <is>
          <t>DALARNAS LÄN</t>
        </is>
      </c>
      <c r="E1519" t="inlineStr">
        <is>
          <t>FALUN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25722-2023</t>
        </is>
      </c>
      <c r="B1520" s="1" t="n">
        <v>45090</v>
      </c>
      <c r="C1520" s="1" t="n">
        <v>46197</v>
      </c>
      <c r="D1520" t="inlineStr">
        <is>
          <t>DALARNAS LÄN</t>
        </is>
      </c>
      <c r="E1520" t="inlineStr">
        <is>
          <t>FALUN</t>
        </is>
      </c>
      <c r="G1520" t="n">
        <v>11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7436-2025</t>
        </is>
      </c>
      <c r="B1521" s="1" t="n">
        <v>45705</v>
      </c>
      <c r="C1521" s="1" t="n">
        <v>46197</v>
      </c>
      <c r="D1521" t="inlineStr">
        <is>
          <t>DALARNAS LÄN</t>
        </is>
      </c>
      <c r="E1521" t="inlineStr">
        <is>
          <t>FALUN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40635-2022</t>
        </is>
      </c>
      <c r="B1522" s="1" t="n">
        <v>44824</v>
      </c>
      <c r="C1522" s="1" t="n">
        <v>46197</v>
      </c>
      <c r="D1522" t="inlineStr">
        <is>
          <t>DALARNAS LÄN</t>
        </is>
      </c>
      <c r="E1522" t="inlineStr">
        <is>
          <t>FALUN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19194-2023</t>
        </is>
      </c>
      <c r="B1523" s="1" t="n">
        <v>45048</v>
      </c>
      <c r="C1523" s="1" t="n">
        <v>46197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50772-2024</t>
        </is>
      </c>
      <c r="B1524" s="1" t="n">
        <v>45602</v>
      </c>
      <c r="C1524" s="1" t="n">
        <v>46197</v>
      </c>
      <c r="D1524" t="inlineStr">
        <is>
          <t>DALARNAS LÄN</t>
        </is>
      </c>
      <c r="E1524" t="inlineStr">
        <is>
          <t>FALUN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22646-2024</t>
        </is>
      </c>
      <c r="B1525" s="1" t="n">
        <v>45447</v>
      </c>
      <c r="C1525" s="1" t="n">
        <v>46197</v>
      </c>
      <c r="D1525" t="inlineStr">
        <is>
          <t>DALARNAS LÄN</t>
        </is>
      </c>
      <c r="E1525" t="inlineStr">
        <is>
          <t>FALUN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45665-2024</t>
        </is>
      </c>
      <c r="B1526" s="1" t="n">
        <v>45579</v>
      </c>
      <c r="C1526" s="1" t="n">
        <v>46197</v>
      </c>
      <c r="D1526" t="inlineStr">
        <is>
          <t>DALARNAS LÄN</t>
        </is>
      </c>
      <c r="E1526" t="inlineStr">
        <is>
          <t>FALUN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8823-2023</t>
        </is>
      </c>
      <c r="B1527" s="1" t="n">
        <v>44978</v>
      </c>
      <c r="C1527" s="1" t="n">
        <v>46197</v>
      </c>
      <c r="D1527" t="inlineStr">
        <is>
          <t>DALARNAS LÄN</t>
        </is>
      </c>
      <c r="E1527" t="inlineStr">
        <is>
          <t>FALUN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47631-2023</t>
        </is>
      </c>
      <c r="B1528" s="1" t="n">
        <v>45203</v>
      </c>
      <c r="C1528" s="1" t="n">
        <v>46197</v>
      </c>
      <c r="D1528" t="inlineStr">
        <is>
          <t>DALARNAS LÄN</t>
        </is>
      </c>
      <c r="E1528" t="inlineStr">
        <is>
          <t>FALUN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49683-2024</t>
        </is>
      </c>
      <c r="B1529" s="1" t="n">
        <v>45596</v>
      </c>
      <c r="C1529" s="1" t="n">
        <v>46197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3278-2024</t>
        </is>
      </c>
      <c r="B1530" s="1" t="n">
        <v>45317</v>
      </c>
      <c r="C1530" s="1" t="n">
        <v>46197</v>
      </c>
      <c r="D1530" t="inlineStr">
        <is>
          <t>DALARNAS LÄN</t>
        </is>
      </c>
      <c r="E1530" t="inlineStr">
        <is>
          <t>FALUN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33931-2024</t>
        </is>
      </c>
      <c r="B1531" s="1" t="n">
        <v>45523</v>
      </c>
      <c r="C1531" s="1" t="n">
        <v>46197</v>
      </c>
      <c r="D1531" t="inlineStr">
        <is>
          <t>DALARNAS LÄN</t>
        </is>
      </c>
      <c r="E1531" t="inlineStr">
        <is>
          <t>FALUN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58322-2023</t>
        </is>
      </c>
      <c r="B1532" s="1" t="n">
        <v>45250</v>
      </c>
      <c r="C1532" s="1" t="n">
        <v>46197</v>
      </c>
      <c r="D1532" t="inlineStr">
        <is>
          <t>DALARNAS LÄN</t>
        </is>
      </c>
      <c r="E1532" t="inlineStr">
        <is>
          <t>FALUN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30537-2024</t>
        </is>
      </c>
      <c r="B1533" s="1" t="n">
        <v>45492</v>
      </c>
      <c r="C1533" s="1" t="n">
        <v>46197</v>
      </c>
      <c r="D1533" t="inlineStr">
        <is>
          <t>DALARNAS LÄN</t>
        </is>
      </c>
      <c r="E1533" t="inlineStr">
        <is>
          <t>FALUN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5738-2025</t>
        </is>
      </c>
      <c r="B1534" s="1" t="n">
        <v>45694</v>
      </c>
      <c r="C1534" s="1" t="n">
        <v>46197</v>
      </c>
      <c r="D1534" t="inlineStr">
        <is>
          <t>DALARNAS LÄN</t>
        </is>
      </c>
      <c r="E1534" t="inlineStr">
        <is>
          <t>FALUN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4834-2024</t>
        </is>
      </c>
      <c r="B1535" s="1" t="n">
        <v>45329</v>
      </c>
      <c r="C1535" s="1" t="n">
        <v>46197</v>
      </c>
      <c r="D1535" t="inlineStr">
        <is>
          <t>DALARNAS LÄN</t>
        </is>
      </c>
      <c r="E1535" t="inlineStr">
        <is>
          <t>FALUN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22941-2023</t>
        </is>
      </c>
      <c r="B1536" s="1" t="n">
        <v>45072</v>
      </c>
      <c r="C1536" s="1" t="n">
        <v>46197</v>
      </c>
      <c r="D1536" t="inlineStr">
        <is>
          <t>DALARNAS LÄN</t>
        </is>
      </c>
      <c r="E1536" t="inlineStr">
        <is>
          <t>FALUN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32571-2024</t>
        </is>
      </c>
      <c r="B1537" s="1" t="n">
        <v>45513</v>
      </c>
      <c r="C1537" s="1" t="n">
        <v>46197</v>
      </c>
      <c r="D1537" t="inlineStr">
        <is>
          <t>DALARNAS LÄN</t>
        </is>
      </c>
      <c r="E1537" t="inlineStr">
        <is>
          <t>FALUN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13237-2024</t>
        </is>
      </c>
      <c r="B1538" s="1" t="n">
        <v>45386</v>
      </c>
      <c r="C1538" s="1" t="n">
        <v>46197</v>
      </c>
      <c r="D1538" t="inlineStr">
        <is>
          <t>DALARNAS LÄN</t>
        </is>
      </c>
      <c r="E1538" t="inlineStr">
        <is>
          <t>FALUN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20684-2025</t>
        </is>
      </c>
      <c r="B1539" s="1" t="n">
        <v>45776</v>
      </c>
      <c r="C1539" s="1" t="n">
        <v>46197</v>
      </c>
      <c r="D1539" t="inlineStr">
        <is>
          <t>DALARNAS LÄN</t>
        </is>
      </c>
      <c r="E1539" t="inlineStr">
        <is>
          <t>FALUN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20680-2025</t>
        </is>
      </c>
      <c r="B1540" s="1" t="n">
        <v>45776</v>
      </c>
      <c r="C1540" s="1" t="n">
        <v>46197</v>
      </c>
      <c r="D1540" t="inlineStr">
        <is>
          <t>DALARNAS LÄN</t>
        </is>
      </c>
      <c r="E1540" t="inlineStr">
        <is>
          <t>FALUN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20954-2025</t>
        </is>
      </c>
      <c r="B1541" s="1" t="n">
        <v>45777</v>
      </c>
      <c r="C1541" s="1" t="n">
        <v>46197</v>
      </c>
      <c r="D1541" t="inlineStr">
        <is>
          <t>DALARNAS LÄN</t>
        </is>
      </c>
      <c r="E1541" t="inlineStr">
        <is>
          <t>FALUN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29880-2024</t>
        </is>
      </c>
      <c r="B1542" s="1" t="n">
        <v>45486</v>
      </c>
      <c r="C1542" s="1" t="n">
        <v>46197</v>
      </c>
      <c r="D1542" t="inlineStr">
        <is>
          <t>DALARNAS LÄN</t>
        </is>
      </c>
      <c r="E1542" t="inlineStr">
        <is>
          <t>FALUN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44183-2024</t>
        </is>
      </c>
      <c r="B1543" s="1" t="n">
        <v>45572</v>
      </c>
      <c r="C1543" s="1" t="n">
        <v>46197</v>
      </c>
      <c r="D1543" t="inlineStr">
        <is>
          <t>DALARNAS LÄN</t>
        </is>
      </c>
      <c r="E1543" t="inlineStr">
        <is>
          <t>FALUN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15790-2024</t>
        </is>
      </c>
      <c r="B1544" s="1" t="n">
        <v>45404</v>
      </c>
      <c r="C1544" s="1" t="n">
        <v>46197</v>
      </c>
      <c r="D1544" t="inlineStr">
        <is>
          <t>DALARNAS LÄN</t>
        </is>
      </c>
      <c r="E1544" t="inlineStr">
        <is>
          <t>FALUN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43755-2023</t>
        </is>
      </c>
      <c r="B1545" s="1" t="n">
        <v>45187</v>
      </c>
      <c r="C1545" s="1" t="n">
        <v>46197</v>
      </c>
      <c r="D1545" t="inlineStr">
        <is>
          <t>DALARNAS LÄN</t>
        </is>
      </c>
      <c r="E1545" t="inlineStr">
        <is>
          <t>FALUN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26773-2024</t>
        </is>
      </c>
      <c r="B1546" s="1" t="n">
        <v>45470</v>
      </c>
      <c r="C1546" s="1" t="n">
        <v>46197</v>
      </c>
      <c r="D1546" t="inlineStr">
        <is>
          <t>DALARNAS LÄN</t>
        </is>
      </c>
      <c r="E1546" t="inlineStr">
        <is>
          <t>FALUN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35890-2024</t>
        </is>
      </c>
      <c r="B1547" s="1" t="n">
        <v>45533</v>
      </c>
      <c r="C1547" s="1" t="n">
        <v>46197</v>
      </c>
      <c r="D1547" t="inlineStr">
        <is>
          <t>DALARNAS LÄN</t>
        </is>
      </c>
      <c r="E1547" t="inlineStr">
        <is>
          <t>FALUN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28724-2024</t>
        </is>
      </c>
      <c r="B1548" s="1" t="n">
        <v>45478</v>
      </c>
      <c r="C1548" s="1" t="n">
        <v>46197</v>
      </c>
      <c r="D1548" t="inlineStr">
        <is>
          <t>DALARNAS LÄN</t>
        </is>
      </c>
      <c r="E1548" t="inlineStr">
        <is>
          <t>FALUN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35894-2024</t>
        </is>
      </c>
      <c r="B1549" s="1" t="n">
        <v>45533</v>
      </c>
      <c r="C1549" s="1" t="n">
        <v>46197</v>
      </c>
      <c r="D1549" t="inlineStr">
        <is>
          <t>DALARNAS LÄN</t>
        </is>
      </c>
      <c r="E1549" t="inlineStr">
        <is>
          <t>FALUN</t>
        </is>
      </c>
      <c r="G1549" t="n">
        <v>8.800000000000001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28123-2024</t>
        </is>
      </c>
      <c r="B1550" s="1" t="n">
        <v>45476</v>
      </c>
      <c r="C1550" s="1" t="n">
        <v>46197</v>
      </c>
      <c r="D1550" t="inlineStr">
        <is>
          <t>DALARNAS LÄN</t>
        </is>
      </c>
      <c r="E1550" t="inlineStr">
        <is>
          <t>FALUN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24625-2024</t>
        </is>
      </c>
      <c r="B1551" s="1" t="n">
        <v>45460</v>
      </c>
      <c r="C1551" s="1" t="n">
        <v>46197</v>
      </c>
      <c r="D1551" t="inlineStr">
        <is>
          <t>DALARNAS LÄN</t>
        </is>
      </c>
      <c r="E1551" t="inlineStr">
        <is>
          <t>FALUN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11109-2024</t>
        </is>
      </c>
      <c r="B1552" s="1" t="n">
        <v>45371</v>
      </c>
      <c r="C1552" s="1" t="n">
        <v>46197</v>
      </c>
      <c r="D1552" t="inlineStr">
        <is>
          <t>DALARNAS LÄN</t>
        </is>
      </c>
      <c r="E1552" t="inlineStr">
        <is>
          <t>FALUN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35530-2024</t>
        </is>
      </c>
      <c r="B1553" s="1" t="n">
        <v>45531</v>
      </c>
      <c r="C1553" s="1" t="n">
        <v>46197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22097-2025</t>
        </is>
      </c>
      <c r="B1554" s="1" t="n">
        <v>45785</v>
      </c>
      <c r="C1554" s="1" t="n">
        <v>46197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7902-2024</t>
        </is>
      </c>
      <c r="B1555" s="1" t="n">
        <v>45350</v>
      </c>
      <c r="C1555" s="1" t="n">
        <v>46197</v>
      </c>
      <c r="D1555" t="inlineStr">
        <is>
          <t>DALARNAS LÄN</t>
        </is>
      </c>
      <c r="E1555" t="inlineStr">
        <is>
          <t>FALUN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5169-2024</t>
        </is>
      </c>
      <c r="B1556" s="1" t="n">
        <v>45330</v>
      </c>
      <c r="C1556" s="1" t="n">
        <v>46197</v>
      </c>
      <c r="D1556" t="inlineStr">
        <is>
          <t>DALARNAS LÄN</t>
        </is>
      </c>
      <c r="E1556" t="inlineStr">
        <is>
          <t>FALUN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50512-2024</t>
        </is>
      </c>
      <c r="B1557" s="1" t="n">
        <v>45601</v>
      </c>
      <c r="C1557" s="1" t="n">
        <v>46197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5818-2024</t>
        </is>
      </c>
      <c r="B1558" s="1" t="n">
        <v>45335</v>
      </c>
      <c r="C1558" s="1" t="n">
        <v>46197</v>
      </c>
      <c r="D1558" t="inlineStr">
        <is>
          <t>DALARNAS LÄN</t>
        </is>
      </c>
      <c r="E1558" t="inlineStr">
        <is>
          <t>FALUN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22782-2024</t>
        </is>
      </c>
      <c r="B1559" s="1" t="n">
        <v>45448</v>
      </c>
      <c r="C1559" s="1" t="n">
        <v>46197</v>
      </c>
      <c r="D1559" t="inlineStr">
        <is>
          <t>DALARNAS LÄN</t>
        </is>
      </c>
      <c r="E1559" t="inlineStr">
        <is>
          <t>FALUN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38216-2024</t>
        </is>
      </c>
      <c r="B1560" s="1" t="n">
        <v>45545</v>
      </c>
      <c r="C1560" s="1" t="n">
        <v>46197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36397-2024</t>
        </is>
      </c>
      <c r="B1561" s="1" t="n">
        <v>45535</v>
      </c>
      <c r="C1561" s="1" t="n">
        <v>46197</v>
      </c>
      <c r="D1561" t="inlineStr">
        <is>
          <t>DALARNAS LÄN</t>
        </is>
      </c>
      <c r="E1561" t="inlineStr">
        <is>
          <t>FALUN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23711-2025</t>
        </is>
      </c>
      <c r="B1562" s="1" t="n">
        <v>45793</v>
      </c>
      <c r="C1562" s="1" t="n">
        <v>46197</v>
      </c>
      <c r="D1562" t="inlineStr">
        <is>
          <t>DALARNAS LÄN</t>
        </is>
      </c>
      <c r="E1562" t="inlineStr">
        <is>
          <t>FALUN</t>
        </is>
      </c>
      <c r="G1562" t="n">
        <v>5.3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35070-2024</t>
        </is>
      </c>
      <c r="B1563" s="1" t="n">
        <v>45527</v>
      </c>
      <c r="C1563" s="1" t="n">
        <v>46197</v>
      </c>
      <c r="D1563" t="inlineStr">
        <is>
          <t>DALARNAS LÄN</t>
        </is>
      </c>
      <c r="E1563" t="inlineStr">
        <is>
          <t>FALUN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26883-2022</t>
        </is>
      </c>
      <c r="B1564" s="1" t="n">
        <v>44740</v>
      </c>
      <c r="C1564" s="1" t="n">
        <v>46197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51130-2024</t>
        </is>
      </c>
      <c r="B1565" s="1" t="n">
        <v>45603</v>
      </c>
      <c r="C1565" s="1" t="n">
        <v>46197</v>
      </c>
      <c r="D1565" t="inlineStr">
        <is>
          <t>DALARNAS LÄN</t>
        </is>
      </c>
      <c r="E1565" t="inlineStr">
        <is>
          <t>FALUN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35437-2024</t>
        </is>
      </c>
      <c r="B1566" s="1" t="n">
        <v>45531</v>
      </c>
      <c r="C1566" s="1" t="n">
        <v>46197</v>
      </c>
      <c r="D1566" t="inlineStr">
        <is>
          <t>DALARNAS LÄN</t>
        </is>
      </c>
      <c r="E1566" t="inlineStr">
        <is>
          <t>FALUN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20437-2024</t>
        </is>
      </c>
      <c r="B1567" s="1" t="n">
        <v>45435</v>
      </c>
      <c r="C1567" s="1" t="n">
        <v>46197</v>
      </c>
      <c r="D1567" t="inlineStr">
        <is>
          <t>DALARNAS LÄN</t>
        </is>
      </c>
      <c r="E1567" t="inlineStr">
        <is>
          <t>FALUN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61877-2024</t>
        </is>
      </c>
      <c r="B1568" s="1" t="n">
        <v>45652</v>
      </c>
      <c r="C1568" s="1" t="n">
        <v>46197</v>
      </c>
      <c r="D1568" t="inlineStr">
        <is>
          <t>DALARNAS LÄN</t>
        </is>
      </c>
      <c r="E1568" t="inlineStr">
        <is>
          <t>FALUN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42060-2024</t>
        </is>
      </c>
      <c r="B1569" s="1" t="n">
        <v>45561</v>
      </c>
      <c r="C1569" s="1" t="n">
        <v>46197</v>
      </c>
      <c r="D1569" t="inlineStr">
        <is>
          <t>DALARNAS LÄN</t>
        </is>
      </c>
      <c r="E1569" t="inlineStr">
        <is>
          <t>FALUN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58623-2024</t>
        </is>
      </c>
      <c r="B1570" s="1" t="n">
        <v>45635</v>
      </c>
      <c r="C1570" s="1" t="n">
        <v>46197</v>
      </c>
      <c r="D1570" t="inlineStr">
        <is>
          <t>DALARNAS LÄN</t>
        </is>
      </c>
      <c r="E1570" t="inlineStr">
        <is>
          <t>FALUN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24443-2025</t>
        </is>
      </c>
      <c r="B1571" s="1" t="n">
        <v>45798</v>
      </c>
      <c r="C1571" s="1" t="n">
        <v>46197</v>
      </c>
      <c r="D1571" t="inlineStr">
        <is>
          <t>DALARNAS LÄN</t>
        </is>
      </c>
      <c r="E1571" t="inlineStr">
        <is>
          <t>FALUN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36308-2024</t>
        </is>
      </c>
      <c r="B1572" s="1" t="n">
        <v>45534</v>
      </c>
      <c r="C1572" s="1" t="n">
        <v>46197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2767-2024</t>
        </is>
      </c>
      <c r="B1573" s="1" t="n">
        <v>45314</v>
      </c>
      <c r="C1573" s="1" t="n">
        <v>46197</v>
      </c>
      <c r="D1573" t="inlineStr">
        <is>
          <t>DALARNAS LÄN</t>
        </is>
      </c>
      <c r="E1573" t="inlineStr">
        <is>
          <t>FALUN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>
      <c r="A1574" t="inlineStr">
        <is>
          <t>A 10940-2025</t>
        </is>
      </c>
      <c r="B1574" s="1" t="n">
        <v>45723</v>
      </c>
      <c r="C1574" s="1" t="n">
        <v>46197</v>
      </c>
      <c r="D1574" t="inlineStr">
        <is>
          <t>DALARNAS LÄN</t>
        </is>
      </c>
      <c r="E1574" t="inlineStr">
        <is>
          <t>FALUN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2026-06-24T00:48:41Z</dcterms:created>
  <dcterms:modified xmlns:dcterms="http://purl.org/dc/terms/" xmlns:xsi="http://www.w3.org/2001/XMLSchema-instance" xsi:type="dcterms:W3CDTF">2026-06-24T00:48:55Z</dcterms:modified>
</cp:coreProperties>
</file>