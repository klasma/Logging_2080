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45813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45813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45813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45813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45813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45813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45813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45813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45813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45813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45813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45813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45813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45813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45813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45813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45813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45813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45813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45813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45813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45813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45813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45813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45813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45813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45813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45813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45813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45813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45813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45813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45813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45813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45813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45813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45813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45813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45813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45813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45813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45813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45813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45813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45813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45813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45813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45813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45813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45813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45813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45813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45813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45813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45813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45813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45813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45813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45813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45813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45813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45813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45813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45813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45813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45813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45813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45813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45813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45813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45813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45813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45813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45813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45813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45813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45813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45813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45813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45813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45813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45813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45813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45813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45813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45813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45813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45813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45813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45813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45813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45813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45813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45813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45813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45813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26721-2025</t>
        </is>
      </c>
      <c r="B98" s="1" t="n">
        <v>45810</v>
      </c>
      <c r="C98" s="1" t="n">
        <v>45813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Doftskinn</t>
        </is>
      </c>
      <c r="S98">
        <f>HYPERLINK("https://klasma.github.io/Logging_202080/artfynd/A 26721-2025 artfynd.xlsx", "A 26721-2025")</f>
        <v/>
      </c>
      <c r="T98">
        <f>HYPERLINK("https://klasma.github.io/Logging_202080/kartor/A 26721-2025 karta.png", "A 26721-2025")</f>
        <v/>
      </c>
      <c r="V98">
        <f>HYPERLINK("https://klasma.github.io/Logging_202080/klagomål/A 26721-2025 FSC-klagomål.docx", "A 26721-2025")</f>
        <v/>
      </c>
      <c r="W98">
        <f>HYPERLINK("https://klasma.github.io/Logging_202080/klagomålsmail/A 26721-2025 FSC-klagomål mail.docx", "A 26721-2025")</f>
        <v/>
      </c>
      <c r="X98">
        <f>HYPERLINK("https://klasma.github.io/Logging_202080/tillsyn/A 26721-2025 tillsynsbegäran.docx", "A 26721-2025")</f>
        <v/>
      </c>
      <c r="Y98">
        <f>HYPERLINK("https://klasma.github.io/Logging_202080/tillsynsmail/A 26721-2025 tillsynsbegäran mail.docx", "A 26721-2025")</f>
        <v/>
      </c>
    </row>
    <row r="99" ht="15" customHeight="1">
      <c r="A99" t="inlineStr">
        <is>
          <t>A 26776-2025</t>
        </is>
      </c>
      <c r="B99" s="1" t="n">
        <v>45810</v>
      </c>
      <c r="C99" s="1" t="n">
        <v>45813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Skör kvastmossa</t>
        </is>
      </c>
      <c r="S99">
        <f>HYPERLINK("https://klasma.github.io/Logging_202080/artfynd/A 26776-2025 artfynd.xlsx", "A 26776-2025")</f>
        <v/>
      </c>
      <c r="T99">
        <f>HYPERLINK("https://klasma.github.io/Logging_202080/kartor/A 26776-2025 karta.png", "A 26776-2025")</f>
        <v/>
      </c>
      <c r="V99">
        <f>HYPERLINK("https://klasma.github.io/Logging_202080/klagomål/A 26776-2025 FSC-klagomål.docx", "A 26776-2025")</f>
        <v/>
      </c>
      <c r="W99">
        <f>HYPERLINK("https://klasma.github.io/Logging_202080/klagomålsmail/A 26776-2025 FSC-klagomål mail.docx", "A 26776-2025")</f>
        <v/>
      </c>
      <c r="X99">
        <f>HYPERLINK("https://klasma.github.io/Logging_202080/tillsyn/A 26776-2025 tillsynsbegäran.docx", "A 26776-2025")</f>
        <v/>
      </c>
      <c r="Y99">
        <f>HYPERLINK("https://klasma.github.io/Logging_202080/tillsynsmail/A 26776-2025 tillsynsbegäran mail.docx", "A 26776-2025")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45813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45813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45813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45813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45813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45813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45813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45813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45813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45813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45813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45813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45813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45813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45813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45813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45813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45813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45813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45813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45813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45813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45813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45813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45813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45813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45813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45813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45813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45813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45813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45813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45813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45813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45813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45813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45813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45813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45813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45813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45813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45813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45813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45813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45813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45813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45813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45813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45813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45813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45813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45813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45813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45813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45813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45813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45813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45813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45813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45813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45813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45813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45813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45813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45813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45813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45813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45813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45813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45813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45813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45813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45813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45813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45813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45813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45813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45813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45813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45813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45813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45813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45813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45813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45813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45813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45813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45813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45813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45813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45813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45813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45813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45813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45813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45813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45813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45813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45813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45813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45813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45813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45813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45813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45813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45813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45813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45813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45813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45813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45813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45813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45813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45813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45813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45813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45813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45813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45813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45813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45813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45813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45813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45813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45813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45813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45813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45813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45813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45813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45813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45813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45813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45813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45813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45813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45813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45813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45813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45813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45813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45813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45813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45813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45813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45813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45813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45813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45813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45813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45813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45813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45813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45813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45813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45813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45813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45813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45813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45813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45813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45813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45813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45813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45813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45813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45813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45813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45813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45813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45813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45813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45813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45813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45813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45813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45813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45813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45813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45813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45813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45813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45813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45813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45813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45813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45813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45813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45813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45813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45813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45813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45813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45813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45813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45813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45813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45813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45813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45813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45813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45813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45813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45813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45813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45813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45813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45813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45813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45813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45813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45813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45813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45813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45813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45813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45813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45813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45813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45813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45813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45813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45813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45813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45813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45813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45813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45813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45813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45813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45813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45813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45813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45813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45813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45813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45813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45813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45813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45813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45813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45813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45813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45813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45813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45813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45813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45813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45813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45813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45813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45813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45813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45813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45813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45813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45813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45813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45813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45813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45813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45813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45813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45813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45813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45813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45813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45813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45813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45813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45813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45813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45813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45813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45813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45813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45813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45813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45813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45813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45813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45813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45813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45813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45813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45813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45813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45813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45813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45813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45813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45813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45813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45813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45813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45813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45813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45813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45813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45813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45813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45813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45813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45813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45813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45813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45813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45813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45813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45813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45813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45813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45813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45813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45813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45813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45813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45813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45813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45813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45813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45813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45813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45813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45813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45813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45813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45813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45813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45813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45813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45813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45813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45813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45813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45813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45813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45813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45813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45813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45813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45813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45813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45813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45813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45813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45813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45813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45813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45813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45813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45813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45813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45813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45813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45813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45813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45813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45813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45813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45813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45813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45813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45813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45813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45813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45813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45813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45813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45813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45813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45813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45813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45813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45813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45813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45813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45813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45813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45813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45813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45813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45813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45813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45813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45813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45813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45813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45813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45813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45813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45813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45813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45813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45813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45813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45813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45813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45813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45813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45813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45813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45813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45813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45813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45813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45813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45813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45813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45813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45813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45813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45813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45813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45813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45813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45813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45813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45813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45813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45813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45813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45813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45813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45813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45813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45813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45813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45813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45813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45813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45813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45813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45813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45813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45813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45813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45813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45813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45813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45813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45813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45813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45813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45813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45813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45813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45813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45813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45813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45813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45813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45813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45813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45813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45813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45813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45813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45813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45813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45813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45813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45813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45813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45813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45813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45813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45813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45813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45813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45813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45813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45813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45813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45813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45813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45813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45813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45813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45813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45813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45813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45813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45813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45813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45813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45813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45813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45813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45813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45813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45813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45813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45813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45813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45813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45813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45813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45813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45813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45813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45813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45813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45813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45813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45813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45813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45813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45813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45813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45813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45813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45813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45813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45813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45813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45813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45813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45813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45813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45813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45813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45813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45813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45813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45813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45813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45813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45813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45813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45813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45813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45813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45813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45813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45813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45813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45813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45813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45813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45813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45813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45813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45813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45813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45813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45813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45813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45813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45813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45813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45813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45813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45813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45813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45813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45813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45813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45813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45813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45813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45813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45813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45813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45813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45813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45813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45813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45813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45813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45813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45813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45813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45813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45813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45813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45813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45813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45813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45813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45813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45813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45813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45813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45813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45813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45813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45813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45813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45813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45813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45813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45813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45813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45813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45813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45813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45813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45813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45813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45813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45813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45813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45813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45813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45813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45813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45813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45813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45813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45813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45813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45813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45813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45813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45813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45813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45813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45813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45813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45813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45813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45813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45813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45813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45813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45813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45813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45813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45813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45813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45813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45813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45813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45813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45813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45813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45813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45813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45813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45813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45813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45813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45813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45813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45813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45813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45813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45813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45813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45813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45813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45813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45813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45813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45813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45813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45813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45813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45813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45813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45813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45813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45813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45813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45813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45813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45813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45813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45813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45813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45813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45813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45813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45813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45813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45813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45813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45813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45813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45813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45813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45813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45813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45813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45813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45813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45813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45813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45813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45813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45813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45813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45813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45813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45813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45813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45813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45813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45813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45813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45813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45813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45813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45813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45813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45813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45813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45813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45813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45813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45813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45813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45813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45813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45813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45813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45813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45813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45813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45813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45813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45813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45813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45813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45813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45813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45813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45813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45813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45813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45813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45813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45813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45813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45813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45813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45813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45813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45813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45813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45813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45813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45813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45813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45813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45813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45813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45813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45813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45813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45813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45813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45813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45813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45813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45813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45813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45813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45813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45813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45813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45813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45813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45813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45813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45813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45813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45813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45813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45813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45813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45813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45813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45813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45813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45813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45813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45813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45813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45813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45813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45813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45813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45813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45813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45813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45813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45813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45813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45813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45813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45813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45813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45813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45813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45813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45813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45813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45813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45813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45813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45813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45813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45813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45813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45813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45813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45813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45813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45813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45813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45813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45813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45813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45813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45813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45813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45813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45813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45813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45813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45813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45813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45813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45813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45813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45813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45813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45813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45813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45813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45813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45813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45813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45813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45813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45813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45813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45813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45813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45813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45813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45813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45813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45813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45813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45813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45813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45813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45813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45813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45813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45813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45813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45813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45813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45813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45813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45813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45813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45813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45813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45813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45813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45813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45813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45813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45813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45813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45813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45813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45813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45813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45813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45813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45813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45813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45813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45813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45813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45813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45813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45813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45813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45813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45813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45813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45813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45813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45813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45813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45813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45813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45813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45813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45813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45813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45813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45813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45813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45813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45813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45813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45813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45813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45813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45813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45813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45813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45813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45813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45813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45813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45813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45813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45813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45813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45813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45813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45813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45813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45813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45813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45813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45813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45813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45813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45813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45813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45813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45813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45813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45813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45813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45813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45813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45813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45813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45813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45813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45813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45813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45813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45813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45813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45813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45813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45813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45813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45813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45813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45813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45813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45813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45813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45813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45813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45813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45813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45813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45813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45813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45813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45813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45813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45813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45813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45813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45813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45813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45813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45813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45813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45813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45813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45813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45813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45813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45813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45813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45813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45813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45813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45813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45813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45813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45813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45813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45813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45813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45813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45813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45813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45813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45813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45813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45813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45813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45813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45813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45813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45813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45813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45813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45813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45813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45813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45813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45813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45813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45813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45813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45813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45813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45813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45813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45813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45813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45813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45813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45813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45813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45813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45813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45813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45813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45813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45813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45813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45813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45813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45813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45813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45813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45813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45813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45813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45813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45813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45813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45813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45813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45813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45813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45813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45813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45813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45813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45813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45813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45813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45813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45813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45813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45813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45813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45813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45813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45813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45813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45813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45813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45813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45813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45813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45813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45813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45813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45813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45813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45813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45813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45813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45813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45813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45813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45813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45813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45813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45813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45813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45813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45813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45813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45813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45813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45813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45813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45813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45813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45813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45813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45813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45813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45813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45813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45813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45813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45813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45813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45813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45813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45813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45813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45813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45813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45813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45813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45813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45813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45813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45813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45813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45813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45813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45813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45813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45813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45813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45813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45813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45813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45813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45813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45813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45813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45813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45813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45813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45813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45813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45813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45813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45813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45813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45813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45813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45813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45813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45813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45813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45813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45813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45813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45813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45813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45813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45813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45813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45813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45813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45813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45813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45813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45813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45813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45813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45813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45813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45813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45813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45813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45813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45813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45813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45813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45813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45813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45813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45813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45813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45813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45813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45813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45813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45813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45813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45813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45813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45813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45813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45813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45813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45813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45813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45813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45813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45813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45813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45813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45813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45813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45813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45813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45813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45813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45813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45813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45813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45813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45813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45813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45813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45813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45813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45813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45813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45813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45813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45813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45813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45813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45813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45813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45813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45813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45813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45813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45813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45813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45813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45813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45813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45813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45813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45813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45813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45813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45813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45813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45813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45813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45813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45813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45813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45813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45813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45813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45813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45813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45813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45813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45813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45813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45813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45813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45813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45813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45813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45813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45813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45813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45813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45813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45813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45813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45813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45813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45813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45813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45813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45813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45813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45813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45813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45813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45813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45813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45813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45813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45813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45813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45813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45813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45813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45813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45813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45813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45813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45813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45813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45813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45813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45813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45813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45813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45813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45813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45813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45813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45813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45813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45813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45813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45813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45813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45813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45813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45813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45813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45813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45813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45813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45813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45813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45813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45813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45813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45813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45813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45813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45813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45813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45813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45813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45813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45813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45813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45813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45813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45813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45813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45813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45813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45813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45813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45813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45813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45813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45813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45813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45813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45813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45813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45813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45813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45813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45813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45813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45813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45813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45813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45813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45813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45813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45813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45813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45813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45813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45813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45813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45813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45813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45813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45813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45813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45813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45813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45813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45813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45813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45813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45813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45813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45813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45813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45813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45813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45813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45813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45813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45813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45813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45813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45813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45813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45813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45813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45813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45813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45813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45813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45813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45813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45813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45813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45813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45813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45813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45813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45813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45813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45813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45813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45813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45813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45813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45813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45813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45813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45813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45813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45813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45813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45813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45813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45813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45813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45813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45813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45813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45813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45813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45813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45813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45813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45813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45813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45813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45813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45813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45813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45813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45813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45813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45813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45813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45813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45813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45813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45813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45813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45813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45813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45813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45813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45813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45813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45813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45813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45813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45813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45813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45813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45813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45813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45813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45813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45813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45813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45813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45813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45813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45813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45813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45813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45813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45813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45813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45813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45813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45813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45813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45813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45813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45813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45813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45813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45813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45813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45813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45813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45813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45813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45813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45813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45813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45813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45813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45813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45813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45813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45813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45813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45813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45813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45813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45813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45813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45813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45813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45813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45813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45813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45813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45813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45813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45813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45813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45813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45813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45813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45813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45813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45813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45813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45813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45813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45813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45813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45813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45813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45813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45813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45813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45813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45813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45813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45813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45813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45813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45813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45813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45813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45813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23250-2025</t>
        </is>
      </c>
      <c r="B1626" s="1" t="n">
        <v>45791</v>
      </c>
      <c r="C1626" s="1" t="n">
        <v>45813</v>
      </c>
      <c r="D1626" t="inlineStr">
        <is>
          <t>DALARNAS LÄN</t>
        </is>
      </c>
      <c r="E1626" t="inlineStr">
        <is>
          <t>FALUN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23275-2025</t>
        </is>
      </c>
      <c r="B1627" s="1" t="n">
        <v>45791</v>
      </c>
      <c r="C1627" s="1" t="n">
        <v>45813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45813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23134-2025</t>
        </is>
      </c>
      <c r="B1629" s="1" t="n">
        <v>45791</v>
      </c>
      <c r="C1629" s="1" t="n">
        <v>45813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35.2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45813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45813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45813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45813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45813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45813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24443-2025</t>
        </is>
      </c>
      <c r="B1636" s="1" t="n">
        <v>45798</v>
      </c>
      <c r="C1636" s="1" t="n">
        <v>45813</v>
      </c>
      <c r="D1636" t="inlineStr">
        <is>
          <t>DALARNAS LÄN</t>
        </is>
      </c>
      <c r="E1636" t="inlineStr">
        <is>
          <t>FALUN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24467-2025</t>
        </is>
      </c>
      <c r="B1637" s="1" t="n">
        <v>45798</v>
      </c>
      <c r="C1637" s="1" t="n">
        <v>45813</v>
      </c>
      <c r="D1637" t="inlineStr">
        <is>
          <t>DALARNAS LÄN</t>
        </is>
      </c>
      <c r="E1637" t="inlineStr">
        <is>
          <t>FALUN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24855-2025</t>
        </is>
      </c>
      <c r="B1638" s="1" t="n">
        <v>45799</v>
      </c>
      <c r="C1638" s="1" t="n">
        <v>45813</v>
      </c>
      <c r="D1638" t="inlineStr">
        <is>
          <t>DALARNAS LÄN</t>
        </is>
      </c>
      <c r="E1638" t="inlineStr">
        <is>
          <t>FALUN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45813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24782-2025</t>
        </is>
      </c>
      <c r="B1640" s="1" t="n">
        <v>45799</v>
      </c>
      <c r="C1640" s="1" t="n">
        <v>45813</v>
      </c>
      <c r="D1640" t="inlineStr">
        <is>
          <t>DALARNAS LÄN</t>
        </is>
      </c>
      <c r="E1640" t="inlineStr">
        <is>
          <t>FALUN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25149-2025</t>
        </is>
      </c>
      <c r="B1641" s="1" t="n">
        <v>45800</v>
      </c>
      <c r="C1641" s="1" t="n">
        <v>45813</v>
      </c>
      <c r="D1641" t="inlineStr">
        <is>
          <t>DALARNAS LÄN</t>
        </is>
      </c>
      <c r="E1641" t="inlineStr">
        <is>
          <t>FALUN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45813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25118-2025</t>
        </is>
      </c>
      <c r="B1643" s="1" t="n">
        <v>45800</v>
      </c>
      <c r="C1643" s="1" t="n">
        <v>45813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45813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45813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45813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26525-2025</t>
        </is>
      </c>
      <c r="B1647" s="1" t="n">
        <v>45807</v>
      </c>
      <c r="C1647" s="1" t="n">
        <v>45813</v>
      </c>
      <c r="D1647" t="inlineStr">
        <is>
          <t>DALARNAS LÄN</t>
        </is>
      </c>
      <c r="E1647" t="inlineStr">
        <is>
          <t>FALUN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26530-2025</t>
        </is>
      </c>
      <c r="B1648" s="1" t="n">
        <v>45807</v>
      </c>
      <c r="C1648" s="1" t="n">
        <v>45813</v>
      </c>
      <c r="D1648" t="inlineStr">
        <is>
          <t>DALARNAS LÄN</t>
        </is>
      </c>
      <c r="E1648" t="inlineStr">
        <is>
          <t>FALUN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45813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26803-2025</t>
        </is>
      </c>
      <c r="B1650" s="1" t="n">
        <v>45810</v>
      </c>
      <c r="C1650" s="1" t="n">
        <v>45813</v>
      </c>
      <c r="D1650" t="inlineStr">
        <is>
          <t>DALARNAS LÄN</t>
        </is>
      </c>
      <c r="E1650" t="inlineStr">
        <is>
          <t>FALUN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26800-2025</t>
        </is>
      </c>
      <c r="B1651" s="1" t="n">
        <v>45810</v>
      </c>
      <c r="C1651" s="1" t="n">
        <v>45813</v>
      </c>
      <c r="D1651" t="inlineStr">
        <is>
          <t>DALARNAS LÄN</t>
        </is>
      </c>
      <c r="E1651" t="inlineStr">
        <is>
          <t>FALUN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26663-2025</t>
        </is>
      </c>
      <c r="B1652" s="1" t="n">
        <v>45810</v>
      </c>
      <c r="C1652" s="1" t="n">
        <v>45813</v>
      </c>
      <c r="D1652" t="inlineStr">
        <is>
          <t>DALARNAS LÄN</t>
        </is>
      </c>
      <c r="E1652" t="inlineStr">
        <is>
          <t>FALUN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27088-2025</t>
        </is>
      </c>
      <c r="B1653" s="1" t="n">
        <v>45811</v>
      </c>
      <c r="C1653" s="1" t="n">
        <v>45813</v>
      </c>
      <c r="D1653" t="inlineStr">
        <is>
          <t>DALARNAS LÄN</t>
        </is>
      </c>
      <c r="E1653" t="inlineStr">
        <is>
          <t>FALUN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26927-2025</t>
        </is>
      </c>
      <c r="B1654" s="1" t="n">
        <v>45811</v>
      </c>
      <c r="C1654" s="1" t="n">
        <v>45813</v>
      </c>
      <c r="D1654" t="inlineStr">
        <is>
          <t>DALARNAS LÄN</t>
        </is>
      </c>
      <c r="E1654" t="inlineStr">
        <is>
          <t>FALUN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27087-2025</t>
        </is>
      </c>
      <c r="B1655" s="1" t="n">
        <v>45811</v>
      </c>
      <c r="C1655" s="1" t="n">
        <v>45813</v>
      </c>
      <c r="D1655" t="inlineStr">
        <is>
          <t>DALARNAS LÄN</t>
        </is>
      </c>
      <c r="E1655" t="inlineStr">
        <is>
          <t>FALUN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>
      <c r="A1656" t="inlineStr">
        <is>
          <t>A 27158-2025</t>
        </is>
      </c>
      <c r="B1656" s="1" t="n">
        <v>45812</v>
      </c>
      <c r="C1656" s="1" t="n">
        <v>45813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2025-06-05T18:32:42Z</dcterms:created>
  <dcterms:modified xmlns:dcterms="http://purl.org/dc/terms/" xmlns:xsi="http://www.w3.org/2001/XMLSchema-instance" xsi:type="dcterms:W3CDTF">2025-06-05T18:32:43Z</dcterms:modified>
</cp:coreProperties>
</file>