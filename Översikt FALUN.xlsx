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45505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45505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45505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45505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45505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45505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45505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45505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45505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45505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45505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45505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45505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45505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45505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45505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45505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45505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45505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45505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45505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45505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45505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45505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45505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45505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45505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45505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45505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45505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45505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17742-2023</t>
        </is>
      </c>
      <c r="B33" s="1" t="n">
        <v>45037</v>
      </c>
      <c r="C33" s="1" t="n">
        <v>45505</v>
      </c>
      <c r="D33" t="inlineStr">
        <is>
          <t>DALARNAS LÄN</t>
        </is>
      </c>
      <c r="E33" t="inlineStr">
        <is>
          <t>FALUN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Nästlav</t>
        </is>
      </c>
      <c r="S33">
        <f>HYPERLINK("https://klasma.github.io/Logging_2080/artfynd/A 17742-2023 artfynd.xlsx", "A 17742-2023")</f>
        <v/>
      </c>
      <c r="T33">
        <f>HYPERLINK("https://klasma.github.io/Logging_2080/kartor/A 17742-2023 karta.png", "A 17742-2023")</f>
        <v/>
      </c>
      <c r="V33">
        <f>HYPERLINK("https://klasma.github.io/Logging_2080/klagomål/A 17742-2023 FSC-klagomål.docx", "A 17742-2023")</f>
        <v/>
      </c>
      <c r="W33">
        <f>HYPERLINK("https://klasma.github.io/Logging_2080/klagomålsmail/A 17742-2023 FSC-klagomål mail.docx", "A 17742-2023")</f>
        <v/>
      </c>
      <c r="X33">
        <f>HYPERLINK("https://klasma.github.io/Logging_2080/tillsyn/A 17742-2023 tillsynsbegäran.docx", "A 17742-2023")</f>
        <v/>
      </c>
      <c r="Y33">
        <f>HYPERLINK("https://klasma.github.io/Logging_2080/tillsynsmail/A 17742-2023 tillsynsbegäran mail.docx", "A 17742-2023")</f>
        <v/>
      </c>
    </row>
    <row r="34" ht="15" customHeight="1">
      <c r="A34" t="inlineStr">
        <is>
          <t>A 18714-2023</t>
        </is>
      </c>
      <c r="B34" s="1" t="n">
        <v>45043</v>
      </c>
      <c r="C34" s="1" t="n">
        <v>45505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23753-2024</t>
        </is>
      </c>
      <c r="B35" s="1" t="n">
        <v>45455</v>
      </c>
      <c r="C35" s="1" t="n">
        <v>45505</v>
      </c>
      <c r="D35" t="inlineStr">
        <is>
          <t>DALARNAS LÄN</t>
        </is>
      </c>
      <c r="E35" t="inlineStr">
        <is>
          <t>FALUN</t>
        </is>
      </c>
      <c r="G35" t="n">
        <v>7.1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Gröngöling</t>
        </is>
      </c>
      <c r="S35">
        <f>HYPERLINK("https://klasma.github.io/Logging_2080/artfynd/A 23753-2024 artfynd.xlsx", "A 23753-2024")</f>
        <v/>
      </c>
      <c r="T35">
        <f>HYPERLINK("https://klasma.github.io/Logging_2080/kartor/A 23753-2024 karta.png", "A 23753-2024")</f>
        <v/>
      </c>
      <c r="V35">
        <f>HYPERLINK("https://klasma.github.io/Logging_2080/klagomål/A 23753-2024 FSC-klagomål.docx", "A 23753-2024")</f>
        <v/>
      </c>
      <c r="W35">
        <f>HYPERLINK("https://klasma.github.io/Logging_2080/klagomålsmail/A 23753-2024 FSC-klagomål mail.docx", "A 23753-2024")</f>
        <v/>
      </c>
      <c r="X35">
        <f>HYPERLINK("https://klasma.github.io/Logging_2080/tillsyn/A 23753-2024 tillsynsbegäran.docx", "A 23753-2024")</f>
        <v/>
      </c>
      <c r="Y35">
        <f>HYPERLINK("https://klasma.github.io/Logging_2080/tillsynsmail/A 23753-2024 tillsynsbegäran mail.docx", "A 23753-2024")</f>
        <v/>
      </c>
      <c r="Z35">
        <f>HYPERLINK("https://klasma.github.io/Logging_2080/fåglar/A 23753-2024 prioriterade fågelarter.docx", "A 23753-2024")</f>
        <v/>
      </c>
    </row>
    <row r="36" ht="15" customHeight="1">
      <c r="A36" t="inlineStr">
        <is>
          <t>A 25836-2024</t>
        </is>
      </c>
      <c r="B36" s="1" t="n">
        <v>45467</v>
      </c>
      <c r="C36" s="1" t="n">
        <v>45505</v>
      </c>
      <c r="D36" t="inlineStr">
        <is>
          <t>DALARNAS LÄN</t>
        </is>
      </c>
      <c r="E36" t="inlineStr">
        <is>
          <t>FALUN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HYPERLINK("https://klasma.github.io/Logging_2080/artfynd/A 25836-2024 artfynd.xlsx", "A 25836-2024")</f>
        <v/>
      </c>
      <c r="T36">
        <f>HYPERLINK("https://klasma.github.io/Logging_2080/kartor/A 25836-2024 karta.png", "A 25836-2024")</f>
        <v/>
      </c>
      <c r="V36">
        <f>HYPERLINK("https://klasma.github.io/Logging_2080/klagomål/A 25836-2024 FSC-klagomål.docx", "A 25836-2024")</f>
        <v/>
      </c>
      <c r="W36">
        <f>HYPERLINK("https://klasma.github.io/Logging_2080/klagomålsmail/A 25836-2024 FSC-klagomål mail.docx", "A 25836-2024")</f>
        <v/>
      </c>
      <c r="X36">
        <f>HYPERLINK("https://klasma.github.io/Logging_2080/tillsyn/A 25836-2024 tillsynsbegäran.docx", "A 25836-2024")</f>
        <v/>
      </c>
      <c r="Y36">
        <f>HYPERLINK("https://klasma.github.io/Logging_2080/tillsynsmail/A 25836-2024 tillsynsbegäran mail.docx", "A 25836-2024")</f>
        <v/>
      </c>
    </row>
    <row r="37" ht="15" customHeight="1">
      <c r="A37" t="inlineStr">
        <is>
          <t>A 37713-2020</t>
        </is>
      </c>
      <c r="B37" s="1" t="n">
        <v>44056</v>
      </c>
      <c r="C37" s="1" t="n">
        <v>45505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37713-2020 artfynd.xlsx", "A 37713-2020")</f>
        <v/>
      </c>
      <c r="T37">
        <f>HYPERLINK("https://klasma.github.io/Logging_2080/kartor/A 37713-2020 karta.png", "A 37713-2020")</f>
        <v/>
      </c>
      <c r="V37">
        <f>HYPERLINK("https://klasma.github.io/Logging_2080/klagomål/A 37713-2020 FSC-klagomål.docx", "A 37713-2020")</f>
        <v/>
      </c>
      <c r="W37">
        <f>HYPERLINK("https://klasma.github.io/Logging_2080/klagomålsmail/A 37713-2020 FSC-klagomål mail.docx", "A 37713-2020")</f>
        <v/>
      </c>
      <c r="X37">
        <f>HYPERLINK("https://klasma.github.io/Logging_2080/tillsyn/A 37713-2020 tillsynsbegäran.docx", "A 37713-2020")</f>
        <v/>
      </c>
      <c r="Y37">
        <f>HYPERLINK("https://klasma.github.io/Logging_2080/tillsynsmail/A 37713-2020 tillsynsbegäran mail.docx", "A 37713-2020")</f>
        <v/>
      </c>
    </row>
    <row r="38" ht="15" customHeight="1">
      <c r="A38" t="inlineStr">
        <is>
          <t>A 51342-2020</t>
        </is>
      </c>
      <c r="B38" s="1" t="n">
        <v>44112</v>
      </c>
      <c r="C38" s="1" t="n">
        <v>45505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51342-2020 artfynd.xlsx", "A 51342-2020")</f>
        <v/>
      </c>
      <c r="T38">
        <f>HYPERLINK("https://klasma.github.io/Logging_2080/kartor/A 51342-2020 karta.png", "A 51342-2020")</f>
        <v/>
      </c>
      <c r="U38">
        <f>HYPERLINK("https://klasma.github.io/Logging_2080/knärot/A 51342-2020 karta knärot.png", "A 51342-2020")</f>
        <v/>
      </c>
      <c r="V38">
        <f>HYPERLINK("https://klasma.github.io/Logging_2080/klagomål/A 51342-2020 FSC-klagomål.docx", "A 51342-2020")</f>
        <v/>
      </c>
      <c r="W38">
        <f>HYPERLINK("https://klasma.github.io/Logging_2080/klagomålsmail/A 51342-2020 FSC-klagomål mail.docx", "A 51342-2020")</f>
        <v/>
      </c>
      <c r="X38">
        <f>HYPERLINK("https://klasma.github.io/Logging_2080/tillsyn/A 51342-2020 tillsynsbegäran.docx", "A 51342-2020")</f>
        <v/>
      </c>
      <c r="Y38">
        <f>HYPERLINK("https://klasma.github.io/Logging_2080/tillsynsmail/A 51342-2020 tillsynsbegäran mail.docx", "A 51342-2020")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45505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50475-2022</t>
        </is>
      </c>
      <c r="B40" s="1" t="n">
        <v>44866</v>
      </c>
      <c r="C40" s="1" t="n">
        <v>45505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50475-2022 artfynd.xlsx", "A 50475-2022")</f>
        <v/>
      </c>
      <c r="T40">
        <f>HYPERLINK("https://klasma.github.io/Logging_2080/kartor/A 50475-2022 karta.png", "A 50475-2022")</f>
        <v/>
      </c>
      <c r="U40">
        <f>HYPERLINK("https://klasma.github.io/Logging_2080/knärot/A 50475-2022 karta knärot.png", "A 50475-2022")</f>
        <v/>
      </c>
      <c r="V40">
        <f>HYPERLINK("https://klasma.github.io/Logging_2080/klagomål/A 50475-2022 FSC-klagomål.docx", "A 50475-2022")</f>
        <v/>
      </c>
      <c r="W40">
        <f>HYPERLINK("https://klasma.github.io/Logging_2080/klagomålsmail/A 50475-2022 FSC-klagomål mail.docx", "A 50475-2022")</f>
        <v/>
      </c>
      <c r="X40">
        <f>HYPERLINK("https://klasma.github.io/Logging_2080/tillsyn/A 50475-2022 tillsynsbegäran.docx", "A 50475-2022")</f>
        <v/>
      </c>
      <c r="Y40">
        <f>HYPERLINK("https://klasma.github.io/Logging_2080/tillsynsmail/A 50475-2022 tillsynsbegäran mail.docx", "A 50475-2022")</f>
        <v/>
      </c>
    </row>
    <row r="41" ht="15" customHeight="1">
      <c r="A41" t="inlineStr">
        <is>
          <t>A 61535-2022</t>
        </is>
      </c>
      <c r="B41" s="1" t="n">
        <v>44916</v>
      </c>
      <c r="C41" s="1" t="n">
        <v>45505</v>
      </c>
      <c r="D41" t="inlineStr">
        <is>
          <t>DALARNAS LÄN</t>
        </is>
      </c>
      <c r="E41" t="inlineStr">
        <is>
          <t>FALUN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61535-2022 artfynd.xlsx", "A 61535-2022")</f>
        <v/>
      </c>
      <c r="T41">
        <f>HYPERLINK("https://klasma.github.io/Logging_2080/kartor/A 61535-2022 karta.png", "A 61535-2022")</f>
        <v/>
      </c>
      <c r="V41">
        <f>HYPERLINK("https://klasma.github.io/Logging_2080/klagomål/A 61535-2022 FSC-klagomål.docx", "A 61535-2022")</f>
        <v/>
      </c>
      <c r="W41">
        <f>HYPERLINK("https://klasma.github.io/Logging_2080/klagomålsmail/A 61535-2022 FSC-klagomål mail.docx", "A 61535-2022")</f>
        <v/>
      </c>
      <c r="X41">
        <f>HYPERLINK("https://klasma.github.io/Logging_2080/tillsyn/A 61535-2022 tillsynsbegäran.docx", "A 61535-2022")</f>
        <v/>
      </c>
      <c r="Y41">
        <f>HYPERLINK("https://klasma.github.io/Logging_2080/tillsynsmail/A 61535-2022 tillsynsbegäran mail.docx", "A 61535-2022")</f>
        <v/>
      </c>
      <c r="Z41">
        <f>HYPERLINK("https://klasma.github.io/Logging_2080/fåglar/A 61535-2022 prioriterade fågelarter.docx", "A 61535-2022")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45505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45505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45505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45505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45505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45505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45505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45505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45505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45505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45505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45505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45505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45505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45505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45505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45505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45505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45505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45505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45505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45505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45505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45505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45505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45505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45505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45505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45505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45505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45505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45505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45505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45505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45505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45505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45505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45505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45505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45505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45505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45505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45505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45505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45505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45505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45505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45505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45505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45505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45505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45505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45505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45505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45505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45505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45505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45505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45505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45505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45505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45505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45505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45505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45505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45505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45505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45505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45505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45505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45505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45505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45505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45505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45505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45505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45505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45505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45505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45505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45505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45505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45505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45505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45505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45505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45505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45505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45505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45505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45505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45505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45505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45505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45505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45505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45505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45505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45505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45505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45505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45505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45505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45505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45505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45505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45505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45505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45505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45505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45505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45505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45505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45505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45505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45505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45505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45505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45505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45505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45505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45505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45505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45505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45505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45505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45505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45505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45505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45505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45505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45505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45505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45505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45505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45505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45505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45505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45505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45505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45505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45505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45505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45505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45505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45505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45505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45505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45505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45505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45505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45505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45505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45505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45505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45505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45505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45505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45505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45505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45505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45505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45505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45505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45505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45505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45505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45505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45505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45505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45505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45505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45505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45505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45505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45505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45505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45505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45505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45505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45505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45505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45505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45505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45505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45505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45505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45505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45505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45505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45505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45505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45505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45505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45505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45505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45505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45505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45505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45505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45505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45505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45505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45505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45505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45505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45505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45505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45505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45505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45505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45505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45505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45505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45505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45505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45505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45505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45505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45505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45505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45505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45505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45505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45505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45505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45505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45505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45505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45505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45505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45505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45505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45505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45505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45505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45505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45505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45505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45505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45505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45505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45505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45505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45505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45505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45505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45505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45505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45505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45505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45505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45505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45505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45505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45505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45505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45505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45505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45505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45505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45505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45505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45505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45505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45505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45505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45505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45505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45505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45505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45505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45505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45505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45505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45505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45505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45505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45505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45505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45505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45505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45505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45505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45505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45505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45505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45505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45505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45505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45505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45505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45505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45505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45505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45505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45505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45505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45505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45505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45505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45505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45505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45505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45505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45505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45505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45505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45505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45505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45505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45505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45505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45505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45505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45505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45505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45505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45505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45505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45505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45505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45505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45505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45505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45505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45505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45505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45505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45505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45505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45505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45505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45505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45505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45505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45505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45505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45505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45505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45505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45505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45505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45505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45505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45505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45505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45505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45505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45505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45505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45505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45505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45505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45505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45505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45505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45505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45505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45505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45505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45505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45505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45505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45505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45505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45505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45505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45505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45505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45505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45505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45505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45505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45505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45505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45505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45505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45505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45505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45505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45505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45505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45505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45505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45505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45505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45505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45505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45505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45505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45505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45505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45505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45505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45505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45505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45505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45505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45505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45505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45505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45505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45505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45505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45505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45505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45505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45505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45505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45505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45505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45505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45505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45505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45505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45505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45505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45505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45505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45505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45505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45505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45505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45505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45505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45505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45505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45505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45505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45505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45505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45505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45505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45505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45505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45505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45505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45505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45505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45505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45505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45505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45505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45505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45505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45505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45505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45505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45505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45505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45505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45505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45505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45505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45505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45505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45505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45505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45505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45505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45505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45505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45505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45505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45505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45505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45505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45505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45505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45505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45505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45505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45505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45505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45505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45505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45505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45505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45505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45505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45505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45505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45505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45505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45505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45505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45505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45505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45505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45505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45505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45505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45505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45505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45505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45505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45505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45505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45505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45505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45505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45505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45505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45505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45505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45505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45505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45505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45505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45505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45505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45505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45505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45505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45505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45505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45505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45505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45505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45505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45505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45505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45505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45505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45505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45505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45505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45505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45505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45505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45505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45505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45505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45505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45505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45505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45505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45505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45505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45505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45505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45505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45505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45505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45505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45505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45505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45505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45505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45505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45505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45505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45505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45505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45505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45505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45505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45505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45505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45505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45505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45505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45505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45505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45505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45505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45505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45505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45505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45505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45505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45505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45505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45505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45505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45505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45505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45505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45505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45505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45505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45505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45505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45505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45505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45505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45505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45505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45505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45505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45505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45505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45505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45505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45505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45505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45505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45505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45505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45505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45505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45505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45505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45505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45505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45505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45505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45505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45505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45505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45505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45505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45505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45505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45505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45505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45505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45505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45505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45505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45505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45505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45505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45505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45505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45505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45505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45505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45505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45505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45505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45505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45505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45505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45505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45505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45505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45505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45505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45505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45505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45505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45505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45505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45505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45505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45505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45505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45505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45505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45505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45505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45505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45505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45505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45505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45505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45505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45505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45505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45505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45505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45505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45505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45505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45505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45505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45505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45505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45505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45505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45505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45505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45505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45505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45505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45505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45505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45505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45505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45505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45505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45505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45505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45505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45505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45505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45505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45505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45505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45505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45505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45505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45505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45505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45505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45505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45505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45505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45505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45505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45505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45505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45505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45505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45505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45505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45505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45505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45505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45505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45505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45505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45505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45505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45505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45505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45505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45505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45505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45505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45505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45505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45505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45505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45505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45505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45505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45505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45505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45505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45505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45505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45505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45505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45505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45505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45505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45505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45505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45505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45505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45505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45505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45505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45505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45505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45505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45505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45505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45505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45505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45505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45505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45505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45505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45505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45505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45505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45505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45505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45505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45505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45505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45505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45505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45505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45505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45505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45505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45505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45505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45505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45505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45505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45505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45505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45505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45505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45505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45505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45505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45505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45505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45505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45505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45505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45505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45505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45505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45505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45505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45505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45505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45505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45505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45505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45505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45505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45505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45505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45505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45505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45505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45505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45505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45505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45505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45505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45505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45505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45505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45505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45505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45505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45505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45505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45505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45505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45505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45505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45505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45505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45505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45505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45505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45505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45505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45505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45505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45505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45505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45505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45505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45505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45505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45505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45505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45505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45505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45505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45505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45505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45505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45505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45505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45505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45505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45505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45505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45505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45505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45505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45505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45505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45505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45505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45505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45505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45505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45505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45505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45505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45505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45505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45505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45505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45505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45505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45505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45505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45505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45505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45505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45505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45505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45505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45505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45505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45505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45505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45505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45505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45505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45505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45505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45505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45505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45505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45505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45505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45505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45505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45505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45505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45505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45505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45505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45505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45505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45505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45505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45505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45505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45505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45505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45505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45505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45505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45505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45505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45505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45505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45505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45505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45505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45505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45505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45505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45505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45505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45505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45505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45505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45505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45505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45505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45505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45505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45505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45505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45505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45505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45505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45505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45505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45505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45505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45505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45505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45505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45505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45505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45505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45505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45505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45505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45505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45505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45505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45505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45505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45505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45505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45505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45505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45505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45505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45505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45505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45505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45505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45505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45505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45505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45505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45505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45505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45505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45505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45505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45505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45505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45505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45505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45505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45505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45505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45505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45505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45505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45505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45505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45505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45505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45505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45505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45505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45505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45505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45505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45505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45505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45505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45505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45505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45505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45505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45505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45505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45505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45505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45505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45505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45505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45505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45505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45505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45505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45505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45505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45505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45505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45505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45505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45505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45505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45505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45505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45505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45505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45505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45505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45505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45505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45505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45505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45505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45505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45505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45505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45505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45505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45505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45505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45505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45505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45505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45505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45505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45505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45505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45505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45505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45505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45505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45505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45505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45505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45505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45505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45505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45505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45505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45505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45505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45505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45505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45505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45505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45505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45505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45505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45505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45505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45505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45505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45505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45505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45505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45505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45505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45505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45505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45505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45505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45505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45505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45505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45505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45505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45505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45505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45505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45505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45505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45505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45505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45505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45505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45505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45505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45505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45505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45505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45505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22646-2024</t>
        </is>
      </c>
      <c r="B1139" s="1" t="n">
        <v>45447</v>
      </c>
      <c r="C1139" s="1" t="n">
        <v>45505</v>
      </c>
      <c r="D1139" t="inlineStr">
        <is>
          <t>DALARNAS LÄN</t>
        </is>
      </c>
      <c r="E1139" t="inlineStr">
        <is>
          <t>FALUN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22539-2024</t>
        </is>
      </c>
      <c r="B1140" s="1" t="n">
        <v>45447</v>
      </c>
      <c r="C1140" s="1" t="n">
        <v>45505</v>
      </c>
      <c r="D1140" t="inlineStr">
        <is>
          <t>DALARNAS LÄN</t>
        </is>
      </c>
      <c r="E1140" t="inlineStr">
        <is>
          <t>FALUN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22645-2024</t>
        </is>
      </c>
      <c r="B1141" s="1" t="n">
        <v>45447</v>
      </c>
      <c r="C1141" s="1" t="n">
        <v>45505</v>
      </c>
      <c r="D1141" t="inlineStr">
        <is>
          <t>DALARNAS LÄN</t>
        </is>
      </c>
      <c r="E1141" t="inlineStr">
        <is>
          <t>FALUN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22908-2024</t>
        </is>
      </c>
      <c r="B1142" s="1" t="n">
        <v>45448</v>
      </c>
      <c r="C1142" s="1" t="n">
        <v>45505</v>
      </c>
      <c r="D1142" t="inlineStr">
        <is>
          <t>DALARNAS LÄN</t>
        </is>
      </c>
      <c r="E1142" t="inlineStr">
        <is>
          <t>FALUN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22905-2024</t>
        </is>
      </c>
      <c r="B1143" s="1" t="n">
        <v>45448</v>
      </c>
      <c r="C1143" s="1" t="n">
        <v>45505</v>
      </c>
      <c r="D1143" t="inlineStr">
        <is>
          <t>DALARNAS LÄN</t>
        </is>
      </c>
      <c r="E1143" t="inlineStr">
        <is>
          <t>FALUN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22784-2024</t>
        </is>
      </c>
      <c r="B1144" s="1" t="n">
        <v>45448</v>
      </c>
      <c r="C1144" s="1" t="n">
        <v>45505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22758-2024</t>
        </is>
      </c>
      <c r="B1145" s="1" t="n">
        <v>45448</v>
      </c>
      <c r="C1145" s="1" t="n">
        <v>45505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22782-2024</t>
        </is>
      </c>
      <c r="B1146" s="1" t="n">
        <v>45448</v>
      </c>
      <c r="C1146" s="1" t="n">
        <v>45505</v>
      </c>
      <c r="D1146" t="inlineStr">
        <is>
          <t>DALARNAS LÄN</t>
        </is>
      </c>
      <c r="E1146" t="inlineStr">
        <is>
          <t>FALUN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22875-2024</t>
        </is>
      </c>
      <c r="B1147" s="1" t="n">
        <v>45448</v>
      </c>
      <c r="C1147" s="1" t="n">
        <v>45505</v>
      </c>
      <c r="D1147" t="inlineStr">
        <is>
          <t>DALARNAS LÄN</t>
        </is>
      </c>
      <c r="E1147" t="inlineStr">
        <is>
          <t>FALUN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23112-2024</t>
        </is>
      </c>
      <c r="B1148" s="1" t="n">
        <v>45450</v>
      </c>
      <c r="C1148" s="1" t="n">
        <v>45505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23116-2024</t>
        </is>
      </c>
      <c r="B1149" s="1" t="n">
        <v>45450</v>
      </c>
      <c r="C1149" s="1" t="n">
        <v>45505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23119-2024</t>
        </is>
      </c>
      <c r="B1150" s="1" t="n">
        <v>45450</v>
      </c>
      <c r="C1150" s="1" t="n">
        <v>45505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23627-2024</t>
        </is>
      </c>
      <c r="B1151" s="1" t="n">
        <v>45454</v>
      </c>
      <c r="C1151" s="1" t="n">
        <v>45505</v>
      </c>
      <c r="D1151" t="inlineStr">
        <is>
          <t>DALARNAS LÄN</t>
        </is>
      </c>
      <c r="E1151" t="inlineStr">
        <is>
          <t>FALUN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23642-2024</t>
        </is>
      </c>
      <c r="B1152" s="1" t="n">
        <v>45454</v>
      </c>
      <c r="C1152" s="1" t="n">
        <v>45505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23667-2024</t>
        </is>
      </c>
      <c r="B1153" s="1" t="n">
        <v>45454</v>
      </c>
      <c r="C1153" s="1" t="n">
        <v>45505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23653-2024</t>
        </is>
      </c>
      <c r="B1154" s="1" t="n">
        <v>45454</v>
      </c>
      <c r="C1154" s="1" t="n">
        <v>45505</v>
      </c>
      <c r="D1154" t="inlineStr">
        <is>
          <t>DALARNAS LÄN</t>
        </is>
      </c>
      <c r="E1154" t="inlineStr">
        <is>
          <t>FALUN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23636-2024</t>
        </is>
      </c>
      <c r="B1155" s="1" t="n">
        <v>45454</v>
      </c>
      <c r="C1155" s="1" t="n">
        <v>45505</v>
      </c>
      <c r="D1155" t="inlineStr">
        <is>
          <t>DALARNAS LÄN</t>
        </is>
      </c>
      <c r="E1155" t="inlineStr">
        <is>
          <t>FALUN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45505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45505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24297-2024</t>
        </is>
      </c>
      <c r="B1158" s="1" t="n">
        <v>45457</v>
      </c>
      <c r="C1158" s="1" t="n">
        <v>45505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24341-2024</t>
        </is>
      </c>
      <c r="B1159" s="1" t="n">
        <v>45457</v>
      </c>
      <c r="C1159" s="1" t="n">
        <v>45505</v>
      </c>
      <c r="D1159" t="inlineStr">
        <is>
          <t>DALARNAS LÄN</t>
        </is>
      </c>
      <c r="E1159" t="inlineStr">
        <is>
          <t>FALUN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24292-2024</t>
        </is>
      </c>
      <c r="B1160" s="1" t="n">
        <v>45457</v>
      </c>
      <c r="C1160" s="1" t="n">
        <v>45505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24640-2024</t>
        </is>
      </c>
      <c r="B1161" s="1" t="n">
        <v>45460</v>
      </c>
      <c r="C1161" s="1" t="n">
        <v>45505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24632-2024</t>
        </is>
      </c>
      <c r="B1162" s="1" t="n">
        <v>45460</v>
      </c>
      <c r="C1162" s="1" t="n">
        <v>45505</v>
      </c>
      <c r="D1162" t="inlineStr">
        <is>
          <t>DALARNAS LÄN</t>
        </is>
      </c>
      <c r="E1162" t="inlineStr">
        <is>
          <t>FALUN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24628-2024</t>
        </is>
      </c>
      <c r="B1163" s="1" t="n">
        <v>45460</v>
      </c>
      <c r="C1163" s="1" t="n">
        <v>45505</v>
      </c>
      <c r="D1163" t="inlineStr">
        <is>
          <t>DALARNAS LÄN</t>
        </is>
      </c>
      <c r="E1163" t="inlineStr">
        <is>
          <t>FALUN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24639-2024</t>
        </is>
      </c>
      <c r="B1164" s="1" t="n">
        <v>45460</v>
      </c>
      <c r="C1164" s="1" t="n">
        <v>45505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24550-2024</t>
        </is>
      </c>
      <c r="B1165" s="1" t="n">
        <v>45460</v>
      </c>
      <c r="C1165" s="1" t="n">
        <v>45505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24542-2024</t>
        </is>
      </c>
      <c r="B1166" s="1" t="n">
        <v>45460</v>
      </c>
      <c r="C1166" s="1" t="n">
        <v>45505</v>
      </c>
      <c r="D1166" t="inlineStr">
        <is>
          <t>DALARNAS LÄN</t>
        </is>
      </c>
      <c r="E1166" t="inlineStr">
        <is>
          <t>FALUN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24625-2024</t>
        </is>
      </c>
      <c r="B1167" s="1" t="n">
        <v>45460</v>
      </c>
      <c r="C1167" s="1" t="n">
        <v>45505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45505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25590-2024</t>
        </is>
      </c>
      <c r="B1169" s="1" t="n">
        <v>45463</v>
      </c>
      <c r="C1169" s="1" t="n">
        <v>45505</v>
      </c>
      <c r="D1169" t="inlineStr">
        <is>
          <t>DALARNAS LÄN</t>
        </is>
      </c>
      <c r="E1169" t="inlineStr">
        <is>
          <t>FALUN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25501-2024</t>
        </is>
      </c>
      <c r="B1170" s="1" t="n">
        <v>45463</v>
      </c>
      <c r="C1170" s="1" t="n">
        <v>45505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25990-2024</t>
        </is>
      </c>
      <c r="B1171" s="1" t="n">
        <v>45467</v>
      </c>
      <c r="C1171" s="1" t="n">
        <v>45505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26360-2024</t>
        </is>
      </c>
      <c r="B1172" s="1" t="n">
        <v>45469</v>
      </c>
      <c r="C1172" s="1" t="n">
        <v>45505</v>
      </c>
      <c r="D1172" t="inlineStr">
        <is>
          <t>DALARNAS LÄN</t>
        </is>
      </c>
      <c r="E1172" t="inlineStr">
        <is>
          <t>FALUN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26565-2024</t>
        </is>
      </c>
      <c r="B1173" s="1" t="n">
        <v>45469</v>
      </c>
      <c r="C1173" s="1" t="n">
        <v>45505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45505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26770-2024</t>
        </is>
      </c>
      <c r="B1175" s="1" t="n">
        <v>45470</v>
      </c>
      <c r="C1175" s="1" t="n">
        <v>45505</v>
      </c>
      <c r="D1175" t="inlineStr">
        <is>
          <t>DALARNAS LÄN</t>
        </is>
      </c>
      <c r="E1175" t="inlineStr">
        <is>
          <t>FALUN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27008-2024</t>
        </is>
      </c>
      <c r="B1176" s="1" t="n">
        <v>45471</v>
      </c>
      <c r="C1176" s="1" t="n">
        <v>45505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27679-2024</t>
        </is>
      </c>
      <c r="B1177" s="1" t="n">
        <v>45475</v>
      </c>
      <c r="C1177" s="1" t="n">
        <v>45505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28123-2024</t>
        </is>
      </c>
      <c r="B1178" s="1" t="n">
        <v>45476</v>
      </c>
      <c r="C1178" s="1" t="n">
        <v>45505</v>
      </c>
      <c r="D1178" t="inlineStr">
        <is>
          <t>DALARNAS LÄN</t>
        </is>
      </c>
      <c r="E1178" t="inlineStr">
        <is>
          <t>FALUN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28393-2024</t>
        </is>
      </c>
      <c r="B1179" s="1" t="n">
        <v>45477</v>
      </c>
      <c r="C1179" s="1" t="n">
        <v>45505</v>
      </c>
      <c r="D1179" t="inlineStr">
        <is>
          <t>DALARNAS LÄN</t>
        </is>
      </c>
      <c r="E1179" t="inlineStr">
        <is>
          <t>FALUN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45505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28531-2024</t>
        </is>
      </c>
      <c r="B1181" s="1" t="n">
        <v>45478</v>
      </c>
      <c r="C1181" s="1" t="n">
        <v>45505</v>
      </c>
      <c r="D1181" t="inlineStr">
        <is>
          <t>DALARNAS LÄN</t>
        </is>
      </c>
      <c r="E1181" t="inlineStr">
        <is>
          <t>FALUN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28724-2024</t>
        </is>
      </c>
      <c r="B1182" s="1" t="n">
        <v>45478</v>
      </c>
      <c r="C1182" s="1" t="n">
        <v>45505</v>
      </c>
      <c r="D1182" t="inlineStr">
        <is>
          <t>DALARNAS LÄN</t>
        </is>
      </c>
      <c r="E1182" t="inlineStr">
        <is>
          <t>FALUN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29216-2024</t>
        </is>
      </c>
      <c r="B1183" s="1" t="n">
        <v>45482</v>
      </c>
      <c r="C1183" s="1" t="n">
        <v>45505</v>
      </c>
      <c r="D1183" t="inlineStr">
        <is>
          <t>DALARNAS LÄN</t>
        </is>
      </c>
      <c r="E1183" t="inlineStr">
        <is>
          <t>FALUN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45505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29879-2024</t>
        </is>
      </c>
      <c r="B1185" s="1" t="n">
        <v>45486</v>
      </c>
      <c r="C1185" s="1" t="n">
        <v>45505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29880-2024</t>
        </is>
      </c>
      <c r="B1186" s="1" t="n">
        <v>45486</v>
      </c>
      <c r="C1186" s="1" t="n">
        <v>45505</v>
      </c>
      <c r="D1186" t="inlineStr">
        <is>
          <t>DALARNAS LÄN</t>
        </is>
      </c>
      <c r="E1186" t="inlineStr">
        <is>
          <t>FALUN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45505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30321-2024</t>
        </is>
      </c>
      <c r="B1188" s="1" t="n">
        <v>45490</v>
      </c>
      <c r="C1188" s="1" t="n">
        <v>45505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30295-2024</t>
        </is>
      </c>
      <c r="B1189" s="1" t="n">
        <v>45490</v>
      </c>
      <c r="C1189" s="1" t="n">
        <v>45505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30537-2024</t>
        </is>
      </c>
      <c r="B1190" s="1" t="n">
        <v>45492</v>
      </c>
      <c r="C1190" s="1" t="n">
        <v>45505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2024-08-01T10:47:07Z</dcterms:created>
  <dcterms:modified xmlns:dcterms="http://purl.org/dc/terms/" xmlns:xsi="http://www.w3.org/2001/XMLSchema-instance" xsi:type="dcterms:W3CDTF">2024-08-01T10:47:08Z</dcterms:modified>
</cp:coreProperties>
</file>