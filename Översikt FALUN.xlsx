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45752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45752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45752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45752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45752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45752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45752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45752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45752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45752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45752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45752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45752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51999-2020</t>
        </is>
      </c>
      <c r="B15" s="1" t="n">
        <v>44110</v>
      </c>
      <c r="C15" s="1" t="n">
        <v>45752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Goliatmusseron
Blå taggsvamp
Motaggsvamp
Vaddporing
Dropptaggsvamp
Mindre märgborre</t>
        </is>
      </c>
      <c r="S15">
        <f>HYPERLINK("https://klasma.github.io/Logging_2080/artfynd/A 51999-2020 artfynd.xlsx", "A 51999-2020")</f>
        <v/>
      </c>
      <c r="T15">
        <f>HYPERLINK("https://klasma.github.io/Logging_2080/kartor/A 51999-2020 karta.png", "A 51999-2020")</f>
        <v/>
      </c>
      <c r="V15">
        <f>HYPERLINK("https://klasma.github.io/Logging_2080/klagomål/A 51999-2020 FSC-klagomål.docx", "A 51999-2020")</f>
        <v/>
      </c>
      <c r="W15">
        <f>HYPERLINK("https://klasma.github.io/Logging_2080/klagomålsmail/A 51999-2020 FSC-klagomål mail.docx", "A 51999-2020")</f>
        <v/>
      </c>
      <c r="X15">
        <f>HYPERLINK("https://klasma.github.io/Logging_2080/tillsyn/A 51999-2020 tillsynsbegäran.docx", "A 51999-2020")</f>
        <v/>
      </c>
      <c r="Y15">
        <f>HYPERLINK("https://klasma.github.io/Logging_2080/tillsynsmail/A 51999-2020 tillsynsbegäran mail.docx", "A 51999-2020")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45752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45752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45752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13367-2025</t>
        </is>
      </c>
      <c r="B19" s="1" t="n">
        <v>45735</v>
      </c>
      <c r="C19" s="1" t="n">
        <v>45752</v>
      </c>
      <c r="D19" t="inlineStr">
        <is>
          <t>DALARNAS LÄN</t>
        </is>
      </c>
      <c r="E19" t="inlineStr">
        <is>
          <t>FALUN</t>
        </is>
      </c>
      <c r="G19" t="n">
        <v>9.300000000000001</v>
      </c>
      <c r="H19" t="n">
        <v>5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Spillkråka
Talltita
Bronshjon
Grönsiska
Kungsfågel</t>
        </is>
      </c>
      <c r="S19">
        <f>HYPERLINK("https://klasma.github.io/Logging_202080/artfynd/A 13367-2025 artfynd.xlsx", "A 13367-2025")</f>
        <v/>
      </c>
      <c r="T19">
        <f>HYPERLINK("https://klasma.github.io/Logging_202080/kartor/A 13367-2025 karta.png", "A 13367-2025")</f>
        <v/>
      </c>
      <c r="U19">
        <f>HYPERLINK("https://klasma.github.io/Logging_202080/knärot/A 13367-2025 karta knärot.png", "A 13367-2025")</f>
        <v/>
      </c>
      <c r="V19">
        <f>HYPERLINK("https://klasma.github.io/Logging_202080/klagomål/A 13367-2025 FSC-klagomål.docx", "A 13367-2025")</f>
        <v/>
      </c>
      <c r="W19">
        <f>HYPERLINK("https://klasma.github.io/Logging_202080/klagomålsmail/A 13367-2025 FSC-klagomål mail.docx", "A 13367-2025")</f>
        <v/>
      </c>
      <c r="X19">
        <f>HYPERLINK("https://klasma.github.io/Logging_202080/tillsyn/A 13367-2025 tillsynsbegäran.docx", "A 13367-2025")</f>
        <v/>
      </c>
      <c r="Y19">
        <f>HYPERLINK("https://klasma.github.io/Logging_202080/tillsynsmail/A 13367-2025 tillsynsbegäran mail.docx", "A 13367-2025")</f>
        <v/>
      </c>
      <c r="Z19">
        <f>HYPERLINK("https://klasma.github.io/Logging_202080/fåglar/A 13367-2025 prioriterade fågelarter.docx", "A 13367-2025")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45752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45752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45752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45752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45752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45752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45752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45752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45752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26353-2019</t>
        </is>
      </c>
      <c r="B29" s="1" t="n">
        <v>43612</v>
      </c>
      <c r="C29" s="1" t="n">
        <v>45752</v>
      </c>
      <c r="D29" t="inlineStr">
        <is>
          <t>DALARNAS LÄN</t>
        </is>
      </c>
      <c r="E29" t="inlineStr">
        <is>
          <t>FALUN</t>
        </is>
      </c>
      <c r="G29" t="n">
        <v>5.9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Kortskaftad ärgspik</t>
        </is>
      </c>
      <c r="S29">
        <f>HYPERLINK("https://klasma.github.io/Logging_2080/artfynd/A 26353-2019 artfynd.xlsx", "A 26353-2019")</f>
        <v/>
      </c>
      <c r="T29">
        <f>HYPERLINK("https://klasma.github.io/Logging_2080/kartor/A 26353-2019 karta.png", "A 26353-2019")</f>
        <v/>
      </c>
      <c r="U29">
        <f>HYPERLINK("https://klasma.github.io/Logging_2080/knärot/A 26353-2019 karta knärot.png", "A 26353-2019")</f>
        <v/>
      </c>
      <c r="V29">
        <f>HYPERLINK("https://klasma.github.io/Logging_2080/klagomål/A 26353-2019 FSC-klagomål.docx", "A 26353-2019")</f>
        <v/>
      </c>
      <c r="W29">
        <f>HYPERLINK("https://klasma.github.io/Logging_2080/klagomålsmail/A 26353-2019 FSC-klagomål mail.docx", "A 26353-2019")</f>
        <v/>
      </c>
      <c r="X29">
        <f>HYPERLINK("https://klasma.github.io/Logging_2080/tillsyn/A 26353-2019 tillsynsbegäran.docx", "A 26353-2019")</f>
        <v/>
      </c>
      <c r="Y29">
        <f>HYPERLINK("https://klasma.github.io/Logging_2080/tillsynsmail/A 26353-2019 tillsynsbegäran mail.docx", "A 26353-2019")</f>
        <v/>
      </c>
    </row>
    <row r="30" ht="15" customHeight="1">
      <c r="A30" t="inlineStr">
        <is>
          <t>A 40241-2020</t>
        </is>
      </c>
      <c r="B30" s="1" t="n">
        <v>44068</v>
      </c>
      <c r="C30" s="1" t="n">
        <v>45752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Kortskaftad ärgspik
Varglav
Vedskivlav</t>
        </is>
      </c>
      <c r="S30">
        <f>HYPERLINK("https://klasma.github.io/Logging_2080/artfynd/A 40241-2020 artfynd.xlsx", "A 40241-2020")</f>
        <v/>
      </c>
      <c r="T30">
        <f>HYPERLINK("https://klasma.github.io/Logging_2080/kartor/A 40241-2020 karta.png", "A 40241-2020")</f>
        <v/>
      </c>
      <c r="V30">
        <f>HYPERLINK("https://klasma.github.io/Logging_2080/klagomål/A 40241-2020 FSC-klagomål.docx", "A 40241-2020")</f>
        <v/>
      </c>
      <c r="W30">
        <f>HYPERLINK("https://klasma.github.io/Logging_2080/klagomålsmail/A 40241-2020 FSC-klagomål mail.docx", "A 40241-2020")</f>
        <v/>
      </c>
      <c r="X30">
        <f>HYPERLINK("https://klasma.github.io/Logging_2080/tillsyn/A 40241-2020 tillsynsbegäran.docx", "A 40241-2020")</f>
        <v/>
      </c>
      <c r="Y30">
        <f>HYPERLINK("https://klasma.github.io/Logging_2080/tillsynsmail/A 40241-2020 tillsynsbegäran mail.docx", "A 40241-2020")</f>
        <v/>
      </c>
    </row>
    <row r="31" ht="15" customHeight="1">
      <c r="A31" t="inlineStr">
        <is>
          <t>A 51961-2022</t>
        </is>
      </c>
      <c r="B31" s="1" t="n">
        <v>44872</v>
      </c>
      <c r="C31" s="1" t="n">
        <v>45752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2.9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Mindre märgborre</t>
        </is>
      </c>
      <c r="S31">
        <f>HYPERLINK("https://klasma.github.io/Logging_2080/artfynd/A 51961-2022 artfynd.xlsx", "A 51961-2022")</f>
        <v/>
      </c>
      <c r="T31">
        <f>HYPERLINK("https://klasma.github.io/Logging_2080/kartor/A 51961-2022 karta.png", "A 51961-2022")</f>
        <v/>
      </c>
      <c r="V31">
        <f>HYPERLINK("https://klasma.github.io/Logging_2080/klagomål/A 51961-2022 FSC-klagomål.docx", "A 51961-2022")</f>
        <v/>
      </c>
      <c r="W31">
        <f>HYPERLINK("https://klasma.github.io/Logging_2080/klagomålsmail/A 51961-2022 FSC-klagomål mail.docx", "A 51961-2022")</f>
        <v/>
      </c>
      <c r="X31">
        <f>HYPERLINK("https://klasma.github.io/Logging_2080/tillsyn/A 51961-2022 tillsynsbegäran.docx", "A 51961-2022")</f>
        <v/>
      </c>
      <c r="Y31">
        <f>HYPERLINK("https://klasma.github.io/Logging_2080/tillsynsmail/A 51961-2022 tillsynsbegäran mail.docx", "A 51961-2022")</f>
        <v/>
      </c>
      <c r="Z31">
        <f>HYPERLINK("https://klasma.github.io/Logging_2080/fåglar/A 51961-2022 prioriterade fågelarter.docx", "A 51961-2022")</f>
        <v/>
      </c>
    </row>
    <row r="32" ht="15" customHeight="1">
      <c r="A32" t="inlineStr">
        <is>
          <t>A 62482-2022</t>
        </is>
      </c>
      <c r="B32" s="1" t="n">
        <v>44924</v>
      </c>
      <c r="C32" s="1" t="n">
        <v>45752</v>
      </c>
      <c r="D32" t="inlineStr">
        <is>
          <t>DALARNAS LÄN</t>
        </is>
      </c>
      <c r="E32" t="inlineStr">
        <is>
          <t>FALUN</t>
        </is>
      </c>
      <c r="G32" t="n">
        <v>22.7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Bronshjon
Mindre märgborre</t>
        </is>
      </c>
      <c r="S32">
        <f>HYPERLINK("https://klasma.github.io/Logging_2080/artfynd/A 62482-2022 artfynd.xlsx", "A 62482-2022")</f>
        <v/>
      </c>
      <c r="T32">
        <f>HYPERLINK("https://klasma.github.io/Logging_2080/kartor/A 62482-2022 karta.png", "A 62482-2022")</f>
        <v/>
      </c>
      <c r="V32">
        <f>HYPERLINK("https://klasma.github.io/Logging_2080/klagomål/A 62482-2022 FSC-klagomål.docx", "A 62482-2022")</f>
        <v/>
      </c>
      <c r="W32">
        <f>HYPERLINK("https://klasma.github.io/Logging_2080/klagomålsmail/A 62482-2022 FSC-klagomål mail.docx", "A 62482-2022")</f>
        <v/>
      </c>
      <c r="X32">
        <f>HYPERLINK("https://klasma.github.io/Logging_2080/tillsyn/A 62482-2022 tillsynsbegäran.docx", "A 62482-2022")</f>
        <v/>
      </c>
      <c r="Y32">
        <f>HYPERLINK("https://klasma.github.io/Logging_2080/tillsynsmail/A 62482-2022 tillsynsbegäran mail.docx", "A 62482-2022")</f>
        <v/>
      </c>
    </row>
    <row r="33" ht="15" customHeight="1">
      <c r="A33" t="inlineStr">
        <is>
          <t>A 16311-2023</t>
        </is>
      </c>
      <c r="B33" s="1" t="n">
        <v>45028</v>
      </c>
      <c r="C33" s="1" t="n">
        <v>45752</v>
      </c>
      <c r="D33" t="inlineStr">
        <is>
          <t>DALARNAS LÄN</t>
        </is>
      </c>
      <c r="E33" t="inlineStr">
        <is>
          <t>FALUN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Bollvitmossa
Dropptaggsvamp
Mindre märgborre</t>
        </is>
      </c>
      <c r="S33">
        <f>HYPERLINK("https://klasma.github.io/Logging_2080/artfynd/A 16311-2023 artfynd.xlsx", "A 16311-2023")</f>
        <v/>
      </c>
      <c r="T33">
        <f>HYPERLINK("https://klasma.github.io/Logging_2080/kartor/A 16311-2023 karta.png", "A 16311-2023")</f>
        <v/>
      </c>
      <c r="V33">
        <f>HYPERLINK("https://klasma.github.io/Logging_2080/klagomål/A 16311-2023 FSC-klagomål.docx", "A 16311-2023")</f>
        <v/>
      </c>
      <c r="W33">
        <f>HYPERLINK("https://klasma.github.io/Logging_2080/klagomålsmail/A 16311-2023 FSC-klagomål mail.docx", "A 16311-2023")</f>
        <v/>
      </c>
      <c r="X33">
        <f>HYPERLINK("https://klasma.github.io/Logging_2080/tillsyn/A 16311-2023 tillsynsbegäran.docx", "A 16311-2023")</f>
        <v/>
      </c>
      <c r="Y33">
        <f>HYPERLINK("https://klasma.github.io/Logging_2080/tillsynsmail/A 16311-2023 tillsynsbegäran mail.docx", "A 16311-2023")</f>
        <v/>
      </c>
    </row>
    <row r="34" ht="15" customHeight="1">
      <c r="A34" t="inlineStr">
        <is>
          <t>A 17137-2023</t>
        </is>
      </c>
      <c r="B34" s="1" t="n">
        <v>45034</v>
      </c>
      <c r="C34" s="1" t="n">
        <v>45752</v>
      </c>
      <c r="D34" t="inlineStr">
        <is>
          <t>DALARNAS LÄN</t>
        </is>
      </c>
      <c r="E34" t="inlineStr">
        <is>
          <t>FALUN</t>
        </is>
      </c>
      <c r="G34" t="n">
        <v>6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Garnlav
Dropptaggsvamp</t>
        </is>
      </c>
      <c r="S34">
        <f>HYPERLINK("https://klasma.github.io/Logging_2080/artfynd/A 17137-2023 artfynd.xlsx", "A 17137-2023")</f>
        <v/>
      </c>
      <c r="T34">
        <f>HYPERLINK("https://klasma.github.io/Logging_2080/kartor/A 17137-2023 karta.png", "A 17137-2023")</f>
        <v/>
      </c>
      <c r="U34">
        <f>HYPERLINK("https://klasma.github.io/Logging_2080/knärot/A 17137-2023 karta knärot.png", "A 17137-2023")</f>
        <v/>
      </c>
      <c r="V34">
        <f>HYPERLINK("https://klasma.github.io/Logging_2080/klagomål/A 17137-2023 FSC-klagomål.docx", "A 17137-2023")</f>
        <v/>
      </c>
      <c r="W34">
        <f>HYPERLINK("https://klasma.github.io/Logging_2080/klagomålsmail/A 17137-2023 FSC-klagomål mail.docx", "A 17137-2023")</f>
        <v/>
      </c>
      <c r="X34">
        <f>HYPERLINK("https://klasma.github.io/Logging_2080/tillsyn/A 17137-2023 tillsynsbegäran.docx", "A 17137-2023")</f>
        <v/>
      </c>
      <c r="Y34">
        <f>HYPERLINK("https://klasma.github.io/Logging_2080/tillsynsmail/A 17137-2023 tillsynsbegäran mail.docx", "A 17137-2023")</f>
        <v/>
      </c>
    </row>
    <row r="35" ht="15" customHeight="1">
      <c r="A35" t="inlineStr">
        <is>
          <t>A 45685-2023</t>
        </is>
      </c>
      <c r="B35" s="1" t="n">
        <v>45195</v>
      </c>
      <c r="C35" s="1" t="n">
        <v>45752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Vedtrappmossa
Mindre märgborre</t>
        </is>
      </c>
      <c r="S35">
        <f>HYPERLINK("https://klasma.github.io/Logging_2080/artfynd/A 45685-2023 artfynd.xlsx", "A 45685-2023")</f>
        <v/>
      </c>
      <c r="T35">
        <f>HYPERLINK("https://klasma.github.io/Logging_2080/kartor/A 45685-2023 karta.png", "A 45685-2023")</f>
        <v/>
      </c>
      <c r="V35">
        <f>HYPERLINK("https://klasma.github.io/Logging_2080/klagomål/A 45685-2023 FSC-klagomål.docx", "A 45685-2023")</f>
        <v/>
      </c>
      <c r="W35">
        <f>HYPERLINK("https://klasma.github.io/Logging_2080/klagomålsmail/A 45685-2023 FSC-klagomål mail.docx", "A 45685-2023")</f>
        <v/>
      </c>
      <c r="X35">
        <f>HYPERLINK("https://klasma.github.io/Logging_2080/tillsyn/A 45685-2023 tillsynsbegäran.docx", "A 45685-2023")</f>
        <v/>
      </c>
      <c r="Y35">
        <f>HYPERLINK("https://klasma.github.io/Logging_2080/tillsynsmail/A 45685-2023 tillsynsbegäran mail.docx", "A 45685-2023")</f>
        <v/>
      </c>
    </row>
    <row r="36" ht="15" customHeight="1">
      <c r="A36" t="inlineStr">
        <is>
          <t>A 63190-2023</t>
        </is>
      </c>
      <c r="B36" s="1" t="n">
        <v>45273</v>
      </c>
      <c r="C36" s="1" t="n">
        <v>45752</v>
      </c>
      <c r="D36" t="inlineStr">
        <is>
          <t>DALARNAS LÄN</t>
        </is>
      </c>
      <c r="E36" t="inlineStr">
        <is>
          <t>FALUN</t>
        </is>
      </c>
      <c r="G36" t="n">
        <v>7.7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Mindre märgborre
Kungsfågel</t>
        </is>
      </c>
      <c r="S36">
        <f>HYPERLINK("https://klasma.github.io/Logging_2080/artfynd/A 63190-2023 artfynd.xlsx", "A 63190-2023")</f>
        <v/>
      </c>
      <c r="T36">
        <f>HYPERLINK("https://klasma.github.io/Logging_2080/kartor/A 63190-2023 karta.png", "A 63190-2023")</f>
        <v/>
      </c>
      <c r="V36">
        <f>HYPERLINK("https://klasma.github.io/Logging_2080/klagomål/A 63190-2023 FSC-klagomål.docx", "A 63190-2023")</f>
        <v/>
      </c>
      <c r="W36">
        <f>HYPERLINK("https://klasma.github.io/Logging_2080/klagomålsmail/A 63190-2023 FSC-klagomål mail.docx", "A 63190-2023")</f>
        <v/>
      </c>
      <c r="X36">
        <f>HYPERLINK("https://klasma.github.io/Logging_2080/tillsyn/A 63190-2023 tillsynsbegäran.docx", "A 63190-2023")</f>
        <v/>
      </c>
      <c r="Y36">
        <f>HYPERLINK("https://klasma.github.io/Logging_2080/tillsynsmail/A 63190-2023 tillsynsbegäran mail.docx", "A 63190-2023")</f>
        <v/>
      </c>
      <c r="Z36">
        <f>HYPERLINK("https://klasma.github.io/Logging_2080/fåglar/A 63190-2023 prioriterade fågelarter.docx", "A 63190-2023")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45752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45752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Vedtrappmossa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25471-2024</t>
        </is>
      </c>
      <c r="B39" s="1" t="n">
        <v>45463</v>
      </c>
      <c r="C39" s="1" t="n">
        <v>45752</v>
      </c>
      <c r="D39" t="inlineStr">
        <is>
          <t>DALARNAS LÄN</t>
        </is>
      </c>
      <c r="E39" t="inlineStr">
        <is>
          <t>FALUN</t>
        </is>
      </c>
      <c r="F39" t="inlineStr">
        <is>
          <t>Sveaskog</t>
        </is>
      </c>
      <c r="G39" t="n">
        <v>15.5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Plattlummer
Kopparödla
Vanlig groda</t>
        </is>
      </c>
      <c r="S39">
        <f>HYPERLINK("https://klasma.github.io/Logging_2080/artfynd/A 25471-2024 artfynd.xlsx", "A 25471-2024")</f>
        <v/>
      </c>
      <c r="T39">
        <f>HYPERLINK("https://klasma.github.io/Logging_2080/kartor/A 25471-2024 karta.png", "A 25471-2024")</f>
        <v/>
      </c>
      <c r="V39">
        <f>HYPERLINK("https://klasma.github.io/Logging_2080/klagomål/A 25471-2024 FSC-klagomål.docx", "A 25471-2024")</f>
        <v/>
      </c>
      <c r="W39">
        <f>HYPERLINK("https://klasma.github.io/Logging_2080/klagomålsmail/A 25471-2024 FSC-klagomål mail.docx", "A 25471-2024")</f>
        <v/>
      </c>
      <c r="X39">
        <f>HYPERLINK("https://klasma.github.io/Logging_2080/tillsyn/A 25471-2024 tillsynsbegäran.docx", "A 25471-2024")</f>
        <v/>
      </c>
      <c r="Y39">
        <f>HYPERLINK("https://klasma.github.io/Logging_2080/tillsynsmail/A 25471-2024 tillsynsbegäran mail.docx", "A 25471-2024")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45752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Gultoppig fingersvamp
Papegojvaxskivling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2055-2025</t>
        </is>
      </c>
      <c r="B41" s="1" t="n">
        <v>45671</v>
      </c>
      <c r="C41" s="1" t="n">
        <v>45752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Garnlav
Bronshjon</t>
        </is>
      </c>
      <c r="S41">
        <f>HYPERLINK("https://klasma.github.io/Logging_2080/artfynd/A 2055-2025 artfynd.xlsx", "A 2055-2025")</f>
        <v/>
      </c>
      <c r="T41">
        <f>HYPERLINK("https://klasma.github.io/Logging_2080/kartor/A 2055-2025 karta.png", "A 2055-2025")</f>
        <v/>
      </c>
      <c r="U41">
        <f>HYPERLINK("https://klasma.github.io/Logging_2080/knärot/A 2055-2025 karta knärot.png", "A 2055-2025")</f>
        <v/>
      </c>
      <c r="V41">
        <f>HYPERLINK("https://klasma.github.io/Logging_2080/klagomål/A 2055-2025 FSC-klagomål.docx", "A 2055-2025")</f>
        <v/>
      </c>
      <c r="W41">
        <f>HYPERLINK("https://klasma.github.io/Logging_2080/klagomålsmail/A 2055-2025 FSC-klagomål mail.docx", "A 2055-2025")</f>
        <v/>
      </c>
      <c r="X41">
        <f>HYPERLINK("https://klasma.github.io/Logging_2080/tillsyn/A 2055-2025 tillsynsbegäran.docx", "A 2055-2025")</f>
        <v/>
      </c>
      <c r="Y41">
        <f>HYPERLINK("https://klasma.github.io/Logging_2080/tillsynsmail/A 2055-2025 tillsynsbegäran mail.docx", "A 2055-2025")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45752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45752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45752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45752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45752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45752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45752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45752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45752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45752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45752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45752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45752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45752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1919-2025</t>
        </is>
      </c>
      <c r="B56" s="1" t="n">
        <v>45671</v>
      </c>
      <c r="C56" s="1" t="n">
        <v>45752</v>
      </c>
      <c r="D56" t="inlineStr">
        <is>
          <t>DALARNAS LÄN</t>
        </is>
      </c>
      <c r="E56" t="inlineStr">
        <is>
          <t>FALUN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HYPERLINK("https://klasma.github.io/Logging_2080/artfynd/A 1919-2025 artfynd.xlsx", "A 1919-2025")</f>
        <v/>
      </c>
      <c r="T56">
        <f>HYPERLINK("https://klasma.github.io/Logging_2080/kartor/A 1919-2025 karta.png", "A 1919-2025")</f>
        <v/>
      </c>
      <c r="V56">
        <f>HYPERLINK("https://klasma.github.io/Logging_2080/klagomål/A 1919-2025 FSC-klagomål.docx", "A 1919-2025")</f>
        <v/>
      </c>
      <c r="W56">
        <f>HYPERLINK("https://klasma.github.io/Logging_2080/klagomålsmail/A 1919-2025 FSC-klagomål mail.docx", "A 1919-2025")</f>
        <v/>
      </c>
      <c r="X56">
        <f>HYPERLINK("https://klasma.github.io/Logging_2080/tillsyn/A 1919-2025 tillsynsbegäran.docx", "A 1919-2025")</f>
        <v/>
      </c>
      <c r="Y56">
        <f>HYPERLINK("https://klasma.github.io/Logging_2080/tillsynsmail/A 1919-2025 tillsynsbegäran mail.docx", "A 1919-2025")</f>
        <v/>
      </c>
    </row>
    <row r="57" ht="15" customHeight="1">
      <c r="A57" t="inlineStr">
        <is>
          <t>A 9222-2025</t>
        </is>
      </c>
      <c r="B57" s="1" t="n">
        <v>45714</v>
      </c>
      <c r="C57" s="1" t="n">
        <v>45752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11777-2025</t>
        </is>
      </c>
      <c r="B58" s="1" t="n">
        <v>45727</v>
      </c>
      <c r="C58" s="1" t="n">
        <v>45752</v>
      </c>
      <c r="D58" t="inlineStr">
        <is>
          <t>DALARNAS LÄN</t>
        </is>
      </c>
      <c r="E58" t="inlineStr">
        <is>
          <t>FALUN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HYPERLINK("https://klasma.github.io/Logging_202080/artfynd/A 11777-2025 artfynd.xlsx", "A 11777-2025")</f>
        <v/>
      </c>
      <c r="T58">
        <f>HYPERLINK("https://klasma.github.io/Logging_202080/kartor/A 11777-2025 karta.png", "A 11777-2025")</f>
        <v/>
      </c>
      <c r="U58">
        <f>HYPERLINK("https://klasma.github.io/Logging_202080/knärot/A 11777-2025 karta knärot.png", "A 11777-2025")</f>
        <v/>
      </c>
      <c r="V58">
        <f>HYPERLINK("https://klasma.github.io/Logging_202080/klagomål/A 11777-2025 FSC-klagomål.docx", "A 11777-2025")</f>
        <v/>
      </c>
      <c r="W58">
        <f>HYPERLINK("https://klasma.github.io/Logging_202080/klagomålsmail/A 11777-2025 FSC-klagomål mail.docx", "A 11777-2025")</f>
        <v/>
      </c>
      <c r="X58">
        <f>HYPERLINK("https://klasma.github.io/Logging_202080/tillsyn/A 11777-2025 tillsynsbegäran.docx", "A 11777-2025")</f>
        <v/>
      </c>
      <c r="Y58">
        <f>HYPERLINK("https://klasma.github.io/Logging_202080/tillsynsmail/A 11777-2025 tillsynsbegäran mail.docx", "A 11777-2025")</f>
        <v/>
      </c>
    </row>
    <row r="59" ht="15" customHeight="1">
      <c r="A59" t="inlineStr">
        <is>
          <t>A 37713-2020</t>
        </is>
      </c>
      <c r="B59" s="1" t="n">
        <v>44056</v>
      </c>
      <c r="C59" s="1" t="n">
        <v>45752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37713-2020 artfynd.xlsx", "A 37713-2020")</f>
        <v/>
      </c>
      <c r="T59">
        <f>HYPERLINK("https://klasma.github.io/Logging_2080/kartor/A 37713-2020 karta.png", "A 37713-2020")</f>
        <v/>
      </c>
      <c r="V59">
        <f>HYPERLINK("https://klasma.github.io/Logging_2080/klagomål/A 37713-2020 FSC-klagomål.docx", "A 37713-2020")</f>
        <v/>
      </c>
      <c r="W59">
        <f>HYPERLINK("https://klasma.github.io/Logging_2080/klagomålsmail/A 37713-2020 FSC-klagomål mail.docx", "A 37713-2020")</f>
        <v/>
      </c>
      <c r="X59">
        <f>HYPERLINK("https://klasma.github.io/Logging_2080/tillsyn/A 37713-2020 tillsynsbegäran.docx", "A 37713-2020")</f>
        <v/>
      </c>
      <c r="Y59">
        <f>HYPERLINK("https://klasma.github.io/Logging_2080/tillsynsmail/A 37713-2020 tillsynsbegäran mail.docx", "A 37713-2020")</f>
        <v/>
      </c>
    </row>
    <row r="60" ht="15" customHeight="1">
      <c r="A60" t="inlineStr">
        <is>
          <t>A 51342-2020</t>
        </is>
      </c>
      <c r="B60" s="1" t="n">
        <v>44112</v>
      </c>
      <c r="C60" s="1" t="n">
        <v>45752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51342-2020 artfynd.xlsx", "A 51342-2020")</f>
        <v/>
      </c>
      <c r="T60">
        <f>HYPERLINK("https://klasma.github.io/Logging_2080/kartor/A 51342-2020 karta.png", "A 51342-2020")</f>
        <v/>
      </c>
      <c r="U60">
        <f>HYPERLINK("https://klasma.github.io/Logging_2080/knärot/A 51342-2020 karta knärot.png", "A 51342-2020")</f>
        <v/>
      </c>
      <c r="V60">
        <f>HYPERLINK("https://klasma.github.io/Logging_2080/klagomål/A 51342-2020 FSC-klagomål.docx", "A 51342-2020")</f>
        <v/>
      </c>
      <c r="W60">
        <f>HYPERLINK("https://klasma.github.io/Logging_2080/klagomålsmail/A 51342-2020 FSC-klagomål mail.docx", "A 51342-2020")</f>
        <v/>
      </c>
      <c r="X60">
        <f>HYPERLINK("https://klasma.github.io/Logging_2080/tillsyn/A 51342-2020 tillsynsbegäran.docx", "A 51342-2020")</f>
        <v/>
      </c>
      <c r="Y60">
        <f>HYPERLINK("https://klasma.github.io/Logging_2080/tillsynsmail/A 51342-2020 tillsynsbegäran mail.docx", "A 51342-2020")</f>
        <v/>
      </c>
    </row>
    <row r="61" ht="15" customHeight="1">
      <c r="A61" t="inlineStr">
        <is>
          <t>A 10384-2021</t>
        </is>
      </c>
      <c r="B61" s="1" t="n">
        <v>44257</v>
      </c>
      <c r="C61" s="1" t="n">
        <v>45752</v>
      </c>
      <c r="D61" t="inlineStr">
        <is>
          <t>DALARNAS LÄN</t>
        </is>
      </c>
      <c r="E61" t="inlineStr">
        <is>
          <t>FALUN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HYPERLINK("https://klasma.github.io/Logging_2080/artfynd/A 10384-2021 artfynd.xlsx", "A 10384-2021")</f>
        <v/>
      </c>
      <c r="T61">
        <f>HYPERLINK("https://klasma.github.io/Logging_2080/kartor/A 10384-2021 karta.png", "A 10384-2021")</f>
        <v/>
      </c>
      <c r="V61">
        <f>HYPERLINK("https://klasma.github.io/Logging_2080/klagomål/A 10384-2021 FSC-klagomål.docx", "A 10384-2021")</f>
        <v/>
      </c>
      <c r="W61">
        <f>HYPERLINK("https://klasma.github.io/Logging_2080/klagomålsmail/A 10384-2021 FSC-klagomål mail.docx", "A 10384-2021")</f>
        <v/>
      </c>
      <c r="X61">
        <f>HYPERLINK("https://klasma.github.io/Logging_2080/tillsyn/A 10384-2021 tillsynsbegäran.docx", "A 10384-2021")</f>
        <v/>
      </c>
      <c r="Y61">
        <f>HYPERLINK("https://klasma.github.io/Logging_2080/tillsynsmail/A 10384-2021 tillsynsbegäran mail.docx", "A 10384-2021")</f>
        <v/>
      </c>
    </row>
    <row r="62" ht="15" customHeight="1">
      <c r="A62" t="inlineStr">
        <is>
          <t>A 68557-2021</t>
        </is>
      </c>
      <c r="B62" s="1" t="n">
        <v>44529</v>
      </c>
      <c r="C62" s="1" t="n">
        <v>45752</v>
      </c>
      <c r="D62" t="inlineStr">
        <is>
          <t>DALARNAS LÄN</t>
        </is>
      </c>
      <c r="E62" t="inlineStr">
        <is>
          <t>FALUN</t>
        </is>
      </c>
      <c r="G62" t="n">
        <v>9.5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Skrovellav</t>
        </is>
      </c>
      <c r="S62">
        <f>HYPERLINK("https://klasma.github.io/Logging_2080/artfynd/A 68557-2021 artfynd.xlsx", "A 68557-2021")</f>
        <v/>
      </c>
      <c r="T62">
        <f>HYPERLINK("https://klasma.github.io/Logging_2080/kartor/A 68557-2021 karta.png", "A 68557-2021")</f>
        <v/>
      </c>
      <c r="V62">
        <f>HYPERLINK("https://klasma.github.io/Logging_2080/klagomål/A 68557-2021 FSC-klagomål.docx", "A 68557-2021")</f>
        <v/>
      </c>
      <c r="W62">
        <f>HYPERLINK("https://klasma.github.io/Logging_2080/klagomålsmail/A 68557-2021 FSC-klagomål mail.docx", "A 68557-2021")</f>
        <v/>
      </c>
      <c r="X62">
        <f>HYPERLINK("https://klasma.github.io/Logging_2080/tillsyn/A 68557-2021 tillsynsbegäran.docx", "A 68557-2021")</f>
        <v/>
      </c>
      <c r="Y62">
        <f>HYPERLINK("https://klasma.github.io/Logging_2080/tillsynsmail/A 68557-2021 tillsynsbegäran mail.docx", "A 68557-2021")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45752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50475-2022</t>
        </is>
      </c>
      <c r="B64" s="1" t="n">
        <v>44866</v>
      </c>
      <c r="C64" s="1" t="n">
        <v>45752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11.3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50475-2022 artfynd.xlsx", "A 50475-2022")</f>
        <v/>
      </c>
      <c r="T64">
        <f>HYPERLINK("https://klasma.github.io/Logging_2080/kartor/A 50475-2022 karta.png", "A 50475-2022")</f>
        <v/>
      </c>
      <c r="U64">
        <f>HYPERLINK("https://klasma.github.io/Logging_2080/knärot/A 50475-2022 karta knärot.png", "A 50475-2022")</f>
        <v/>
      </c>
      <c r="V64">
        <f>HYPERLINK("https://klasma.github.io/Logging_2080/klagomål/A 50475-2022 FSC-klagomål.docx", "A 50475-2022")</f>
        <v/>
      </c>
      <c r="W64">
        <f>HYPERLINK("https://klasma.github.io/Logging_2080/klagomålsmail/A 50475-2022 FSC-klagomål mail.docx", "A 50475-2022")</f>
        <v/>
      </c>
      <c r="X64">
        <f>HYPERLINK("https://klasma.github.io/Logging_2080/tillsyn/A 50475-2022 tillsynsbegäran.docx", "A 50475-2022")</f>
        <v/>
      </c>
      <c r="Y64">
        <f>HYPERLINK("https://klasma.github.io/Logging_2080/tillsynsmail/A 50475-2022 tillsynsbegäran mail.docx", "A 50475-2022")</f>
        <v/>
      </c>
    </row>
    <row r="65" ht="15" customHeight="1">
      <c r="A65" t="inlineStr">
        <is>
          <t>A 53409-2022</t>
        </is>
      </c>
      <c r="B65" s="1" t="n">
        <v>44879</v>
      </c>
      <c r="C65" s="1" t="n">
        <v>45752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61535-2022</t>
        </is>
      </c>
      <c r="B66" s="1" t="n">
        <v>44916</v>
      </c>
      <c r="C66" s="1" t="n">
        <v>45752</v>
      </c>
      <c r="D66" t="inlineStr">
        <is>
          <t>DALARNAS LÄN</t>
        </is>
      </c>
      <c r="E66" t="inlineStr">
        <is>
          <t>FALUN</t>
        </is>
      </c>
      <c r="G66" t="n">
        <v>13.1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61535-2022 artfynd.xlsx", "A 61535-2022")</f>
        <v/>
      </c>
      <c r="T66">
        <f>HYPERLINK("https://klasma.github.io/Logging_2080/kartor/A 61535-2022 karta.png", "A 61535-2022")</f>
        <v/>
      </c>
      <c r="V66">
        <f>HYPERLINK("https://klasma.github.io/Logging_2080/klagomål/A 61535-2022 FSC-klagomål.docx", "A 61535-2022")</f>
        <v/>
      </c>
      <c r="W66">
        <f>HYPERLINK("https://klasma.github.io/Logging_2080/klagomålsmail/A 61535-2022 FSC-klagomål mail.docx", "A 61535-2022")</f>
        <v/>
      </c>
      <c r="X66">
        <f>HYPERLINK("https://klasma.github.io/Logging_2080/tillsyn/A 61535-2022 tillsynsbegäran.docx", "A 61535-2022")</f>
        <v/>
      </c>
      <c r="Y66">
        <f>HYPERLINK("https://klasma.github.io/Logging_2080/tillsynsmail/A 61535-2022 tillsynsbegäran mail.docx", "A 61535-2022")</f>
        <v/>
      </c>
      <c r="Z66">
        <f>HYPERLINK("https://klasma.github.io/Logging_2080/fåglar/A 61535-2022 prioriterade fågelarter.docx", "A 61535-2022")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45752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17199-2023</t>
        </is>
      </c>
      <c r="B68" s="1" t="n">
        <v>45034</v>
      </c>
      <c r="C68" s="1" t="n">
        <v>45752</v>
      </c>
      <c r="D68" t="inlineStr">
        <is>
          <t>DALARNAS LÄN</t>
        </is>
      </c>
      <c r="E68" t="inlineStr">
        <is>
          <t>FALUN</t>
        </is>
      </c>
      <c r="G68" t="n">
        <v>16.6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17199-2023 artfynd.xlsx", "A 17199-2023")</f>
        <v/>
      </c>
      <c r="T68">
        <f>HYPERLINK("https://klasma.github.io/Logging_2080/kartor/A 17199-2023 karta.png", "A 17199-2023")</f>
        <v/>
      </c>
      <c r="V68">
        <f>HYPERLINK("https://klasma.github.io/Logging_2080/klagomål/A 17199-2023 FSC-klagomål.docx", "A 17199-2023")</f>
        <v/>
      </c>
      <c r="W68">
        <f>HYPERLINK("https://klasma.github.io/Logging_2080/klagomålsmail/A 17199-2023 FSC-klagomål mail.docx", "A 17199-2023")</f>
        <v/>
      </c>
      <c r="X68">
        <f>HYPERLINK("https://klasma.github.io/Logging_2080/tillsyn/A 17199-2023 tillsynsbegäran.docx", "A 17199-2023")</f>
        <v/>
      </c>
      <c r="Y68">
        <f>HYPERLINK("https://klasma.github.io/Logging_2080/tillsynsmail/A 17199-2023 tillsynsbegäran mail.docx", "A 17199-2023")</f>
        <v/>
      </c>
    </row>
    <row r="69" ht="15" customHeight="1">
      <c r="A69" t="inlineStr">
        <is>
          <t>A 17743-2023</t>
        </is>
      </c>
      <c r="B69" s="1" t="n">
        <v>45037</v>
      </c>
      <c r="C69" s="1" t="n">
        <v>45752</v>
      </c>
      <c r="D69" t="inlineStr">
        <is>
          <t>DALARNAS LÄN</t>
        </is>
      </c>
      <c r="E69" t="inlineStr">
        <is>
          <t>FALUN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17743-2023 artfynd.xlsx", "A 17743-2023")</f>
        <v/>
      </c>
      <c r="T69">
        <f>HYPERLINK("https://klasma.github.io/Logging_2080/kartor/A 17743-2023 karta.png", "A 17743-2023")</f>
        <v/>
      </c>
      <c r="V69">
        <f>HYPERLINK("https://klasma.github.io/Logging_2080/klagomål/A 17743-2023 FSC-klagomål.docx", "A 17743-2023")</f>
        <v/>
      </c>
      <c r="W69">
        <f>HYPERLINK("https://klasma.github.io/Logging_2080/klagomålsmail/A 17743-2023 FSC-klagomål mail.docx", "A 17743-2023")</f>
        <v/>
      </c>
      <c r="X69">
        <f>HYPERLINK("https://klasma.github.io/Logging_2080/tillsyn/A 17743-2023 tillsynsbegäran.docx", "A 17743-2023")</f>
        <v/>
      </c>
      <c r="Y69">
        <f>HYPERLINK("https://klasma.github.io/Logging_2080/tillsynsmail/A 17743-2023 tillsynsbegäran mail.docx", "A 17743-2023")</f>
        <v/>
      </c>
    </row>
    <row r="70" ht="15" customHeight="1">
      <c r="A70" t="inlineStr">
        <is>
          <t>A 22069-2023</t>
        </is>
      </c>
      <c r="B70" s="1" t="n">
        <v>45069</v>
      </c>
      <c r="C70" s="1" t="n">
        <v>45752</v>
      </c>
      <c r="D70" t="inlineStr">
        <is>
          <t>DALARNAS LÄN</t>
        </is>
      </c>
      <c r="E70" t="inlineStr">
        <is>
          <t>FALUN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HYPERLINK("https://klasma.github.io/Logging_2080/artfynd/A 22069-2023 artfynd.xlsx", "A 22069-2023")</f>
        <v/>
      </c>
      <c r="T70">
        <f>HYPERLINK("https://klasma.github.io/Logging_2080/kartor/A 22069-2023 karta.png", "A 22069-2023")</f>
        <v/>
      </c>
      <c r="V70">
        <f>HYPERLINK("https://klasma.github.io/Logging_2080/klagomål/A 22069-2023 FSC-klagomål.docx", "A 22069-2023")</f>
        <v/>
      </c>
      <c r="W70">
        <f>HYPERLINK("https://klasma.github.io/Logging_2080/klagomålsmail/A 22069-2023 FSC-klagomål mail.docx", "A 22069-2023")</f>
        <v/>
      </c>
      <c r="X70">
        <f>HYPERLINK("https://klasma.github.io/Logging_2080/tillsyn/A 22069-2023 tillsynsbegäran.docx", "A 22069-2023")</f>
        <v/>
      </c>
      <c r="Y70">
        <f>HYPERLINK("https://klasma.github.io/Logging_2080/tillsynsmail/A 22069-2023 tillsynsbegäran mail.docx", "A 22069-2023")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45752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45752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34958-2023</t>
        </is>
      </c>
      <c r="B73" s="1" t="n">
        <v>45142</v>
      </c>
      <c r="C73" s="1" t="n">
        <v>45752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19.2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34958-2023 artfynd.xlsx", "A 34958-2023")</f>
        <v/>
      </c>
      <c r="T73">
        <f>HYPERLINK("https://klasma.github.io/Logging_2080/kartor/A 34958-2023 karta.png", "A 34958-2023")</f>
        <v/>
      </c>
      <c r="V73">
        <f>HYPERLINK("https://klasma.github.io/Logging_2080/klagomål/A 34958-2023 FSC-klagomål.docx", "A 34958-2023")</f>
        <v/>
      </c>
      <c r="W73">
        <f>HYPERLINK("https://klasma.github.io/Logging_2080/klagomålsmail/A 34958-2023 FSC-klagomål mail.docx", "A 34958-2023")</f>
        <v/>
      </c>
      <c r="X73">
        <f>HYPERLINK("https://klasma.github.io/Logging_2080/tillsyn/A 34958-2023 tillsynsbegäran.docx", "A 34958-2023")</f>
        <v/>
      </c>
      <c r="Y73">
        <f>HYPERLINK("https://klasma.github.io/Logging_2080/tillsynsmail/A 34958-2023 tillsynsbegäran mail.docx", "A 34958-2023")</f>
        <v/>
      </c>
      <c r="Z73">
        <f>HYPERLINK("https://klasma.github.io/Logging_2080/fåglar/A 34958-2023 prioriterade fågelarter.docx", "A 34958-2023")</f>
        <v/>
      </c>
    </row>
    <row r="74" ht="15" customHeight="1">
      <c r="A74" t="inlineStr">
        <is>
          <t>A 42011-2023</t>
        </is>
      </c>
      <c r="B74" s="1" t="n">
        <v>45177</v>
      </c>
      <c r="C74" s="1" t="n">
        <v>45752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7.8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HYPERLINK("https://klasma.github.io/Logging_2080/artfynd/A 42011-2023 artfynd.xlsx", "A 42011-2023")</f>
        <v/>
      </c>
      <c r="T74">
        <f>HYPERLINK("https://klasma.github.io/Logging_2080/kartor/A 42011-2023 karta.png", "A 42011-2023")</f>
        <v/>
      </c>
      <c r="V74">
        <f>HYPERLINK("https://klasma.github.io/Logging_2080/klagomål/A 42011-2023 FSC-klagomål.docx", "A 42011-2023")</f>
        <v/>
      </c>
      <c r="W74">
        <f>HYPERLINK("https://klasma.github.io/Logging_2080/klagomålsmail/A 42011-2023 FSC-klagomål mail.docx", "A 42011-2023")</f>
        <v/>
      </c>
      <c r="X74">
        <f>HYPERLINK("https://klasma.github.io/Logging_2080/tillsyn/A 42011-2023 tillsynsbegäran.docx", "A 42011-2023")</f>
        <v/>
      </c>
      <c r="Y74">
        <f>HYPERLINK("https://klasma.github.io/Logging_2080/tillsynsmail/A 42011-2023 tillsynsbegäran mail.docx", "A 42011-2023")</f>
        <v/>
      </c>
    </row>
    <row r="75" ht="15" customHeight="1">
      <c r="A75" t="inlineStr">
        <is>
          <t>A 44725-2023</t>
        </is>
      </c>
      <c r="B75" s="1" t="n">
        <v>45190</v>
      </c>
      <c r="C75" s="1" t="n">
        <v>45752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3.2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44725-2023 artfynd.xlsx", "A 44725-2023")</f>
        <v/>
      </c>
      <c r="T75">
        <f>HYPERLINK("https://klasma.github.io/Logging_2080/kartor/A 44725-2023 karta.png", "A 44725-2023")</f>
        <v/>
      </c>
      <c r="V75">
        <f>HYPERLINK("https://klasma.github.io/Logging_2080/klagomål/A 44725-2023 FSC-klagomål.docx", "A 44725-2023")</f>
        <v/>
      </c>
      <c r="W75">
        <f>HYPERLINK("https://klasma.github.io/Logging_2080/klagomålsmail/A 44725-2023 FSC-klagomål mail.docx", "A 44725-2023")</f>
        <v/>
      </c>
      <c r="X75">
        <f>HYPERLINK("https://klasma.github.io/Logging_2080/tillsyn/A 44725-2023 tillsynsbegäran.docx", "A 44725-2023")</f>
        <v/>
      </c>
      <c r="Y75">
        <f>HYPERLINK("https://klasma.github.io/Logging_2080/tillsynsmail/A 44725-2023 tillsynsbegäran mail.docx", "A 44725-2023")</f>
        <v/>
      </c>
    </row>
    <row r="76" ht="15" customHeight="1">
      <c r="A76" t="inlineStr">
        <is>
          <t>A 45166-2023</t>
        </is>
      </c>
      <c r="B76" s="1" t="n">
        <v>45191</v>
      </c>
      <c r="C76" s="1" t="n">
        <v>45752</v>
      </c>
      <c r="D76" t="inlineStr">
        <is>
          <t>DALARNAS LÄN</t>
        </is>
      </c>
      <c r="E76" t="inlineStr">
        <is>
          <t>FALUN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45166-2023 artfynd.xlsx", "A 45166-2023")</f>
        <v/>
      </c>
      <c r="T76">
        <f>HYPERLINK("https://klasma.github.io/Logging_2080/kartor/A 45166-2023 karta.png", "A 45166-2023")</f>
        <v/>
      </c>
      <c r="V76">
        <f>HYPERLINK("https://klasma.github.io/Logging_2080/klagomål/A 45166-2023 FSC-klagomål.docx", "A 45166-2023")</f>
        <v/>
      </c>
      <c r="W76">
        <f>HYPERLINK("https://klasma.github.io/Logging_2080/klagomålsmail/A 45166-2023 FSC-klagomål mail.docx", "A 45166-2023")</f>
        <v/>
      </c>
      <c r="X76">
        <f>HYPERLINK("https://klasma.github.io/Logging_2080/tillsyn/A 45166-2023 tillsynsbegäran.docx", "A 45166-2023")</f>
        <v/>
      </c>
      <c r="Y76">
        <f>HYPERLINK("https://klasma.github.io/Logging_2080/tillsynsmail/A 45166-2023 tillsynsbegäran mail.docx", "A 45166-2023")</f>
        <v/>
      </c>
    </row>
    <row r="77" ht="15" customHeight="1">
      <c r="A77" t="inlineStr">
        <is>
          <t>A 46963-2023</t>
        </is>
      </c>
      <c r="B77" s="1" t="n">
        <v>45201</v>
      </c>
      <c r="C77" s="1" t="n">
        <v>45752</v>
      </c>
      <c r="D77" t="inlineStr">
        <is>
          <t>DALARNAS LÄN</t>
        </is>
      </c>
      <c r="E77" t="inlineStr">
        <is>
          <t>FALUN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46963-2023 artfynd.xlsx", "A 46963-2023")</f>
        <v/>
      </c>
      <c r="T77">
        <f>HYPERLINK("https://klasma.github.io/Logging_2080/kartor/A 46963-2023 karta.png", "A 46963-2023")</f>
        <v/>
      </c>
      <c r="V77">
        <f>HYPERLINK("https://klasma.github.io/Logging_2080/klagomål/A 46963-2023 FSC-klagomål.docx", "A 46963-2023")</f>
        <v/>
      </c>
      <c r="W77">
        <f>HYPERLINK("https://klasma.github.io/Logging_2080/klagomålsmail/A 46963-2023 FSC-klagomål mail.docx", "A 46963-2023")</f>
        <v/>
      </c>
      <c r="X77">
        <f>HYPERLINK("https://klasma.github.io/Logging_2080/tillsyn/A 46963-2023 tillsynsbegäran.docx", "A 46963-2023")</f>
        <v/>
      </c>
      <c r="Y77">
        <f>HYPERLINK("https://klasma.github.io/Logging_2080/tillsynsmail/A 46963-2023 tillsynsbegäran mail.docx", "A 46963-2023")</f>
        <v/>
      </c>
      <c r="Z77">
        <f>HYPERLINK("https://klasma.github.io/Logging_2080/fåglar/A 46963-2023 prioriterade fågelarter.docx", "A 46963-2023")</f>
        <v/>
      </c>
    </row>
    <row r="78" ht="15" customHeight="1">
      <c r="A78" t="inlineStr">
        <is>
          <t>A 48693-2023</t>
        </is>
      </c>
      <c r="B78" s="1" t="n">
        <v>45208</v>
      </c>
      <c r="C78" s="1" t="n">
        <v>45752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HYPERLINK("https://klasma.github.io/Logging_2080/artfynd/A 48693-2023 artfynd.xlsx", "A 48693-2023")</f>
        <v/>
      </c>
      <c r="T78">
        <f>HYPERLINK("https://klasma.github.io/Logging_2080/kartor/A 48693-2023 karta.png", "A 48693-2023")</f>
        <v/>
      </c>
      <c r="V78">
        <f>HYPERLINK("https://klasma.github.io/Logging_2080/klagomål/A 48693-2023 FSC-klagomål.docx", "A 48693-2023")</f>
        <v/>
      </c>
      <c r="W78">
        <f>HYPERLINK("https://klasma.github.io/Logging_2080/klagomålsmail/A 48693-2023 FSC-klagomål mail.docx", "A 48693-2023")</f>
        <v/>
      </c>
      <c r="X78">
        <f>HYPERLINK("https://klasma.github.io/Logging_2080/tillsyn/A 48693-2023 tillsynsbegäran.docx", "A 48693-2023")</f>
        <v/>
      </c>
      <c r="Y78">
        <f>HYPERLINK("https://klasma.github.io/Logging_2080/tillsynsmail/A 48693-2023 tillsynsbegäran mail.docx", "A 48693-2023")</f>
        <v/>
      </c>
    </row>
    <row r="79" ht="15" customHeight="1">
      <c r="A79" t="inlineStr">
        <is>
          <t>A 56429-2023</t>
        </is>
      </c>
      <c r="B79" s="1" t="n">
        <v>45243</v>
      </c>
      <c r="C79" s="1" t="n">
        <v>45752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HYPERLINK("https://klasma.github.io/Logging_2080/artfynd/A 56429-2023 artfynd.xlsx", "A 56429-2023")</f>
        <v/>
      </c>
      <c r="T79">
        <f>HYPERLINK("https://klasma.github.io/Logging_2080/kartor/A 56429-2023 karta.png", "A 56429-2023")</f>
        <v/>
      </c>
      <c r="V79">
        <f>HYPERLINK("https://klasma.github.io/Logging_2080/klagomål/A 56429-2023 FSC-klagomål.docx", "A 56429-2023")</f>
        <v/>
      </c>
      <c r="W79">
        <f>HYPERLINK("https://klasma.github.io/Logging_2080/klagomålsmail/A 56429-2023 FSC-klagomål mail.docx", "A 56429-2023")</f>
        <v/>
      </c>
      <c r="X79">
        <f>HYPERLINK("https://klasma.github.io/Logging_2080/tillsyn/A 56429-2023 tillsynsbegäran.docx", "A 56429-2023")</f>
        <v/>
      </c>
      <c r="Y79">
        <f>HYPERLINK("https://klasma.github.io/Logging_2080/tillsynsmail/A 56429-2023 tillsynsbegäran mail.docx", "A 56429-2023")</f>
        <v/>
      </c>
    </row>
    <row r="80" ht="15" customHeight="1">
      <c r="A80" t="inlineStr">
        <is>
          <t>A 56423-2023</t>
        </is>
      </c>
      <c r="B80" s="1" t="n">
        <v>45243</v>
      </c>
      <c r="C80" s="1" t="n">
        <v>45752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HYPERLINK("https://klasma.github.io/Logging_2080/artfynd/A 56423-2023 artfynd.xlsx", "A 56423-2023")</f>
        <v/>
      </c>
      <c r="T80">
        <f>HYPERLINK("https://klasma.github.io/Logging_2080/kartor/A 56423-2023 karta.png", "A 56423-2023")</f>
        <v/>
      </c>
      <c r="V80">
        <f>HYPERLINK("https://klasma.github.io/Logging_2080/klagomål/A 56423-2023 FSC-klagomål.docx", "A 56423-2023")</f>
        <v/>
      </c>
      <c r="W80">
        <f>HYPERLINK("https://klasma.github.io/Logging_2080/klagomålsmail/A 56423-2023 FSC-klagomål mail.docx", "A 56423-2023")</f>
        <v/>
      </c>
      <c r="X80">
        <f>HYPERLINK("https://klasma.github.io/Logging_2080/tillsyn/A 56423-2023 tillsynsbegäran.docx", "A 56423-2023")</f>
        <v/>
      </c>
      <c r="Y80">
        <f>HYPERLINK("https://klasma.github.io/Logging_2080/tillsynsmail/A 56423-2023 tillsynsbegäran mail.docx", "A 56423-2023")</f>
        <v/>
      </c>
    </row>
    <row r="81" ht="15" customHeight="1">
      <c r="A81" t="inlineStr">
        <is>
          <t>A 59447-2023</t>
        </is>
      </c>
      <c r="B81" s="1" t="n">
        <v>45254</v>
      </c>
      <c r="C81" s="1" t="n">
        <v>45752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50.5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59447-2023 artfynd.xlsx", "A 59447-2023")</f>
        <v/>
      </c>
      <c r="T81">
        <f>HYPERLINK("https://klasma.github.io/Logging_2080/kartor/A 59447-2023 karta.png", "A 59447-2023")</f>
        <v/>
      </c>
      <c r="V81">
        <f>HYPERLINK("https://klasma.github.io/Logging_2080/klagomål/A 59447-2023 FSC-klagomål.docx", "A 59447-2023")</f>
        <v/>
      </c>
      <c r="W81">
        <f>HYPERLINK("https://klasma.github.io/Logging_2080/klagomålsmail/A 59447-2023 FSC-klagomål mail.docx", "A 59447-2023")</f>
        <v/>
      </c>
      <c r="X81">
        <f>HYPERLINK("https://klasma.github.io/Logging_2080/tillsyn/A 59447-2023 tillsynsbegäran.docx", "A 59447-2023")</f>
        <v/>
      </c>
      <c r="Y81">
        <f>HYPERLINK("https://klasma.github.io/Logging_2080/tillsynsmail/A 59447-2023 tillsynsbegäran mail.docx", "A 59447-2023")</f>
        <v/>
      </c>
      <c r="Z81">
        <f>HYPERLINK("https://klasma.github.io/Logging_2080/fåglar/A 59447-2023 prioriterade fågelarter.docx", "A 59447-2023")</f>
        <v/>
      </c>
    </row>
    <row r="82" ht="15" customHeight="1">
      <c r="A82" t="inlineStr">
        <is>
          <t>A 14094-2024</t>
        </is>
      </c>
      <c r="B82" s="1" t="n">
        <v>45392</v>
      </c>
      <c r="C82" s="1" t="n">
        <v>45752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14094-2024 artfynd.xlsx", "A 14094-2024")</f>
        <v/>
      </c>
      <c r="T82">
        <f>HYPERLINK("https://klasma.github.io/Logging_2080/kartor/A 14094-2024 karta.png", "A 14094-2024")</f>
        <v/>
      </c>
      <c r="U82">
        <f>HYPERLINK("https://klasma.github.io/Logging_2080/knärot/A 14094-2024 karta knärot.png", "A 14094-2024")</f>
        <v/>
      </c>
      <c r="V82">
        <f>HYPERLINK("https://klasma.github.io/Logging_2080/klagomål/A 14094-2024 FSC-klagomål.docx", "A 14094-2024")</f>
        <v/>
      </c>
      <c r="W82">
        <f>HYPERLINK("https://klasma.github.io/Logging_2080/klagomålsmail/A 14094-2024 FSC-klagomål mail.docx", "A 14094-2024")</f>
        <v/>
      </c>
      <c r="X82">
        <f>HYPERLINK("https://klasma.github.io/Logging_2080/tillsyn/A 14094-2024 tillsynsbegäran.docx", "A 14094-2024")</f>
        <v/>
      </c>
      <c r="Y82">
        <f>HYPERLINK("https://klasma.github.io/Logging_2080/tillsynsmail/A 14094-2024 tillsynsbegäran mail.docx", "A 14094-2024")</f>
        <v/>
      </c>
    </row>
    <row r="83" ht="15" customHeight="1">
      <c r="A83" t="inlineStr">
        <is>
          <t>A 14887-2024</t>
        </is>
      </c>
      <c r="B83" s="1" t="n">
        <v>45398</v>
      </c>
      <c r="C83" s="1" t="n">
        <v>45752</v>
      </c>
      <c r="D83" t="inlineStr">
        <is>
          <t>DALARNAS LÄN</t>
        </is>
      </c>
      <c r="E83" t="inlineStr">
        <is>
          <t>FALUN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Varglav</t>
        </is>
      </c>
      <c r="S83">
        <f>HYPERLINK("https://klasma.github.io/Logging_2080/artfynd/A 14887-2024 artfynd.xlsx", "A 14887-2024")</f>
        <v/>
      </c>
      <c r="T83">
        <f>HYPERLINK("https://klasma.github.io/Logging_2080/kartor/A 14887-2024 karta.png", "A 14887-2024")</f>
        <v/>
      </c>
      <c r="V83">
        <f>HYPERLINK("https://klasma.github.io/Logging_2080/klagomål/A 14887-2024 FSC-klagomål.docx", "A 14887-2024")</f>
        <v/>
      </c>
      <c r="W83">
        <f>HYPERLINK("https://klasma.github.io/Logging_2080/klagomålsmail/A 14887-2024 FSC-klagomål mail.docx", "A 14887-2024")</f>
        <v/>
      </c>
      <c r="X83">
        <f>HYPERLINK("https://klasma.github.io/Logging_2080/tillsyn/A 14887-2024 tillsynsbegäran.docx", "A 14887-2024")</f>
        <v/>
      </c>
      <c r="Y83">
        <f>HYPERLINK("https://klasma.github.io/Logging_2080/tillsynsmail/A 14887-2024 tillsynsbegäran mail.docx", "A 14887-2024")</f>
        <v/>
      </c>
    </row>
    <row r="84" ht="15" customHeight="1">
      <c r="A84" t="inlineStr">
        <is>
          <t>A 20186-2024</t>
        </is>
      </c>
      <c r="B84" s="1" t="n">
        <v>45434</v>
      </c>
      <c r="C84" s="1" t="n">
        <v>45752</v>
      </c>
      <c r="D84" t="inlineStr">
        <is>
          <t>DALARNAS LÄN</t>
        </is>
      </c>
      <c r="E84" t="inlineStr">
        <is>
          <t>FALUN</t>
        </is>
      </c>
      <c r="G84" t="n">
        <v>0.9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20186-2024 artfynd.xlsx", "A 20186-2024")</f>
        <v/>
      </c>
      <c r="T84">
        <f>HYPERLINK("https://klasma.github.io/Logging_2080/kartor/A 20186-2024 karta.png", "A 20186-2024")</f>
        <v/>
      </c>
      <c r="U84">
        <f>HYPERLINK("https://klasma.github.io/Logging_2080/knärot/A 20186-2024 karta knärot.png", "A 20186-2024")</f>
        <v/>
      </c>
      <c r="V84">
        <f>HYPERLINK("https://klasma.github.io/Logging_2080/klagomål/A 20186-2024 FSC-klagomål.docx", "A 20186-2024")</f>
        <v/>
      </c>
      <c r="W84">
        <f>HYPERLINK("https://klasma.github.io/Logging_2080/klagomålsmail/A 20186-2024 FSC-klagomål mail.docx", "A 20186-2024")</f>
        <v/>
      </c>
      <c r="X84">
        <f>HYPERLINK("https://klasma.github.io/Logging_2080/tillsyn/A 20186-2024 tillsynsbegäran.docx", "A 20186-2024")</f>
        <v/>
      </c>
      <c r="Y84">
        <f>HYPERLINK("https://klasma.github.io/Logging_2080/tillsynsmail/A 20186-2024 tillsynsbegäran mail.docx", "A 20186-2024")</f>
        <v/>
      </c>
    </row>
    <row r="85" ht="15" customHeight="1">
      <c r="A85" t="inlineStr">
        <is>
          <t>A 35813-2024</t>
        </is>
      </c>
      <c r="B85" s="1" t="n">
        <v>45532</v>
      </c>
      <c r="C85" s="1" t="n">
        <v>45752</v>
      </c>
      <c r="D85" t="inlineStr">
        <is>
          <t>DALARNAS LÄN</t>
        </is>
      </c>
      <c r="E85" t="inlineStr">
        <is>
          <t>FALUN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HYPERLINK("https://klasma.github.io/Logging_2080/artfynd/A 35813-2024 artfynd.xlsx", "A 35813-2024")</f>
        <v/>
      </c>
      <c r="T85">
        <f>HYPERLINK("https://klasma.github.io/Logging_2080/kartor/A 35813-2024 karta.png", "A 35813-2024")</f>
        <v/>
      </c>
      <c r="V85">
        <f>HYPERLINK("https://klasma.github.io/Logging_2080/klagomål/A 35813-2024 FSC-klagomål.docx", "A 35813-2024")</f>
        <v/>
      </c>
      <c r="W85">
        <f>HYPERLINK("https://klasma.github.io/Logging_2080/klagomålsmail/A 35813-2024 FSC-klagomål mail.docx", "A 35813-2024")</f>
        <v/>
      </c>
      <c r="X85">
        <f>HYPERLINK("https://klasma.github.io/Logging_2080/tillsyn/A 35813-2024 tillsynsbegäran.docx", "A 35813-2024")</f>
        <v/>
      </c>
      <c r="Y85">
        <f>HYPERLINK("https://klasma.github.io/Logging_2080/tillsynsmail/A 35813-2024 tillsynsbegäran mail.docx", "A 35813-2024")</f>
        <v/>
      </c>
      <c r="Z85">
        <f>HYPERLINK("https://klasma.github.io/Logging_2080/fåglar/A 35813-2024 prioriterade fågelarter.docx", "A 35813-2024")</f>
        <v/>
      </c>
    </row>
    <row r="86" ht="15" customHeight="1">
      <c r="A86" t="inlineStr">
        <is>
          <t>A 50960-2024</t>
        </is>
      </c>
      <c r="B86" s="1" t="n">
        <v>45603</v>
      </c>
      <c r="C86" s="1" t="n">
        <v>45752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50960-2024 artfynd.xlsx", "A 50960-2024")</f>
        <v/>
      </c>
      <c r="T86">
        <f>HYPERLINK("https://klasma.github.io/Logging_2080/kartor/A 50960-2024 karta.png", "A 50960-2024")</f>
        <v/>
      </c>
      <c r="V86">
        <f>HYPERLINK("https://klasma.github.io/Logging_2080/klagomål/A 50960-2024 FSC-klagomål.docx", "A 50960-2024")</f>
        <v/>
      </c>
      <c r="W86">
        <f>HYPERLINK("https://klasma.github.io/Logging_2080/klagomålsmail/A 50960-2024 FSC-klagomål mail.docx", "A 50960-2024")</f>
        <v/>
      </c>
      <c r="X86">
        <f>HYPERLINK("https://klasma.github.io/Logging_2080/tillsyn/A 50960-2024 tillsynsbegäran.docx", "A 50960-2024")</f>
        <v/>
      </c>
      <c r="Y86">
        <f>HYPERLINK("https://klasma.github.io/Logging_2080/tillsynsmail/A 50960-2024 tillsynsbegäran mail.docx", "A 50960-2024")</f>
        <v/>
      </c>
      <c r="Z86">
        <f>HYPERLINK("https://klasma.github.io/Logging_2080/fåglar/A 50960-2024 prioriterade fågelarter.docx", "A 50960-2024")</f>
        <v/>
      </c>
    </row>
    <row r="87" ht="15" customHeight="1">
      <c r="A87" t="inlineStr">
        <is>
          <t>A 54330-2024</t>
        </is>
      </c>
      <c r="B87" s="1" t="n">
        <v>45617</v>
      </c>
      <c r="C87" s="1" t="n">
        <v>45752</v>
      </c>
      <c r="D87" t="inlineStr">
        <is>
          <t>DALARNAS LÄN</t>
        </is>
      </c>
      <c r="E87" t="inlineStr">
        <is>
          <t>FALUN</t>
        </is>
      </c>
      <c r="G87" t="n">
        <v>4.3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54330-2024 artfynd.xlsx", "A 54330-2024")</f>
        <v/>
      </c>
      <c r="T87">
        <f>HYPERLINK("https://klasma.github.io/Logging_2080/kartor/A 54330-2024 karta.png", "A 54330-2024")</f>
        <v/>
      </c>
      <c r="U87">
        <f>HYPERLINK("https://klasma.github.io/Logging_2080/knärot/A 54330-2024 karta knärot.png", "A 54330-2024")</f>
        <v/>
      </c>
      <c r="V87">
        <f>HYPERLINK("https://klasma.github.io/Logging_2080/klagomål/A 54330-2024 FSC-klagomål.docx", "A 54330-2024")</f>
        <v/>
      </c>
      <c r="W87">
        <f>HYPERLINK("https://klasma.github.io/Logging_2080/klagomålsmail/A 54330-2024 FSC-klagomål mail.docx", "A 54330-2024")</f>
        <v/>
      </c>
      <c r="X87">
        <f>HYPERLINK("https://klasma.github.io/Logging_2080/tillsyn/A 54330-2024 tillsynsbegäran.docx", "A 54330-2024")</f>
        <v/>
      </c>
      <c r="Y87">
        <f>HYPERLINK("https://klasma.github.io/Logging_2080/tillsynsmail/A 54330-2024 tillsynsbegäran mail.docx", "A 54330-2024")</f>
        <v/>
      </c>
    </row>
    <row r="88" ht="15" customHeight="1">
      <c r="A88" t="inlineStr">
        <is>
          <t>A 56138-2024</t>
        </is>
      </c>
      <c r="B88" s="1" t="n">
        <v>45624</v>
      </c>
      <c r="C88" s="1" t="n">
        <v>45752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Citronporing</t>
        </is>
      </c>
      <c r="S88">
        <f>HYPERLINK("https://klasma.github.io/Logging_2080/artfynd/A 56138-2024 artfynd.xlsx", "A 56138-2024")</f>
        <v/>
      </c>
      <c r="T88">
        <f>HYPERLINK("https://klasma.github.io/Logging_2080/kartor/A 56138-2024 karta.png", "A 56138-2024")</f>
        <v/>
      </c>
      <c r="V88">
        <f>HYPERLINK("https://klasma.github.io/Logging_2080/klagomål/A 56138-2024 FSC-klagomål.docx", "A 56138-2024")</f>
        <v/>
      </c>
      <c r="W88">
        <f>HYPERLINK("https://klasma.github.io/Logging_2080/klagomålsmail/A 56138-2024 FSC-klagomål mail.docx", "A 56138-2024")</f>
        <v/>
      </c>
      <c r="X88">
        <f>HYPERLINK("https://klasma.github.io/Logging_2080/tillsyn/A 56138-2024 tillsynsbegäran.docx", "A 56138-2024")</f>
        <v/>
      </c>
      <c r="Y88">
        <f>HYPERLINK("https://klasma.github.io/Logging_2080/tillsynsmail/A 56138-2024 tillsynsbegäran mail.docx", "A 56138-2024")</f>
        <v/>
      </c>
    </row>
    <row r="89" ht="15" customHeight="1">
      <c r="A89" t="inlineStr">
        <is>
          <t>A 61661-2024</t>
        </is>
      </c>
      <c r="B89" s="1" t="n">
        <v>45646</v>
      </c>
      <c r="C89" s="1" t="n">
        <v>45752</v>
      </c>
      <c r="D89" t="inlineStr">
        <is>
          <t>DALARNAS LÄN</t>
        </is>
      </c>
      <c r="E89" t="inlineStr">
        <is>
          <t>FALUN</t>
        </is>
      </c>
      <c r="G89" t="n">
        <v>9.300000000000001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HYPERLINK("https://klasma.github.io/Logging_2080/artfynd/A 61661-2024 artfynd.xlsx", "A 61661-2024")</f>
        <v/>
      </c>
      <c r="T89">
        <f>HYPERLINK("https://klasma.github.io/Logging_2080/kartor/A 61661-2024 karta.png", "A 61661-2024")</f>
        <v/>
      </c>
      <c r="V89">
        <f>HYPERLINK("https://klasma.github.io/Logging_2080/klagomål/A 61661-2024 FSC-klagomål.docx", "A 61661-2024")</f>
        <v/>
      </c>
      <c r="W89">
        <f>HYPERLINK("https://klasma.github.io/Logging_2080/klagomålsmail/A 61661-2024 FSC-klagomål mail.docx", "A 61661-2024")</f>
        <v/>
      </c>
      <c r="X89">
        <f>HYPERLINK("https://klasma.github.io/Logging_2080/tillsyn/A 61661-2024 tillsynsbegäran.docx", "A 61661-2024")</f>
        <v/>
      </c>
      <c r="Y89">
        <f>HYPERLINK("https://klasma.github.io/Logging_2080/tillsynsmail/A 61661-2024 tillsynsbegäran mail.docx", "A 61661-2024")</f>
        <v/>
      </c>
    </row>
    <row r="90" ht="15" customHeight="1">
      <c r="A90" t="inlineStr">
        <is>
          <t>A 13589-2025</t>
        </is>
      </c>
      <c r="B90" s="1" t="n">
        <v>45736</v>
      </c>
      <c r="C90" s="1" t="n">
        <v>45752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HYPERLINK("https://klasma.github.io/Logging_202080/artfynd/A 13589-2025 artfynd.xlsx", "A 13589-2025")</f>
        <v/>
      </c>
      <c r="T90">
        <f>HYPERLINK("https://klasma.github.io/Logging_202080/kartor/A 13589-2025 karta.png", "A 13589-2025")</f>
        <v/>
      </c>
      <c r="U90">
        <f>HYPERLINK("https://klasma.github.io/Logging_202080/knärot/A 13589-2025 karta knärot.png", "A 13589-2025")</f>
        <v/>
      </c>
      <c r="V90">
        <f>HYPERLINK("https://klasma.github.io/Logging_202080/klagomål/A 13589-2025 FSC-klagomål.docx", "A 13589-2025")</f>
        <v/>
      </c>
      <c r="W90">
        <f>HYPERLINK("https://klasma.github.io/Logging_202080/klagomålsmail/A 13589-2025 FSC-klagomål mail.docx", "A 13589-2025")</f>
        <v/>
      </c>
      <c r="X90">
        <f>HYPERLINK("https://klasma.github.io/Logging_202080/tillsyn/A 13589-2025 tillsynsbegäran.docx", "A 13589-2025")</f>
        <v/>
      </c>
      <c r="Y90">
        <f>HYPERLINK("https://klasma.github.io/Logging_202080/tillsynsmail/A 13589-2025 tillsynsbegäran mail.docx", "A 13589-2025")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45752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45752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45752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45752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45752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45752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45752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45752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45752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45752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45752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45752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45752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45752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45752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45752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45752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45752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45752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45752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45752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45752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45752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45752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45752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45752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45752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45752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45752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45752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45752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45752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45752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45752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45752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45752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45752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45752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45752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45752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45752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45752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45752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45752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45752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45752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45752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45752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45752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45752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45752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45752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45752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45752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45752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45752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45752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45752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45752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45752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45752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45752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45752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45752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45752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45752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45752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45752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45752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45752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45752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45752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45752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45752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45752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45752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45752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45752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45752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45752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45752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45752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45752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45752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45752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45752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45752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45752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45752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45752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45752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45752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45752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45752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45752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45752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45752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45752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45752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45752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45752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45752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45752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45752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45752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45752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45752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45752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45752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45752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45752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45752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45752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45752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45752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45752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45752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45752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45752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45752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45752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45752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45752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45752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45752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45752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45752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45752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45752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45752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45752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45752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45752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45752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45752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45752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45752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45752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45752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45752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45752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45752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45752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45752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45752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45752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45752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45752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45752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45752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45752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45752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45752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45752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45752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45752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45752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45752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45752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45752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45752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45752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45752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45752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45752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45752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45752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45752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45752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45752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45752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45752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45752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45752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45752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45752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45752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45752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45752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45752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45752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45752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45752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45752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45752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45752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45752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45752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45752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45752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45752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45752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45752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45752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45752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45752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45752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45752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45752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45752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45752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45752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45752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45752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45752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45752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45752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45752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45752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45752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45752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45752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45752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45752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45752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45752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45752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45752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45752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45752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45752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45752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45752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45752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45752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45752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45752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45752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45752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45752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45752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45752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45752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45752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45752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45752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45752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45752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45752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45752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45752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45752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45752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45752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45752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45752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45752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45752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45752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45752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45752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45752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45752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45752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45752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45752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45752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45752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45752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45752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45752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45752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45752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45752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45752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45752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45752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45752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45752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45752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45752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45752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45752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45752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45752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45752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45752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45752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45752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45752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45752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45752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45752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45752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45752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45752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45752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45752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45752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45752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45752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45752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45752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45752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45752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45752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45752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45752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45752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45752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45752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45752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45752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45752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45752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45752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45752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45752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45752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45752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45752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45752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45752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45752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45752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45752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45752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45752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45752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45752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45752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45752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45752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45752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45752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45752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45752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45752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45752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45752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45752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45752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45752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45752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45752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45752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45752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45752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45752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45752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45752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45752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45752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45752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45752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45752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45752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45752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45752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45752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45752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45752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45752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45752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45752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45752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45752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45752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45752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45752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45752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45752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45752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45752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45752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45752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45752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45752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45752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45752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45752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45752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45752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45752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45752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45752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45752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45752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45752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45752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45752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45752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45752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45752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45752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45752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45752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45752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45752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45752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45752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45752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45752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45752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45752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45752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45752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45752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45752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45752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45752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45752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45752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45752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45752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45752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45752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45752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45752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45752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45752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45752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45752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45752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45752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45752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45752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45752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45752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45752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45752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45752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45752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45752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45752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45752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45752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45752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45752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45752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45752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45752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45752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45752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45752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45752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45752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45752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45752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45752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45752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45752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45752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45752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45752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45752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45752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45752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45752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45752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45752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45752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45752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45752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45752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45752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45752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45752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45752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45752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45752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45752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45752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45752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45752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45752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45752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45752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45752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45752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45752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45752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45752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45752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45752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45752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45752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45752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45752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45752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45752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45752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45752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45752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45752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45752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45752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45752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45752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45752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45752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45752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45752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45752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45752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45752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45752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45752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45752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45752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45752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45752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45752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45752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45752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45752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45752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45752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45752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45752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45752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45752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45752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45752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45752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45752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45752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45752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45752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45752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45752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45752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45752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45752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45752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45752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45752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45752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45752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45752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45752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45752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45752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45752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45752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45752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45752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45752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45752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45752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45752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45752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45752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45752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45752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45752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45752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45752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45752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45752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45752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45752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45752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45752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45752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45752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45752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45752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45752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45752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45752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45752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45752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45752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45752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45752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45752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45752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45752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45752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45752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45752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45752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45752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45752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45752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45752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45752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45752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45752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45752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45752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45752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45752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45752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45752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45752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45752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45752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45752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45752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45752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45752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45752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45752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45752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45752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45752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45752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45752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45752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45752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45752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45752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45752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45752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45752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45752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45752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45752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45752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45752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45752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45752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45752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45752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45752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45752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45752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45752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45752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45752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45752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45752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45752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45752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45752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45752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45752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45752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45752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45752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45752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45752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45752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45752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45752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45752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45752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45752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45752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45752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45752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45752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45752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45752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45752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45752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45752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45752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45752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45752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45752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45752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45752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45752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45752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45752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45752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45752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45752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45752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45752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45752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45752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45752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45752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45752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45752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45752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45752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45752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45752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45752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45752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45752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45752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45752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45752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45752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45752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45752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45752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45752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45752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45752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45752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45752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45752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45752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45752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45752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45752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45752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45752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45752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45752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45752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45752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45752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45752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45752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45752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45752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45752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45752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45752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45752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45752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45752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45752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45752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45752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45752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45752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45752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45752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45752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45752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45752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45752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45752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45752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45752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45752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45752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45752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45752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45752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45752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45752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45752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45752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45752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45752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45752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45752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45752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45752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45752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45752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45752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45752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45752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45752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45752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45752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45752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45752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45752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45752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45752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45752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45752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45752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45752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45752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45752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45752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45752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45752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45752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45752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45752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45752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45752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45752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45752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45752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45752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45752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45752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45752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45752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45752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45752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45752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45752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45752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45752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45752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45752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45752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45752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45752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45752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45752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45752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45752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45752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45752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45752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45752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45752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45752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45752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45752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45752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45752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45752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45752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45752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45752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45752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45752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45752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45752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45752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45752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45752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45752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45752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45752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45752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45752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45752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45752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45752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45752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45752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45752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45752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45752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45752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45752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45752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45752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45752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45752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45752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45752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45752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45752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45752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45752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45752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45752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45752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45752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45752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45752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45752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45752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45752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45752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45752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45752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45752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45752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45752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45752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45752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45752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45752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45752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45752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45752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45752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45752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45752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45752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45752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45752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45752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45752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45752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45752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45752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45752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45752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45752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45752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45752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45752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45752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45752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45752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45752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45752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45752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45752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45752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45752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45752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45752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45752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45752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45752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45752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45752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45752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45752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45752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45752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45752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45752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45752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45752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45752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45752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45752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45752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45752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45752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45752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45752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45752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45752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45752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45752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45752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45752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45752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45752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45752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45752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45752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45752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45752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45752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45752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45752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45752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45752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45752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45752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45752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45752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45752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45752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45752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45752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45752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45752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45752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45752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45752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45752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45752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45752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45752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45752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45752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45752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45752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45752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45752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45752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45752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45752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45752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45752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45752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45752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45752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45752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45752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45752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45752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45752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45752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45752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45752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45752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45752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45752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45752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45752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45752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45752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45752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45752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45752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45752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45752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45752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45752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45752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45752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45752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45752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45752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45752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45752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45752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45752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45752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45752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45752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45752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45752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45752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45752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45752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45752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45752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45752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45752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45752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45752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45752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45752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45752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45752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45752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45752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45752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45752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45752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45752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45752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45752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45752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45752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45752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45752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45752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45752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45752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45752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45752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45752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45752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45752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45752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45752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45752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45752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45752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45752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45752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45752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45752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45752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45752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45752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45752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45752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45752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45752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45752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45752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45752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45752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45752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45752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45752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45752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45752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45752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45752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45752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45752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45752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45752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45752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45752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45752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45752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45752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45752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45752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45752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45752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45752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45752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45752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45752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45752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45752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45752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45752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45752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45752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45752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45752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45752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45752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45752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45752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45752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45752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45752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45752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45752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45752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45752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45752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45752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45752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45752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45752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45752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45752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45752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45752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45752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45752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45752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45752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45752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45752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45752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45752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45752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45752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45752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45752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45752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45752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45752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45752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45752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45752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45752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45752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45752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45752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45752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45752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45752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45752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45752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45752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45752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45752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45752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45752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45752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45752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45752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45752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45752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45752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45752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45752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45752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45752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45752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45752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45752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45752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45752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45752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45752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45752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45752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45752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45752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45752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45752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45752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45752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45752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45752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45752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45752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45752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45752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45752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45752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45752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45752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45752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45752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45752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45752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45752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45752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45752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45752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45752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45752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45752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45752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45752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45752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45752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45752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45752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45752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45752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45752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45752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45752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45752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45752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45752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45752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45752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45752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45752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45752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45752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45752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45752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45752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45752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45752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45752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45752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45752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45752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45752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45752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45752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45752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45752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45752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45752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45752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45752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45752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45752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45752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45752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45752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45752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45752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45752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45752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45752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45752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45752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45752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45752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45752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45752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45752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45752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45752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45752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45752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45752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45752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45752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45752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45752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45752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45752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45752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45752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45752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45752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45752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45752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45752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45752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45752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45752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45752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45752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45752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45752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45752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45752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45752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45752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45752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45752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45752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45752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45752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45752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45752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45752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45752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45752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45752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45752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45752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45752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45752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45752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45752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45752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45752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45752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45752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45752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45752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45752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45752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45752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45752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45752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45752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45752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45752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45752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45752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45752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45752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45752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45752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45752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45752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45752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45752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45752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45752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45752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45752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45752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45752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45752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45752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45752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45752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45752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45752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45752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45752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45752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45752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45752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45752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45752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45752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45752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45752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45752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45752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45752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45752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45752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45752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45752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45752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45752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45752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45752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45752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45752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45752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45752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45752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45752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45752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45752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45752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45752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45752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45752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45752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45752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45752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45752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45752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45752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45752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45752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45752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45752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45752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45752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45752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45752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45752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45752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45752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45752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45752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45752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45752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45752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45752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45752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45752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45752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45752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45752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45752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45752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45752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45752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45752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45752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45752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45752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45752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45752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45752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45752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45752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45752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45752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45752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45752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45752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45752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45752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45752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45752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45752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45752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45752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45752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45752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45752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45752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45752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45752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45752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45752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45752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45752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45752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45752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45752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45752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45752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45752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45752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45752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45752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45752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45752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45752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45752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45752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45752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45752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45752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45752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45752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45752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45752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45752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45752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45752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45752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45752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45752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45752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45752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45752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45752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45752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45752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45752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45752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45752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45752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45752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45752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45752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45752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45752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45752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45752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45752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45752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45752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45752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45752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45752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45752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45752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45752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45752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45752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14383-2025</t>
        </is>
      </c>
      <c r="B1553" s="1" t="n">
        <v>45741</v>
      </c>
      <c r="C1553" s="1" t="n">
        <v>45752</v>
      </c>
      <c r="D1553" t="inlineStr">
        <is>
          <t>DALARNAS LÄN</t>
        </is>
      </c>
      <c r="E1553" t="inlineStr">
        <is>
          <t>FALUN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14387-2025</t>
        </is>
      </c>
      <c r="B1554" s="1" t="n">
        <v>45741</v>
      </c>
      <c r="C1554" s="1" t="n">
        <v>45752</v>
      </c>
      <c r="D1554" t="inlineStr">
        <is>
          <t>DALARNAS LÄN</t>
        </is>
      </c>
      <c r="E1554" t="inlineStr">
        <is>
          <t>FALUN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14540-2025</t>
        </is>
      </c>
      <c r="B1555" s="1" t="n">
        <v>45741</v>
      </c>
      <c r="C1555" s="1" t="n">
        <v>45752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45752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14501-2025</t>
        </is>
      </c>
      <c r="B1557" s="1" t="n">
        <v>45741</v>
      </c>
      <c r="C1557" s="1" t="n">
        <v>45752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7.6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14552-2025</t>
        </is>
      </c>
      <c r="B1558" s="1" t="n">
        <v>45741</v>
      </c>
      <c r="C1558" s="1" t="n">
        <v>45752</v>
      </c>
      <c r="D1558" t="inlineStr">
        <is>
          <t>DALARNAS LÄN</t>
        </is>
      </c>
      <c r="E1558" t="inlineStr">
        <is>
          <t>FALUN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14465-2025</t>
        </is>
      </c>
      <c r="B1559" s="1" t="n">
        <v>45741</v>
      </c>
      <c r="C1559" s="1" t="n">
        <v>45752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14553-2025</t>
        </is>
      </c>
      <c r="B1560" s="1" t="n">
        <v>45741</v>
      </c>
      <c r="C1560" s="1" t="n">
        <v>45752</v>
      </c>
      <c r="D1560" t="inlineStr">
        <is>
          <t>DALARNAS LÄN</t>
        </is>
      </c>
      <c r="E1560" t="inlineStr">
        <is>
          <t>FALUN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45752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45752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45752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15119-2025</t>
        </is>
      </c>
      <c r="B1564" s="1" t="n">
        <v>45744</v>
      </c>
      <c r="C1564" s="1" t="n">
        <v>45752</v>
      </c>
      <c r="D1564" t="inlineStr">
        <is>
          <t>DALARNAS LÄN</t>
        </is>
      </c>
      <c r="E1564" t="inlineStr">
        <is>
          <t>FALUN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15121-2025</t>
        </is>
      </c>
      <c r="B1565" s="1" t="n">
        <v>45744</v>
      </c>
      <c r="C1565" s="1" t="n">
        <v>45752</v>
      </c>
      <c r="D1565" t="inlineStr">
        <is>
          <t>DALARNAS LÄN</t>
        </is>
      </c>
      <c r="E1565" t="inlineStr">
        <is>
          <t>FALUN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15224-2025</t>
        </is>
      </c>
      <c r="B1566" s="1" t="n">
        <v>45744</v>
      </c>
      <c r="C1566" s="1" t="n">
        <v>45752</v>
      </c>
      <c r="D1566" t="inlineStr">
        <is>
          <t>DALARNAS LÄN</t>
        </is>
      </c>
      <c r="E1566" t="inlineStr">
        <is>
          <t>FALUN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15251-2025</t>
        </is>
      </c>
      <c r="B1567" s="1" t="n">
        <v>45744</v>
      </c>
      <c r="C1567" s="1" t="n">
        <v>45752</v>
      </c>
      <c r="D1567" t="inlineStr">
        <is>
          <t>DALARNAS LÄN</t>
        </is>
      </c>
      <c r="E1567" t="inlineStr">
        <is>
          <t>FALUN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15104-2025</t>
        </is>
      </c>
      <c r="B1568" s="1" t="n">
        <v>45744</v>
      </c>
      <c r="C1568" s="1" t="n">
        <v>45752</v>
      </c>
      <c r="D1568" t="inlineStr">
        <is>
          <t>DALARNAS LÄN</t>
        </is>
      </c>
      <c r="E1568" t="inlineStr">
        <is>
          <t>FALUN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45752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15207-2025</t>
        </is>
      </c>
      <c r="B1570" s="1" t="n">
        <v>45744</v>
      </c>
      <c r="C1570" s="1" t="n">
        <v>45752</v>
      </c>
      <c r="D1570" t="inlineStr">
        <is>
          <t>DALARNAS LÄN</t>
        </is>
      </c>
      <c r="E1570" t="inlineStr">
        <is>
          <t>FALUN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15085-2025</t>
        </is>
      </c>
      <c r="B1571" s="1" t="n">
        <v>45744</v>
      </c>
      <c r="C1571" s="1" t="n">
        <v>45752</v>
      </c>
      <c r="D1571" t="inlineStr">
        <is>
          <t>DALARNAS LÄN</t>
        </is>
      </c>
      <c r="E1571" t="inlineStr">
        <is>
          <t>FALUN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45752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45752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45752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45752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45752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45752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45752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45752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45752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45752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16540-2025</t>
        </is>
      </c>
      <c r="B1582" s="1" t="n">
        <v>45751</v>
      </c>
      <c r="C1582" s="1" t="n">
        <v>45752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2025-04-05T16:41:53Z</dcterms:created>
  <dcterms:modified xmlns:dcterms="http://purl.org/dc/terms/" xmlns:xsi="http://www.w3.org/2001/XMLSchema-instance" xsi:type="dcterms:W3CDTF">2025-04-05T16:41:54Z</dcterms:modified>
</cp:coreProperties>
</file>