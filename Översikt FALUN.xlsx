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45749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45749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45749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45749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45749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13367-2025</t>
        </is>
      </c>
      <c r="B19" s="1" t="n">
        <v>45735</v>
      </c>
      <c r="C19" s="1" t="n">
        <v>45749</v>
      </c>
      <c r="D19" t="inlineStr">
        <is>
          <t>DALARNAS LÄN</t>
        </is>
      </c>
      <c r="E19" t="inlineStr">
        <is>
          <t>FALUN</t>
        </is>
      </c>
      <c r="G19" t="n">
        <v>9.300000000000001</v>
      </c>
      <c r="H19" t="n">
        <v>5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Spillkråka
Talltita
Bronshjon
Grönsiska
Kungsfågel</t>
        </is>
      </c>
      <c r="S19">
        <f>HYPERLINK("https://klasma.github.io/Logging_202080/artfynd/A 13367-2025 artfynd.xlsx", "A 13367-2025")</f>
        <v/>
      </c>
      <c r="T19">
        <f>HYPERLINK("https://klasma.github.io/Logging_202080/kartor/A 13367-2025 karta.png", "A 13367-2025")</f>
        <v/>
      </c>
      <c r="U19">
        <f>HYPERLINK("https://klasma.github.io/Logging_202080/knärot/A 13367-2025 karta knärot.png", "A 13367-2025")</f>
        <v/>
      </c>
      <c r="V19">
        <f>HYPERLINK("https://klasma.github.io/Logging_202080/klagomål/A 13367-2025 FSC-klagomål.docx", "A 13367-2025")</f>
        <v/>
      </c>
      <c r="W19">
        <f>HYPERLINK("https://klasma.github.io/Logging_202080/klagomålsmail/A 13367-2025 FSC-klagomål mail.docx", "A 13367-2025")</f>
        <v/>
      </c>
      <c r="X19">
        <f>HYPERLINK("https://klasma.github.io/Logging_202080/tillsyn/A 13367-2025 tillsynsbegäran.docx", "A 13367-2025")</f>
        <v/>
      </c>
      <c r="Y19">
        <f>HYPERLINK("https://klasma.github.io/Logging_202080/tillsynsmail/A 13367-2025 tillsynsbegäran mail.docx", "A 13367-2025")</f>
        <v/>
      </c>
      <c r="Z19">
        <f>HYPERLINK("https://klasma.github.io/Logging_202080/fåglar/A 13367-2025 prioriterade fågelarter.docx", "A 13367-2025")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45749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45749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45749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45749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45749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45749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45749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45749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45749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45749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45749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45749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45749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45749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45749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45749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45749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45749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45749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45749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45749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40160-2020</t>
        </is>
      </c>
      <c r="B41" s="1" t="n">
        <v>44068</v>
      </c>
      <c r="C41" s="1" t="n">
        <v>45749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HYPERLINK("https://klasma.github.io/Logging_2080/artfynd/A 40160-2020 artfynd.xlsx", "A 40160-2020")</f>
        <v/>
      </c>
      <c r="T41">
        <f>HYPERLINK("https://klasma.github.io/Logging_2080/kartor/A 40160-2020 karta.png", "A 40160-2020")</f>
        <v/>
      </c>
      <c r="V41">
        <f>HYPERLINK("https://klasma.github.io/Logging_2080/klagomål/A 40160-2020 FSC-klagomål.docx", "A 40160-2020")</f>
        <v/>
      </c>
      <c r="W41">
        <f>HYPERLINK("https://klasma.github.io/Logging_2080/klagomålsmail/A 40160-2020 FSC-klagomål mail.docx", "A 40160-2020")</f>
        <v/>
      </c>
      <c r="X41">
        <f>HYPERLINK("https://klasma.github.io/Logging_2080/tillsyn/A 40160-2020 tillsynsbegäran.docx", "A 40160-2020")</f>
        <v/>
      </c>
      <c r="Y41">
        <f>HYPERLINK("https://klasma.github.io/Logging_2080/tillsynsmail/A 40160-2020 tillsynsbegäran mail.docx", "A 40160-2020")</f>
        <v/>
      </c>
    </row>
    <row r="42" ht="15" customHeight="1">
      <c r="A42" t="inlineStr">
        <is>
          <t>A 45940-2020</t>
        </is>
      </c>
      <c r="B42" s="1" t="n">
        <v>44091</v>
      </c>
      <c r="C42" s="1" t="n">
        <v>45749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3.7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Järpe</t>
        </is>
      </c>
      <c r="S42">
        <f>HYPERLINK("https://klasma.github.io/Logging_2080/artfynd/A 45940-2020 artfynd.xlsx", "A 45940-2020")</f>
        <v/>
      </c>
      <c r="T42">
        <f>HYPERLINK("https://klasma.github.io/Logging_2080/kartor/A 45940-2020 karta.png", "A 45940-2020")</f>
        <v/>
      </c>
      <c r="V42">
        <f>HYPERLINK("https://klasma.github.io/Logging_2080/klagomål/A 45940-2020 FSC-klagomål.docx", "A 45940-2020")</f>
        <v/>
      </c>
      <c r="W42">
        <f>HYPERLINK("https://klasma.github.io/Logging_2080/klagomålsmail/A 45940-2020 FSC-klagomål mail.docx", "A 45940-2020")</f>
        <v/>
      </c>
      <c r="X42">
        <f>HYPERLINK("https://klasma.github.io/Logging_2080/tillsyn/A 45940-2020 tillsynsbegäran.docx", "A 45940-2020")</f>
        <v/>
      </c>
      <c r="Y42">
        <f>HYPERLINK("https://klasma.github.io/Logging_2080/tillsynsmail/A 45940-2020 tillsynsbegäran mail.docx", "A 45940-2020")</f>
        <v/>
      </c>
      <c r="Z42">
        <f>HYPERLINK("https://klasma.github.io/Logging_2080/fåglar/A 45940-2020 prioriterade fågelarter.docx", "A 45940-2020")</f>
        <v/>
      </c>
    </row>
    <row r="43" ht="15" customHeight="1">
      <c r="A43" t="inlineStr">
        <is>
          <t>A 56050-2020</t>
        </is>
      </c>
      <c r="B43" s="1" t="n">
        <v>44133</v>
      </c>
      <c r="C43" s="1" t="n">
        <v>45749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Korallblylav</t>
        </is>
      </c>
      <c r="S43">
        <f>HYPERLINK("https://klasma.github.io/Logging_2080/artfynd/A 56050-2020 artfynd.xlsx", "A 56050-2020")</f>
        <v/>
      </c>
      <c r="T43">
        <f>HYPERLINK("https://klasma.github.io/Logging_2080/kartor/A 56050-2020 karta.png", "A 56050-2020")</f>
        <v/>
      </c>
      <c r="V43">
        <f>HYPERLINK("https://klasma.github.io/Logging_2080/klagomål/A 56050-2020 FSC-klagomål.docx", "A 56050-2020")</f>
        <v/>
      </c>
      <c r="W43">
        <f>HYPERLINK("https://klasma.github.io/Logging_2080/klagomålsmail/A 56050-2020 FSC-klagomål mail.docx", "A 56050-2020")</f>
        <v/>
      </c>
      <c r="X43">
        <f>HYPERLINK("https://klasma.github.io/Logging_2080/tillsyn/A 56050-2020 tillsynsbegäran.docx", "A 56050-2020")</f>
        <v/>
      </c>
      <c r="Y43">
        <f>HYPERLINK("https://klasma.github.io/Logging_2080/tillsynsmail/A 56050-2020 tillsynsbegäran mail.docx", "A 56050-2020")</f>
        <v/>
      </c>
    </row>
    <row r="44" ht="15" customHeight="1">
      <c r="A44" t="inlineStr">
        <is>
          <t>A 19267-2021</t>
        </is>
      </c>
      <c r="B44" s="1" t="n">
        <v>44309</v>
      </c>
      <c r="C44" s="1" t="n">
        <v>45749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Bronshjon</t>
        </is>
      </c>
      <c r="S44">
        <f>HYPERLINK("https://klasma.github.io/Logging_2080/artfynd/A 19267-2021 artfynd.xlsx", "A 19267-2021")</f>
        <v/>
      </c>
      <c r="T44">
        <f>HYPERLINK("https://klasma.github.io/Logging_2080/kartor/A 19267-2021 karta.png", "A 19267-2021")</f>
        <v/>
      </c>
      <c r="V44">
        <f>HYPERLINK("https://klasma.github.io/Logging_2080/klagomål/A 19267-2021 FSC-klagomål.docx", "A 19267-2021")</f>
        <v/>
      </c>
      <c r="W44">
        <f>HYPERLINK("https://klasma.github.io/Logging_2080/klagomålsmail/A 19267-2021 FSC-klagomål mail.docx", "A 19267-2021")</f>
        <v/>
      </c>
      <c r="X44">
        <f>HYPERLINK("https://klasma.github.io/Logging_2080/tillsyn/A 19267-2021 tillsynsbegäran.docx", "A 19267-2021")</f>
        <v/>
      </c>
      <c r="Y44">
        <f>HYPERLINK("https://klasma.github.io/Logging_2080/tillsynsmail/A 19267-2021 tillsynsbegäran mail.docx", "A 19267-2021")</f>
        <v/>
      </c>
    </row>
    <row r="45" ht="15" customHeight="1">
      <c r="A45" t="inlineStr">
        <is>
          <t>A 62396-2022</t>
        </is>
      </c>
      <c r="B45" s="1" t="n">
        <v>44923</v>
      </c>
      <c r="C45" s="1" t="n">
        <v>45749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Mindre märgborre</t>
        </is>
      </c>
      <c r="S45">
        <f>HYPERLINK("https://klasma.github.io/Logging_2080/artfynd/A 62396-2022 artfynd.xlsx", "A 62396-2022")</f>
        <v/>
      </c>
      <c r="T45">
        <f>HYPERLINK("https://klasma.github.io/Logging_2080/kartor/A 62396-2022 karta.png", "A 62396-2022")</f>
        <v/>
      </c>
      <c r="V45">
        <f>HYPERLINK("https://klasma.github.io/Logging_2080/klagomål/A 62396-2022 FSC-klagomål.docx", "A 62396-2022")</f>
        <v/>
      </c>
      <c r="W45">
        <f>HYPERLINK("https://klasma.github.io/Logging_2080/klagomålsmail/A 62396-2022 FSC-klagomål mail.docx", "A 62396-2022")</f>
        <v/>
      </c>
      <c r="X45">
        <f>HYPERLINK("https://klasma.github.io/Logging_2080/tillsyn/A 62396-2022 tillsynsbegäran.docx", "A 62396-2022")</f>
        <v/>
      </c>
      <c r="Y45">
        <f>HYPERLINK("https://klasma.github.io/Logging_2080/tillsynsmail/A 62396-2022 tillsynsbegäran mail.docx", "A 62396-2022")</f>
        <v/>
      </c>
      <c r="Z45">
        <f>HYPERLINK("https://klasma.github.io/Logging_2080/fåglar/A 62396-2022 prioriterade fågelarter.docx", "A 62396-2022")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45749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45749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17742-2023</t>
        </is>
      </c>
      <c r="B48" s="1" t="n">
        <v>45037</v>
      </c>
      <c r="C48" s="1" t="n">
        <v>45749</v>
      </c>
      <c r="D48" t="inlineStr">
        <is>
          <t>DALARNAS LÄN</t>
        </is>
      </c>
      <c r="E48" t="inlineStr">
        <is>
          <t>FALUN</t>
        </is>
      </c>
      <c r="G48" t="n">
        <v>2.4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Nästlav</t>
        </is>
      </c>
      <c r="S48">
        <f>HYPERLINK("https://klasma.github.io/Logging_2080/artfynd/A 17742-2023 artfynd.xlsx", "A 17742-2023")</f>
        <v/>
      </c>
      <c r="T48">
        <f>HYPERLINK("https://klasma.github.io/Logging_2080/kartor/A 17742-2023 karta.png", "A 17742-2023")</f>
        <v/>
      </c>
      <c r="V48">
        <f>HYPERLINK("https://klasma.github.io/Logging_2080/klagomål/A 17742-2023 FSC-klagomål.docx", "A 17742-2023")</f>
        <v/>
      </c>
      <c r="W48">
        <f>HYPERLINK("https://klasma.github.io/Logging_2080/klagomålsmail/A 17742-2023 FSC-klagomål mail.docx", "A 17742-2023")</f>
        <v/>
      </c>
      <c r="X48">
        <f>HYPERLINK("https://klasma.github.io/Logging_2080/tillsyn/A 17742-2023 tillsynsbegäran.docx", "A 17742-2023")</f>
        <v/>
      </c>
      <c r="Y48">
        <f>HYPERLINK("https://klasma.github.io/Logging_2080/tillsynsmail/A 17742-2023 tillsynsbegäran mail.docx", "A 17742-2023")</f>
        <v/>
      </c>
    </row>
    <row r="49" ht="15" customHeight="1">
      <c r="A49" t="inlineStr">
        <is>
          <t>A 18714-2023</t>
        </is>
      </c>
      <c r="B49" s="1" t="n">
        <v>45043</v>
      </c>
      <c r="C49" s="1" t="n">
        <v>45749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23753-2024</t>
        </is>
      </c>
      <c r="B50" s="1" t="n">
        <v>45455</v>
      </c>
      <c r="C50" s="1" t="n">
        <v>45749</v>
      </c>
      <c r="D50" t="inlineStr">
        <is>
          <t>DALARNAS LÄN</t>
        </is>
      </c>
      <c r="E50" t="inlineStr">
        <is>
          <t>FALUN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hackspett
Gröngöling</t>
        </is>
      </c>
      <c r="S50">
        <f>HYPERLINK("https://klasma.github.io/Logging_2080/artfynd/A 23753-2024 artfynd.xlsx", "A 23753-2024")</f>
        <v/>
      </c>
      <c r="T50">
        <f>HYPERLINK("https://klasma.github.io/Logging_2080/kartor/A 23753-2024 karta.png", "A 23753-2024")</f>
        <v/>
      </c>
      <c r="V50">
        <f>HYPERLINK("https://klasma.github.io/Logging_2080/klagomål/A 23753-2024 FSC-klagomål.docx", "A 23753-2024")</f>
        <v/>
      </c>
      <c r="W50">
        <f>HYPERLINK("https://klasma.github.io/Logging_2080/klagomålsmail/A 23753-2024 FSC-klagomål mail.docx", "A 23753-2024")</f>
        <v/>
      </c>
      <c r="X50">
        <f>HYPERLINK("https://klasma.github.io/Logging_2080/tillsyn/A 23753-2024 tillsynsbegäran.docx", "A 23753-2024")</f>
        <v/>
      </c>
      <c r="Y50">
        <f>HYPERLINK("https://klasma.github.io/Logging_2080/tillsynsmail/A 23753-2024 tillsynsbegäran mail.docx", "A 23753-2024")</f>
        <v/>
      </c>
      <c r="Z50">
        <f>HYPERLINK("https://klasma.github.io/Logging_2080/fåglar/A 23753-2024 prioriterade fågelarter.docx", "A 23753-2024")</f>
        <v/>
      </c>
    </row>
    <row r="51" ht="15" customHeight="1">
      <c r="A51" t="inlineStr">
        <is>
          <t>A 25836-2024</t>
        </is>
      </c>
      <c r="B51" s="1" t="n">
        <v>45467</v>
      </c>
      <c r="C51" s="1" t="n">
        <v>45749</v>
      </c>
      <c r="D51" t="inlineStr">
        <is>
          <t>DALARNAS LÄN</t>
        </is>
      </c>
      <c r="E51" t="inlineStr">
        <is>
          <t>FALUN</t>
        </is>
      </c>
      <c r="G51" t="n">
        <v>2.8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Mörk husmossa</t>
        </is>
      </c>
      <c r="S51">
        <f>HYPERLINK("https://klasma.github.io/Logging_2080/artfynd/A 25836-2024 artfynd.xlsx", "A 25836-2024")</f>
        <v/>
      </c>
      <c r="T51">
        <f>HYPERLINK("https://klasma.github.io/Logging_2080/kartor/A 25836-2024 karta.png", "A 25836-2024")</f>
        <v/>
      </c>
      <c r="V51">
        <f>HYPERLINK("https://klasma.github.io/Logging_2080/klagomål/A 25836-2024 FSC-klagomål.docx", "A 25836-2024")</f>
        <v/>
      </c>
      <c r="W51">
        <f>HYPERLINK("https://klasma.github.io/Logging_2080/klagomålsmail/A 25836-2024 FSC-klagomål mail.docx", "A 25836-2024")</f>
        <v/>
      </c>
      <c r="X51">
        <f>HYPERLINK("https://klasma.github.io/Logging_2080/tillsyn/A 25836-2024 tillsynsbegäran.docx", "A 25836-2024")</f>
        <v/>
      </c>
      <c r="Y51">
        <f>HYPERLINK("https://klasma.github.io/Logging_2080/tillsynsmail/A 25836-2024 tillsynsbegäran mail.docx", "A 25836-2024")</f>
        <v/>
      </c>
    </row>
    <row r="52" ht="15" customHeight="1">
      <c r="A52" t="inlineStr">
        <is>
          <t>A 29216-2024</t>
        </is>
      </c>
      <c r="B52" s="1" t="n">
        <v>45482</v>
      </c>
      <c r="C52" s="1" t="n">
        <v>45749</v>
      </c>
      <c r="D52" t="inlineStr">
        <is>
          <t>DALARNAS LÄN</t>
        </is>
      </c>
      <c r="E52" t="inlineStr">
        <is>
          <t>FALUN</t>
        </is>
      </c>
      <c r="G52" t="n">
        <v>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Tjäder</t>
        </is>
      </c>
      <c r="S52">
        <f>HYPERLINK("https://klasma.github.io/Logging_2080/artfynd/A 29216-2024 artfynd.xlsx", "A 29216-2024")</f>
        <v/>
      </c>
      <c r="T52">
        <f>HYPERLINK("https://klasma.github.io/Logging_2080/kartor/A 29216-2024 karta.png", "A 29216-2024")</f>
        <v/>
      </c>
      <c r="V52">
        <f>HYPERLINK("https://klasma.github.io/Logging_2080/klagomål/A 29216-2024 FSC-klagomål.docx", "A 29216-2024")</f>
        <v/>
      </c>
      <c r="W52">
        <f>HYPERLINK("https://klasma.github.io/Logging_2080/klagomålsmail/A 29216-2024 FSC-klagomål mail.docx", "A 29216-2024")</f>
        <v/>
      </c>
      <c r="X52">
        <f>HYPERLINK("https://klasma.github.io/Logging_2080/tillsyn/A 29216-2024 tillsynsbegäran.docx", "A 29216-2024")</f>
        <v/>
      </c>
      <c r="Y52">
        <f>HYPERLINK("https://klasma.github.io/Logging_2080/tillsynsmail/A 29216-2024 tillsynsbegäran mail.docx", "A 29216-2024")</f>
        <v/>
      </c>
      <c r="Z52">
        <f>HYPERLINK("https://klasma.github.io/Logging_2080/fåglar/A 29216-2024 prioriterade fågelarter.docx", "A 29216-2024")</f>
        <v/>
      </c>
    </row>
    <row r="53" ht="15" customHeight="1">
      <c r="A53" t="inlineStr">
        <is>
          <t>A 32793-2024</t>
        </is>
      </c>
      <c r="B53" s="1" t="n">
        <v>45516</v>
      </c>
      <c r="C53" s="1" t="n">
        <v>45749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Stenfalk
Tjäder</t>
        </is>
      </c>
      <c r="S53">
        <f>HYPERLINK("https://klasma.github.io/Logging_2080/artfynd/A 32793-2024 artfynd.xlsx", "A 32793-2024")</f>
        <v/>
      </c>
      <c r="T53">
        <f>HYPERLINK("https://klasma.github.io/Logging_2080/kartor/A 32793-2024 karta.png", "A 32793-2024")</f>
        <v/>
      </c>
      <c r="V53">
        <f>HYPERLINK("https://klasma.github.io/Logging_2080/klagomål/A 32793-2024 FSC-klagomål.docx", "A 32793-2024")</f>
        <v/>
      </c>
      <c r="W53">
        <f>HYPERLINK("https://klasma.github.io/Logging_2080/klagomålsmail/A 32793-2024 FSC-klagomål mail.docx", "A 32793-2024")</f>
        <v/>
      </c>
      <c r="X53">
        <f>HYPERLINK("https://klasma.github.io/Logging_2080/tillsyn/A 32793-2024 tillsynsbegäran.docx", "A 32793-2024")</f>
        <v/>
      </c>
      <c r="Y53">
        <f>HYPERLINK("https://klasma.github.io/Logging_2080/tillsynsmail/A 32793-2024 tillsynsbegäran mail.docx", "A 32793-2024")</f>
        <v/>
      </c>
      <c r="Z53">
        <f>HYPERLINK("https://klasma.github.io/Logging_2080/fåglar/A 32793-2024 prioriterade fågelarter.docx", "A 32793-2024")</f>
        <v/>
      </c>
    </row>
    <row r="54" ht="15" customHeight="1">
      <c r="A54" t="inlineStr">
        <is>
          <t>A 49335-2024</t>
        </is>
      </c>
      <c r="B54" s="1" t="n">
        <v>45595</v>
      </c>
      <c r="C54" s="1" t="n">
        <v>45749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1919-2025</t>
        </is>
      </c>
      <c r="B55" s="1" t="n">
        <v>45671</v>
      </c>
      <c r="C55" s="1" t="n">
        <v>45749</v>
      </c>
      <c r="D55" t="inlineStr">
        <is>
          <t>DALARNAS LÄN</t>
        </is>
      </c>
      <c r="E55" t="inlineStr">
        <is>
          <t>FALUN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HYPERLINK("https://klasma.github.io/Logging_2080/artfynd/A 1919-2025 artfynd.xlsx", "A 1919-2025")</f>
        <v/>
      </c>
      <c r="T55">
        <f>HYPERLINK("https://klasma.github.io/Logging_2080/kartor/A 1919-2025 karta.png", "A 1919-2025")</f>
        <v/>
      </c>
      <c r="V55">
        <f>HYPERLINK("https://klasma.github.io/Logging_2080/klagomål/A 1919-2025 FSC-klagomål.docx", "A 1919-2025")</f>
        <v/>
      </c>
      <c r="W55">
        <f>HYPERLINK("https://klasma.github.io/Logging_2080/klagomålsmail/A 1919-2025 FSC-klagomål mail.docx", "A 1919-2025")</f>
        <v/>
      </c>
      <c r="X55">
        <f>HYPERLINK("https://klasma.github.io/Logging_2080/tillsyn/A 1919-2025 tillsynsbegäran.docx", "A 1919-2025")</f>
        <v/>
      </c>
      <c r="Y55">
        <f>HYPERLINK("https://klasma.github.io/Logging_2080/tillsynsmail/A 1919-2025 tillsynsbegäran mail.docx", "A 1919-2025")</f>
        <v/>
      </c>
    </row>
    <row r="56" ht="15" customHeight="1">
      <c r="A56" t="inlineStr">
        <is>
          <t>A 9222-2025</t>
        </is>
      </c>
      <c r="B56" s="1" t="n">
        <v>45714</v>
      </c>
      <c r="C56" s="1" t="n">
        <v>45749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9222-2025 artfynd.xlsx", "A 9222-2025")</f>
        <v/>
      </c>
      <c r="T56">
        <f>HYPERLINK("https://klasma.github.io/Logging_2080/kartor/A 9222-2025 karta.png", "A 9222-2025")</f>
        <v/>
      </c>
      <c r="U56">
        <f>HYPERLINK("https://klasma.github.io/Logging_2080/knärot/A 9222-2025 karta knärot.png", "A 9222-2025")</f>
        <v/>
      </c>
      <c r="V56">
        <f>HYPERLINK("https://klasma.github.io/Logging_2080/klagomål/A 9222-2025 FSC-klagomål.docx", "A 9222-2025")</f>
        <v/>
      </c>
      <c r="W56">
        <f>HYPERLINK("https://klasma.github.io/Logging_2080/klagomålsmail/A 9222-2025 FSC-klagomål mail.docx", "A 9222-2025")</f>
        <v/>
      </c>
      <c r="X56">
        <f>HYPERLINK("https://klasma.github.io/Logging_2080/tillsyn/A 9222-2025 tillsynsbegäran.docx", "A 9222-2025")</f>
        <v/>
      </c>
      <c r="Y56">
        <f>HYPERLINK("https://klasma.github.io/Logging_2080/tillsynsmail/A 9222-2025 tillsynsbegäran mail.docx", "A 9222-2025")</f>
        <v/>
      </c>
    </row>
    <row r="57" ht="15" customHeight="1">
      <c r="A57" t="inlineStr">
        <is>
          <t>A 37713-2020</t>
        </is>
      </c>
      <c r="B57" s="1" t="n">
        <v>44056</v>
      </c>
      <c r="C57" s="1" t="n">
        <v>45749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37713-2020 artfynd.xlsx", "A 37713-2020")</f>
        <v/>
      </c>
      <c r="T57">
        <f>HYPERLINK("https://klasma.github.io/Logging_2080/kartor/A 37713-2020 karta.png", "A 37713-2020")</f>
        <v/>
      </c>
      <c r="V57">
        <f>HYPERLINK("https://klasma.github.io/Logging_2080/klagomål/A 37713-2020 FSC-klagomål.docx", "A 37713-2020")</f>
        <v/>
      </c>
      <c r="W57">
        <f>HYPERLINK("https://klasma.github.io/Logging_2080/klagomålsmail/A 37713-2020 FSC-klagomål mail.docx", "A 37713-2020")</f>
        <v/>
      </c>
      <c r="X57">
        <f>HYPERLINK("https://klasma.github.io/Logging_2080/tillsyn/A 37713-2020 tillsynsbegäran.docx", "A 37713-2020")</f>
        <v/>
      </c>
      <c r="Y57">
        <f>HYPERLINK("https://klasma.github.io/Logging_2080/tillsynsmail/A 37713-2020 tillsynsbegäran mail.docx", "A 37713-2020")</f>
        <v/>
      </c>
    </row>
    <row r="58" ht="15" customHeight="1">
      <c r="A58" t="inlineStr">
        <is>
          <t>A 51342-2020</t>
        </is>
      </c>
      <c r="B58" s="1" t="n">
        <v>44112</v>
      </c>
      <c r="C58" s="1" t="n">
        <v>45749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51342-2020 artfynd.xlsx", "A 51342-2020")</f>
        <v/>
      </c>
      <c r="T58">
        <f>HYPERLINK("https://klasma.github.io/Logging_2080/kartor/A 51342-2020 karta.png", "A 51342-2020")</f>
        <v/>
      </c>
      <c r="U58">
        <f>HYPERLINK("https://klasma.github.io/Logging_2080/knärot/A 51342-2020 karta knärot.png", "A 51342-2020")</f>
        <v/>
      </c>
      <c r="V58">
        <f>HYPERLINK("https://klasma.github.io/Logging_2080/klagomål/A 51342-2020 FSC-klagomål.docx", "A 51342-2020")</f>
        <v/>
      </c>
      <c r="W58">
        <f>HYPERLINK("https://klasma.github.io/Logging_2080/klagomålsmail/A 51342-2020 FSC-klagomål mail.docx", "A 51342-2020")</f>
        <v/>
      </c>
      <c r="X58">
        <f>HYPERLINK("https://klasma.github.io/Logging_2080/tillsyn/A 51342-2020 tillsynsbegäran.docx", "A 51342-2020")</f>
        <v/>
      </c>
      <c r="Y58">
        <f>HYPERLINK("https://klasma.github.io/Logging_2080/tillsynsmail/A 51342-2020 tillsynsbegäran mail.docx", "A 51342-2020")</f>
        <v/>
      </c>
    </row>
    <row r="59" ht="15" customHeight="1">
      <c r="A59" t="inlineStr">
        <is>
          <t>A 10384-2021</t>
        </is>
      </c>
      <c r="B59" s="1" t="n">
        <v>44257</v>
      </c>
      <c r="C59" s="1" t="n">
        <v>45749</v>
      </c>
      <c r="D59" t="inlineStr">
        <is>
          <t>DALARNAS LÄN</t>
        </is>
      </c>
      <c r="E59" t="inlineStr">
        <is>
          <t>FALUN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HYPERLINK("https://klasma.github.io/Logging_2080/artfynd/A 10384-2021 artfynd.xlsx", "A 10384-2021")</f>
        <v/>
      </c>
      <c r="T59">
        <f>HYPERLINK("https://klasma.github.io/Logging_2080/kartor/A 10384-2021 karta.png", "A 10384-2021")</f>
        <v/>
      </c>
      <c r="V59">
        <f>HYPERLINK("https://klasma.github.io/Logging_2080/klagomål/A 10384-2021 FSC-klagomål.docx", "A 10384-2021")</f>
        <v/>
      </c>
      <c r="W59">
        <f>HYPERLINK("https://klasma.github.io/Logging_2080/klagomålsmail/A 10384-2021 FSC-klagomål mail.docx", "A 10384-2021")</f>
        <v/>
      </c>
      <c r="X59">
        <f>HYPERLINK("https://klasma.github.io/Logging_2080/tillsyn/A 10384-2021 tillsynsbegäran.docx", "A 10384-2021")</f>
        <v/>
      </c>
      <c r="Y59">
        <f>HYPERLINK("https://klasma.github.io/Logging_2080/tillsynsmail/A 10384-2021 tillsynsbegäran mail.docx", "A 10384-2021")</f>
        <v/>
      </c>
    </row>
    <row r="60" ht="15" customHeight="1">
      <c r="A60" t="inlineStr">
        <is>
          <t>A 68557-2021</t>
        </is>
      </c>
      <c r="B60" s="1" t="n">
        <v>44529</v>
      </c>
      <c r="C60" s="1" t="n">
        <v>45749</v>
      </c>
      <c r="D60" t="inlineStr">
        <is>
          <t>DALARNAS LÄN</t>
        </is>
      </c>
      <c r="E60" t="inlineStr">
        <is>
          <t>FALUN</t>
        </is>
      </c>
      <c r="G60" t="n">
        <v>9.5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Skrovellav</t>
        </is>
      </c>
      <c r="S60">
        <f>HYPERLINK("https://klasma.github.io/Logging_2080/artfynd/A 68557-2021 artfynd.xlsx", "A 68557-2021")</f>
        <v/>
      </c>
      <c r="T60">
        <f>HYPERLINK("https://klasma.github.io/Logging_2080/kartor/A 68557-2021 karta.png", "A 68557-2021")</f>
        <v/>
      </c>
      <c r="V60">
        <f>HYPERLINK("https://klasma.github.io/Logging_2080/klagomål/A 68557-2021 FSC-klagomål.docx", "A 68557-2021")</f>
        <v/>
      </c>
      <c r="W60">
        <f>HYPERLINK("https://klasma.github.io/Logging_2080/klagomålsmail/A 68557-2021 FSC-klagomål mail.docx", "A 68557-2021")</f>
        <v/>
      </c>
      <c r="X60">
        <f>HYPERLINK("https://klasma.github.io/Logging_2080/tillsyn/A 68557-2021 tillsynsbegäran.docx", "A 68557-2021")</f>
        <v/>
      </c>
      <c r="Y60">
        <f>HYPERLINK("https://klasma.github.io/Logging_2080/tillsynsmail/A 68557-2021 tillsynsbegäran mail.docx", "A 68557-2021")</f>
        <v/>
      </c>
    </row>
    <row r="61" ht="15" customHeight="1">
      <c r="A61" t="inlineStr">
        <is>
          <t>A 46740-2022</t>
        </is>
      </c>
      <c r="B61" s="1" t="n">
        <v>44851</v>
      </c>
      <c r="C61" s="1" t="n">
        <v>45749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Pärluggla</t>
        </is>
      </c>
      <c r="S61">
        <f>HYPERLINK("https://klasma.github.io/Logging_2080/artfynd/A 46740-2022 artfynd.xlsx", "A 46740-2022")</f>
        <v/>
      </c>
      <c r="T61">
        <f>HYPERLINK("https://klasma.github.io/Logging_2080/kartor/A 46740-2022 karta.png", "A 46740-2022")</f>
        <v/>
      </c>
      <c r="V61">
        <f>HYPERLINK("https://klasma.github.io/Logging_2080/klagomål/A 46740-2022 FSC-klagomål.docx", "A 46740-2022")</f>
        <v/>
      </c>
      <c r="W61">
        <f>HYPERLINK("https://klasma.github.io/Logging_2080/klagomålsmail/A 46740-2022 FSC-klagomål mail.docx", "A 46740-2022")</f>
        <v/>
      </c>
      <c r="X61">
        <f>HYPERLINK("https://klasma.github.io/Logging_2080/tillsyn/A 46740-2022 tillsynsbegäran.docx", "A 46740-2022")</f>
        <v/>
      </c>
      <c r="Y61">
        <f>HYPERLINK("https://klasma.github.io/Logging_2080/tillsynsmail/A 46740-2022 tillsynsbegäran mail.docx", "A 46740-2022")</f>
        <v/>
      </c>
      <c r="Z61">
        <f>HYPERLINK("https://klasma.github.io/Logging_2080/fåglar/A 46740-2022 prioriterade fågelarter.docx", "A 46740-2022")</f>
        <v/>
      </c>
    </row>
    <row r="62" ht="15" customHeight="1">
      <c r="A62" t="inlineStr">
        <is>
          <t>A 50475-2022</t>
        </is>
      </c>
      <c r="B62" s="1" t="n">
        <v>44866</v>
      </c>
      <c r="C62" s="1" t="n">
        <v>45749</v>
      </c>
      <c r="D62" t="inlineStr">
        <is>
          <t>DALARNAS LÄN</t>
        </is>
      </c>
      <c r="E62" t="inlineStr">
        <is>
          <t>FALUN</t>
        </is>
      </c>
      <c r="F62" t="inlineStr">
        <is>
          <t>Allmännings- och besparingsskogar</t>
        </is>
      </c>
      <c r="G62" t="n">
        <v>11.3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50475-2022 artfynd.xlsx", "A 50475-2022")</f>
        <v/>
      </c>
      <c r="T62">
        <f>HYPERLINK("https://klasma.github.io/Logging_2080/kartor/A 50475-2022 karta.png", "A 50475-2022")</f>
        <v/>
      </c>
      <c r="U62">
        <f>HYPERLINK("https://klasma.github.io/Logging_2080/knärot/A 50475-2022 karta knärot.png", "A 50475-2022")</f>
        <v/>
      </c>
      <c r="V62">
        <f>HYPERLINK("https://klasma.github.io/Logging_2080/klagomål/A 50475-2022 FSC-klagomål.docx", "A 50475-2022")</f>
        <v/>
      </c>
      <c r="W62">
        <f>HYPERLINK("https://klasma.github.io/Logging_2080/klagomålsmail/A 50475-2022 FSC-klagomål mail.docx", "A 50475-2022")</f>
        <v/>
      </c>
      <c r="X62">
        <f>HYPERLINK("https://klasma.github.io/Logging_2080/tillsyn/A 50475-2022 tillsynsbegäran.docx", "A 50475-2022")</f>
        <v/>
      </c>
      <c r="Y62">
        <f>HYPERLINK("https://klasma.github.io/Logging_2080/tillsynsmail/A 50475-2022 tillsynsbegäran mail.docx", "A 50475-2022")</f>
        <v/>
      </c>
    </row>
    <row r="63" ht="15" customHeight="1">
      <c r="A63" t="inlineStr">
        <is>
          <t>A 61535-2022</t>
        </is>
      </c>
      <c r="B63" s="1" t="n">
        <v>44916</v>
      </c>
      <c r="C63" s="1" t="n">
        <v>45749</v>
      </c>
      <c r="D63" t="inlineStr">
        <is>
          <t>DALARNAS LÄN</t>
        </is>
      </c>
      <c r="E63" t="inlineStr">
        <is>
          <t>FALUN</t>
        </is>
      </c>
      <c r="G63" t="n">
        <v>13.1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61535-2022 artfynd.xlsx", "A 61535-2022")</f>
        <v/>
      </c>
      <c r="T63">
        <f>HYPERLINK("https://klasma.github.io/Logging_2080/kartor/A 61535-2022 karta.png", "A 61535-2022")</f>
        <v/>
      </c>
      <c r="V63">
        <f>HYPERLINK("https://klasma.github.io/Logging_2080/klagomål/A 61535-2022 FSC-klagomål.docx", "A 61535-2022")</f>
        <v/>
      </c>
      <c r="W63">
        <f>HYPERLINK("https://klasma.github.io/Logging_2080/klagomålsmail/A 61535-2022 FSC-klagomål mail.docx", "A 61535-2022")</f>
        <v/>
      </c>
      <c r="X63">
        <f>HYPERLINK("https://klasma.github.io/Logging_2080/tillsyn/A 61535-2022 tillsynsbegäran.docx", "A 61535-2022")</f>
        <v/>
      </c>
      <c r="Y63">
        <f>HYPERLINK("https://klasma.github.io/Logging_2080/tillsynsmail/A 61535-2022 tillsynsbegäran mail.docx", "A 61535-2022")</f>
        <v/>
      </c>
      <c r="Z63">
        <f>HYPERLINK("https://klasma.github.io/Logging_2080/fåglar/A 61535-2022 prioriterade fågelarter.docx", "A 61535-2022")</f>
        <v/>
      </c>
    </row>
    <row r="64" ht="15" customHeight="1">
      <c r="A64" t="inlineStr">
        <is>
          <t>A 6317-2023</t>
        </is>
      </c>
      <c r="B64" s="1" t="n">
        <v>44965</v>
      </c>
      <c r="C64" s="1" t="n">
        <v>45749</v>
      </c>
      <c r="D64" t="inlineStr">
        <is>
          <t>DALARNAS LÄN</t>
        </is>
      </c>
      <c r="E64" t="inlineStr">
        <is>
          <t>FALUN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HYPERLINK("https://klasma.github.io/Logging_2080/artfynd/A 6317-2023 artfynd.xlsx", "A 6317-2023")</f>
        <v/>
      </c>
      <c r="T64">
        <f>HYPERLINK("https://klasma.github.io/Logging_2080/kartor/A 6317-2023 karta.png", "A 6317-2023")</f>
        <v/>
      </c>
      <c r="V64">
        <f>HYPERLINK("https://klasma.github.io/Logging_2080/klagomål/A 6317-2023 FSC-klagomål.docx", "A 6317-2023")</f>
        <v/>
      </c>
      <c r="W64">
        <f>HYPERLINK("https://klasma.github.io/Logging_2080/klagomålsmail/A 6317-2023 FSC-klagomål mail.docx", "A 6317-2023")</f>
        <v/>
      </c>
      <c r="X64">
        <f>HYPERLINK("https://klasma.github.io/Logging_2080/tillsyn/A 6317-2023 tillsynsbegäran.docx", "A 6317-2023")</f>
        <v/>
      </c>
      <c r="Y64">
        <f>HYPERLINK("https://klasma.github.io/Logging_2080/tillsynsmail/A 6317-2023 tillsynsbegäran mail.docx", "A 6317-2023")</f>
        <v/>
      </c>
      <c r="Z64">
        <f>HYPERLINK("https://klasma.github.io/Logging_2080/fåglar/A 6317-2023 prioriterade fågelarter.docx", "A 6317-2023")</f>
        <v/>
      </c>
    </row>
    <row r="65" ht="15" customHeight="1">
      <c r="A65" t="inlineStr">
        <is>
          <t>A 17199-2023</t>
        </is>
      </c>
      <c r="B65" s="1" t="n">
        <v>45034</v>
      </c>
      <c r="C65" s="1" t="n">
        <v>45749</v>
      </c>
      <c r="D65" t="inlineStr">
        <is>
          <t>DALARNAS LÄN</t>
        </is>
      </c>
      <c r="E65" t="inlineStr">
        <is>
          <t>FALUN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17199-2023 artfynd.xlsx", "A 17199-2023")</f>
        <v/>
      </c>
      <c r="T65">
        <f>HYPERLINK("https://klasma.github.io/Logging_2080/kartor/A 17199-2023 karta.png", "A 17199-2023")</f>
        <v/>
      </c>
      <c r="V65">
        <f>HYPERLINK("https://klasma.github.io/Logging_2080/klagomål/A 17199-2023 FSC-klagomål.docx", "A 17199-2023")</f>
        <v/>
      </c>
      <c r="W65">
        <f>HYPERLINK("https://klasma.github.io/Logging_2080/klagomålsmail/A 17199-2023 FSC-klagomål mail.docx", "A 17199-2023")</f>
        <v/>
      </c>
      <c r="X65">
        <f>HYPERLINK("https://klasma.github.io/Logging_2080/tillsyn/A 17199-2023 tillsynsbegäran.docx", "A 17199-2023")</f>
        <v/>
      </c>
      <c r="Y65">
        <f>HYPERLINK("https://klasma.github.io/Logging_2080/tillsynsmail/A 17199-2023 tillsynsbegäran mail.docx", "A 17199-2023")</f>
        <v/>
      </c>
    </row>
    <row r="66" ht="15" customHeight="1">
      <c r="A66" t="inlineStr">
        <is>
          <t>A 17743-2023</t>
        </is>
      </c>
      <c r="B66" s="1" t="n">
        <v>45037</v>
      </c>
      <c r="C66" s="1" t="n">
        <v>45749</v>
      </c>
      <c r="D66" t="inlineStr">
        <is>
          <t>DALARNAS LÄN</t>
        </is>
      </c>
      <c r="E66" t="inlineStr">
        <is>
          <t>FALUN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17743-2023 artfynd.xlsx", "A 17743-2023")</f>
        <v/>
      </c>
      <c r="T66">
        <f>HYPERLINK("https://klasma.github.io/Logging_2080/kartor/A 17743-2023 karta.png", "A 17743-2023")</f>
        <v/>
      </c>
      <c r="V66">
        <f>HYPERLINK("https://klasma.github.io/Logging_2080/klagomål/A 17743-2023 FSC-klagomål.docx", "A 17743-2023")</f>
        <v/>
      </c>
      <c r="W66">
        <f>HYPERLINK("https://klasma.github.io/Logging_2080/klagomålsmail/A 17743-2023 FSC-klagomål mail.docx", "A 17743-2023")</f>
        <v/>
      </c>
      <c r="X66">
        <f>HYPERLINK("https://klasma.github.io/Logging_2080/tillsyn/A 17743-2023 tillsynsbegäran.docx", "A 17743-2023")</f>
        <v/>
      </c>
      <c r="Y66">
        <f>HYPERLINK("https://klasma.github.io/Logging_2080/tillsynsmail/A 17743-2023 tillsynsbegäran mail.docx", "A 17743-2023")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45749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45749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31620-2023</t>
        </is>
      </c>
      <c r="B69" s="1" t="n">
        <v>45117</v>
      </c>
      <c r="C69" s="1" t="n">
        <v>45749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31620-2023 artfynd.xlsx", "A 31620-2023")</f>
        <v/>
      </c>
      <c r="T69">
        <f>HYPERLINK("https://klasma.github.io/Logging_2080/kartor/A 31620-2023 karta.png", "A 31620-2023")</f>
        <v/>
      </c>
      <c r="U69">
        <f>HYPERLINK("https://klasma.github.io/Logging_2080/knärot/A 31620-2023 karta knärot.png", "A 31620-2023")</f>
        <v/>
      </c>
      <c r="V69">
        <f>HYPERLINK("https://klasma.github.io/Logging_2080/klagomål/A 31620-2023 FSC-klagomål.docx", "A 31620-2023")</f>
        <v/>
      </c>
      <c r="W69">
        <f>HYPERLINK("https://klasma.github.io/Logging_2080/klagomålsmail/A 31620-2023 FSC-klagomål mail.docx", "A 31620-2023")</f>
        <v/>
      </c>
      <c r="X69">
        <f>HYPERLINK("https://klasma.github.io/Logging_2080/tillsyn/A 31620-2023 tillsynsbegäran.docx", "A 31620-2023")</f>
        <v/>
      </c>
      <c r="Y69">
        <f>HYPERLINK("https://klasma.github.io/Logging_2080/tillsynsmail/A 31620-2023 tillsynsbegäran mail.docx", "A 31620-2023")</f>
        <v/>
      </c>
    </row>
    <row r="70" ht="15" customHeight="1">
      <c r="A70" t="inlineStr">
        <is>
          <t>A 34958-2023</t>
        </is>
      </c>
      <c r="B70" s="1" t="n">
        <v>45142</v>
      </c>
      <c r="C70" s="1" t="n">
        <v>45749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19.2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34958-2023 artfynd.xlsx", "A 34958-2023")</f>
        <v/>
      </c>
      <c r="T70">
        <f>HYPERLINK("https://klasma.github.io/Logging_2080/kartor/A 34958-2023 karta.png", "A 34958-2023")</f>
        <v/>
      </c>
      <c r="V70">
        <f>HYPERLINK("https://klasma.github.io/Logging_2080/klagomål/A 34958-2023 FSC-klagomål.docx", "A 34958-2023")</f>
        <v/>
      </c>
      <c r="W70">
        <f>HYPERLINK("https://klasma.github.io/Logging_2080/klagomålsmail/A 34958-2023 FSC-klagomål mail.docx", "A 34958-2023")</f>
        <v/>
      </c>
      <c r="X70">
        <f>HYPERLINK("https://klasma.github.io/Logging_2080/tillsyn/A 34958-2023 tillsynsbegäran.docx", "A 34958-2023")</f>
        <v/>
      </c>
      <c r="Y70">
        <f>HYPERLINK("https://klasma.github.io/Logging_2080/tillsynsmail/A 34958-2023 tillsynsbegäran mail.docx", "A 34958-2023")</f>
        <v/>
      </c>
      <c r="Z70">
        <f>HYPERLINK("https://klasma.github.io/Logging_2080/fåglar/A 34958-2023 prioriterade fågelarter.docx", "A 34958-2023")</f>
        <v/>
      </c>
    </row>
    <row r="71" ht="15" customHeight="1">
      <c r="A71" t="inlineStr">
        <is>
          <t>A 42011-2023</t>
        </is>
      </c>
      <c r="B71" s="1" t="n">
        <v>45177</v>
      </c>
      <c r="C71" s="1" t="n">
        <v>45749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7.8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42011-2023 artfynd.xlsx", "A 42011-2023")</f>
        <v/>
      </c>
      <c r="T71">
        <f>HYPERLINK("https://klasma.github.io/Logging_2080/kartor/A 42011-2023 karta.png", "A 42011-2023")</f>
        <v/>
      </c>
      <c r="V71">
        <f>HYPERLINK("https://klasma.github.io/Logging_2080/klagomål/A 42011-2023 FSC-klagomål.docx", "A 42011-2023")</f>
        <v/>
      </c>
      <c r="W71">
        <f>HYPERLINK("https://klasma.github.io/Logging_2080/klagomålsmail/A 42011-2023 FSC-klagomål mail.docx", "A 42011-2023")</f>
        <v/>
      </c>
      <c r="X71">
        <f>HYPERLINK("https://klasma.github.io/Logging_2080/tillsyn/A 42011-2023 tillsynsbegäran.docx", "A 42011-2023")</f>
        <v/>
      </c>
      <c r="Y71">
        <f>HYPERLINK("https://klasma.github.io/Logging_2080/tillsynsmail/A 42011-2023 tillsynsbegäran mail.docx", "A 42011-2023")</f>
        <v/>
      </c>
    </row>
    <row r="72" ht="15" customHeight="1">
      <c r="A72" t="inlineStr">
        <is>
          <t>A 44725-2023</t>
        </is>
      </c>
      <c r="B72" s="1" t="n">
        <v>45190</v>
      </c>
      <c r="C72" s="1" t="n">
        <v>45749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3.2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HYPERLINK("https://klasma.github.io/Logging_2080/artfynd/A 44725-2023 artfynd.xlsx", "A 44725-2023")</f>
        <v/>
      </c>
      <c r="T72">
        <f>HYPERLINK("https://klasma.github.io/Logging_2080/kartor/A 44725-2023 karta.png", "A 44725-2023")</f>
        <v/>
      </c>
      <c r="V72">
        <f>HYPERLINK("https://klasma.github.io/Logging_2080/klagomål/A 44725-2023 FSC-klagomål.docx", "A 44725-2023")</f>
        <v/>
      </c>
      <c r="W72">
        <f>HYPERLINK("https://klasma.github.io/Logging_2080/klagomålsmail/A 44725-2023 FSC-klagomål mail.docx", "A 44725-2023")</f>
        <v/>
      </c>
      <c r="X72">
        <f>HYPERLINK("https://klasma.github.io/Logging_2080/tillsyn/A 44725-2023 tillsynsbegäran.docx", "A 44725-2023")</f>
        <v/>
      </c>
      <c r="Y72">
        <f>HYPERLINK("https://klasma.github.io/Logging_2080/tillsynsmail/A 44725-2023 tillsynsbegäran mail.docx", "A 44725-2023")</f>
        <v/>
      </c>
    </row>
    <row r="73" ht="15" customHeight="1">
      <c r="A73" t="inlineStr">
        <is>
          <t>A 45166-2023</t>
        </is>
      </c>
      <c r="B73" s="1" t="n">
        <v>45191</v>
      </c>
      <c r="C73" s="1" t="n">
        <v>45749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45166-2023 artfynd.xlsx", "A 45166-2023")</f>
        <v/>
      </c>
      <c r="T73">
        <f>HYPERLINK("https://klasma.github.io/Logging_2080/kartor/A 45166-2023 karta.png", "A 45166-2023")</f>
        <v/>
      </c>
      <c r="V73">
        <f>HYPERLINK("https://klasma.github.io/Logging_2080/klagomål/A 45166-2023 FSC-klagomål.docx", "A 45166-2023")</f>
        <v/>
      </c>
      <c r="W73">
        <f>HYPERLINK("https://klasma.github.io/Logging_2080/klagomålsmail/A 45166-2023 FSC-klagomål mail.docx", "A 45166-2023")</f>
        <v/>
      </c>
      <c r="X73">
        <f>HYPERLINK("https://klasma.github.io/Logging_2080/tillsyn/A 45166-2023 tillsynsbegäran.docx", "A 45166-2023")</f>
        <v/>
      </c>
      <c r="Y73">
        <f>HYPERLINK("https://klasma.github.io/Logging_2080/tillsynsmail/A 45166-2023 tillsynsbegäran mail.docx", "A 45166-2023")</f>
        <v/>
      </c>
    </row>
    <row r="74" ht="15" customHeight="1">
      <c r="A74" t="inlineStr">
        <is>
          <t>A 46963-2023</t>
        </is>
      </c>
      <c r="B74" s="1" t="n">
        <v>45201</v>
      </c>
      <c r="C74" s="1" t="n">
        <v>45749</v>
      </c>
      <c r="D74" t="inlineStr">
        <is>
          <t>DALARNAS LÄN</t>
        </is>
      </c>
      <c r="E74" t="inlineStr">
        <is>
          <t>FALUN</t>
        </is>
      </c>
      <c r="G74" t="n">
        <v>13.6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HYPERLINK("https://klasma.github.io/Logging_2080/artfynd/A 46963-2023 artfynd.xlsx", "A 46963-2023")</f>
        <v/>
      </c>
      <c r="T74">
        <f>HYPERLINK("https://klasma.github.io/Logging_2080/kartor/A 46963-2023 karta.png", "A 46963-2023")</f>
        <v/>
      </c>
      <c r="V74">
        <f>HYPERLINK("https://klasma.github.io/Logging_2080/klagomål/A 46963-2023 FSC-klagomål.docx", "A 46963-2023")</f>
        <v/>
      </c>
      <c r="W74">
        <f>HYPERLINK("https://klasma.github.io/Logging_2080/klagomålsmail/A 46963-2023 FSC-klagomål mail.docx", "A 46963-2023")</f>
        <v/>
      </c>
      <c r="X74">
        <f>HYPERLINK("https://klasma.github.io/Logging_2080/tillsyn/A 46963-2023 tillsynsbegäran.docx", "A 46963-2023")</f>
        <v/>
      </c>
      <c r="Y74">
        <f>HYPERLINK("https://klasma.github.io/Logging_2080/tillsynsmail/A 46963-2023 tillsynsbegäran mail.docx", "A 46963-2023")</f>
        <v/>
      </c>
      <c r="Z74">
        <f>HYPERLINK("https://klasma.github.io/Logging_2080/fåglar/A 46963-2023 prioriterade fågelarter.docx", "A 46963-2023")</f>
        <v/>
      </c>
    </row>
    <row r="75" ht="15" customHeight="1">
      <c r="A75" t="inlineStr">
        <is>
          <t>A 48693-2023</t>
        </is>
      </c>
      <c r="B75" s="1" t="n">
        <v>45208</v>
      </c>
      <c r="C75" s="1" t="n">
        <v>45749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48693-2023 artfynd.xlsx", "A 48693-2023")</f>
        <v/>
      </c>
      <c r="T75">
        <f>HYPERLINK("https://klasma.github.io/Logging_2080/kartor/A 48693-2023 karta.png", "A 48693-2023")</f>
        <v/>
      </c>
      <c r="V75">
        <f>HYPERLINK("https://klasma.github.io/Logging_2080/klagomål/A 48693-2023 FSC-klagomål.docx", "A 48693-2023")</f>
        <v/>
      </c>
      <c r="W75">
        <f>HYPERLINK("https://klasma.github.io/Logging_2080/klagomålsmail/A 48693-2023 FSC-klagomål mail.docx", "A 48693-2023")</f>
        <v/>
      </c>
      <c r="X75">
        <f>HYPERLINK("https://klasma.github.io/Logging_2080/tillsyn/A 48693-2023 tillsynsbegäran.docx", "A 48693-2023")</f>
        <v/>
      </c>
      <c r="Y75">
        <f>HYPERLINK("https://klasma.github.io/Logging_2080/tillsynsmail/A 48693-2023 tillsynsbegäran mail.docx", "A 48693-2023")</f>
        <v/>
      </c>
    </row>
    <row r="76" ht="15" customHeight="1">
      <c r="A76" t="inlineStr">
        <is>
          <t>A 56429-2023</t>
        </is>
      </c>
      <c r="B76" s="1" t="n">
        <v>45243</v>
      </c>
      <c r="C76" s="1" t="n">
        <v>45749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HYPERLINK("https://klasma.github.io/Logging_2080/artfynd/A 56429-2023 artfynd.xlsx", "A 56429-2023")</f>
        <v/>
      </c>
      <c r="T76">
        <f>HYPERLINK("https://klasma.github.io/Logging_2080/kartor/A 56429-2023 karta.png", "A 56429-2023")</f>
        <v/>
      </c>
      <c r="V76">
        <f>HYPERLINK("https://klasma.github.io/Logging_2080/klagomål/A 56429-2023 FSC-klagomål.docx", "A 56429-2023")</f>
        <v/>
      </c>
      <c r="W76">
        <f>HYPERLINK("https://klasma.github.io/Logging_2080/klagomålsmail/A 56429-2023 FSC-klagomål mail.docx", "A 56429-2023")</f>
        <v/>
      </c>
      <c r="X76">
        <f>HYPERLINK("https://klasma.github.io/Logging_2080/tillsyn/A 56429-2023 tillsynsbegäran.docx", "A 56429-2023")</f>
        <v/>
      </c>
      <c r="Y76">
        <f>HYPERLINK("https://klasma.github.io/Logging_2080/tillsynsmail/A 56429-2023 tillsynsbegäran mail.docx", "A 56429-2023")</f>
        <v/>
      </c>
    </row>
    <row r="77" ht="15" customHeight="1">
      <c r="A77" t="inlineStr">
        <is>
          <t>A 56423-2023</t>
        </is>
      </c>
      <c r="B77" s="1" t="n">
        <v>45243</v>
      </c>
      <c r="C77" s="1" t="n">
        <v>45749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17.5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Jättesvampmal</t>
        </is>
      </c>
      <c r="S77">
        <f>HYPERLINK("https://klasma.github.io/Logging_2080/artfynd/A 56423-2023 artfynd.xlsx", "A 56423-2023")</f>
        <v/>
      </c>
      <c r="T77">
        <f>HYPERLINK("https://klasma.github.io/Logging_2080/kartor/A 56423-2023 karta.png", "A 56423-2023")</f>
        <v/>
      </c>
      <c r="V77">
        <f>HYPERLINK("https://klasma.github.io/Logging_2080/klagomål/A 56423-2023 FSC-klagomål.docx", "A 56423-2023")</f>
        <v/>
      </c>
      <c r="W77">
        <f>HYPERLINK("https://klasma.github.io/Logging_2080/klagomålsmail/A 56423-2023 FSC-klagomål mail.docx", "A 56423-2023")</f>
        <v/>
      </c>
      <c r="X77">
        <f>HYPERLINK("https://klasma.github.io/Logging_2080/tillsyn/A 56423-2023 tillsynsbegäran.docx", "A 56423-2023")</f>
        <v/>
      </c>
      <c r="Y77">
        <f>HYPERLINK("https://klasma.github.io/Logging_2080/tillsynsmail/A 56423-2023 tillsynsbegäran mail.docx", "A 56423-2023")</f>
        <v/>
      </c>
    </row>
    <row r="78" ht="15" customHeight="1">
      <c r="A78" t="inlineStr">
        <is>
          <t>A 59447-2023</t>
        </is>
      </c>
      <c r="B78" s="1" t="n">
        <v>45254</v>
      </c>
      <c r="C78" s="1" t="n">
        <v>45749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59447-2023 artfynd.xlsx", "A 59447-2023")</f>
        <v/>
      </c>
      <c r="T78">
        <f>HYPERLINK("https://klasma.github.io/Logging_2080/kartor/A 59447-2023 karta.png", "A 59447-2023")</f>
        <v/>
      </c>
      <c r="V78">
        <f>HYPERLINK("https://klasma.github.io/Logging_2080/klagomål/A 59447-2023 FSC-klagomål.docx", "A 59447-2023")</f>
        <v/>
      </c>
      <c r="W78">
        <f>HYPERLINK("https://klasma.github.io/Logging_2080/klagomålsmail/A 59447-2023 FSC-klagomål mail.docx", "A 59447-2023")</f>
        <v/>
      </c>
      <c r="X78">
        <f>HYPERLINK("https://klasma.github.io/Logging_2080/tillsyn/A 59447-2023 tillsynsbegäran.docx", "A 59447-2023")</f>
        <v/>
      </c>
      <c r="Y78">
        <f>HYPERLINK("https://klasma.github.io/Logging_2080/tillsynsmail/A 59447-2023 tillsynsbegäran mail.docx", "A 59447-2023")</f>
        <v/>
      </c>
      <c r="Z78">
        <f>HYPERLINK("https://klasma.github.io/Logging_2080/fåglar/A 59447-2023 prioriterade fågelarter.docx", "A 59447-2023")</f>
        <v/>
      </c>
    </row>
    <row r="79" ht="15" customHeight="1">
      <c r="A79" t="inlineStr">
        <is>
          <t>A 14094-2024</t>
        </is>
      </c>
      <c r="B79" s="1" t="n">
        <v>45392</v>
      </c>
      <c r="C79" s="1" t="n">
        <v>45749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14094-2024 artfynd.xlsx", "A 14094-2024")</f>
        <v/>
      </c>
      <c r="T79">
        <f>HYPERLINK("https://klasma.github.io/Logging_2080/kartor/A 14094-2024 karta.png", "A 14094-2024")</f>
        <v/>
      </c>
      <c r="U79">
        <f>HYPERLINK("https://klasma.github.io/Logging_2080/knärot/A 14094-2024 karta knärot.png", "A 14094-2024")</f>
        <v/>
      </c>
      <c r="V79">
        <f>HYPERLINK("https://klasma.github.io/Logging_2080/klagomål/A 14094-2024 FSC-klagomål.docx", "A 14094-2024")</f>
        <v/>
      </c>
      <c r="W79">
        <f>HYPERLINK("https://klasma.github.io/Logging_2080/klagomålsmail/A 14094-2024 FSC-klagomål mail.docx", "A 14094-2024")</f>
        <v/>
      </c>
      <c r="X79">
        <f>HYPERLINK("https://klasma.github.io/Logging_2080/tillsyn/A 14094-2024 tillsynsbegäran.docx", "A 14094-2024")</f>
        <v/>
      </c>
      <c r="Y79">
        <f>HYPERLINK("https://klasma.github.io/Logging_2080/tillsynsmail/A 14094-2024 tillsynsbegäran mail.docx", "A 14094-2024")</f>
        <v/>
      </c>
    </row>
    <row r="80" ht="15" customHeight="1">
      <c r="A80" t="inlineStr">
        <is>
          <t>A 14887-2024</t>
        </is>
      </c>
      <c r="B80" s="1" t="n">
        <v>45398</v>
      </c>
      <c r="C80" s="1" t="n">
        <v>45749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Varglav</t>
        </is>
      </c>
      <c r="S80">
        <f>HYPERLINK("https://klasma.github.io/Logging_2080/artfynd/A 14887-2024 artfynd.xlsx", "A 14887-2024")</f>
        <v/>
      </c>
      <c r="T80">
        <f>HYPERLINK("https://klasma.github.io/Logging_2080/kartor/A 14887-2024 karta.png", "A 14887-2024")</f>
        <v/>
      </c>
      <c r="V80">
        <f>HYPERLINK("https://klasma.github.io/Logging_2080/klagomål/A 14887-2024 FSC-klagomål.docx", "A 14887-2024")</f>
        <v/>
      </c>
      <c r="W80">
        <f>HYPERLINK("https://klasma.github.io/Logging_2080/klagomålsmail/A 14887-2024 FSC-klagomål mail.docx", "A 14887-2024")</f>
        <v/>
      </c>
      <c r="X80">
        <f>HYPERLINK("https://klasma.github.io/Logging_2080/tillsyn/A 14887-2024 tillsynsbegäran.docx", "A 14887-2024")</f>
        <v/>
      </c>
      <c r="Y80">
        <f>HYPERLINK("https://klasma.github.io/Logging_2080/tillsynsmail/A 14887-2024 tillsynsbegäran mail.docx", "A 14887-2024")</f>
        <v/>
      </c>
    </row>
    <row r="81" ht="15" customHeight="1">
      <c r="A81" t="inlineStr">
        <is>
          <t>A 20186-2024</t>
        </is>
      </c>
      <c r="B81" s="1" t="n">
        <v>45434</v>
      </c>
      <c r="C81" s="1" t="n">
        <v>45749</v>
      </c>
      <c r="D81" t="inlineStr">
        <is>
          <t>DALARNAS LÄN</t>
        </is>
      </c>
      <c r="E81" t="inlineStr">
        <is>
          <t>FALUN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20186-2024 artfynd.xlsx", "A 20186-2024")</f>
        <v/>
      </c>
      <c r="T81">
        <f>HYPERLINK("https://klasma.github.io/Logging_2080/kartor/A 20186-2024 karta.png", "A 20186-2024")</f>
        <v/>
      </c>
      <c r="U81">
        <f>HYPERLINK("https://klasma.github.io/Logging_2080/knärot/A 20186-2024 karta knärot.png", "A 20186-2024")</f>
        <v/>
      </c>
      <c r="V81">
        <f>HYPERLINK("https://klasma.github.io/Logging_2080/klagomål/A 20186-2024 FSC-klagomål.docx", "A 20186-2024")</f>
        <v/>
      </c>
      <c r="W81">
        <f>HYPERLINK("https://klasma.github.io/Logging_2080/klagomålsmail/A 20186-2024 FSC-klagomål mail.docx", "A 20186-2024")</f>
        <v/>
      </c>
      <c r="X81">
        <f>HYPERLINK("https://klasma.github.io/Logging_2080/tillsyn/A 20186-2024 tillsynsbegäran.docx", "A 20186-2024")</f>
        <v/>
      </c>
      <c r="Y81">
        <f>HYPERLINK("https://klasma.github.io/Logging_2080/tillsynsmail/A 20186-2024 tillsynsbegäran mail.docx", "A 20186-2024")</f>
        <v/>
      </c>
    </row>
    <row r="82" ht="15" customHeight="1">
      <c r="A82" t="inlineStr">
        <is>
          <t>A 35813-2024</t>
        </is>
      </c>
      <c r="B82" s="1" t="n">
        <v>45532</v>
      </c>
      <c r="C82" s="1" t="n">
        <v>45749</v>
      </c>
      <c r="D82" t="inlineStr">
        <is>
          <t>DALARNAS LÄN</t>
        </is>
      </c>
      <c r="E82" t="inlineStr">
        <is>
          <t>FALUN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35813-2024 artfynd.xlsx", "A 35813-2024")</f>
        <v/>
      </c>
      <c r="T82">
        <f>HYPERLINK("https://klasma.github.io/Logging_2080/kartor/A 35813-2024 karta.png", "A 35813-2024")</f>
        <v/>
      </c>
      <c r="V82">
        <f>HYPERLINK("https://klasma.github.io/Logging_2080/klagomål/A 35813-2024 FSC-klagomål.docx", "A 35813-2024")</f>
        <v/>
      </c>
      <c r="W82">
        <f>HYPERLINK("https://klasma.github.io/Logging_2080/klagomålsmail/A 35813-2024 FSC-klagomål mail.docx", "A 35813-2024")</f>
        <v/>
      </c>
      <c r="X82">
        <f>HYPERLINK("https://klasma.github.io/Logging_2080/tillsyn/A 35813-2024 tillsynsbegäran.docx", "A 35813-2024")</f>
        <v/>
      </c>
      <c r="Y82">
        <f>HYPERLINK("https://klasma.github.io/Logging_2080/tillsynsmail/A 35813-2024 tillsynsbegäran mail.docx", "A 35813-2024")</f>
        <v/>
      </c>
      <c r="Z82">
        <f>HYPERLINK("https://klasma.github.io/Logging_2080/fåglar/A 35813-2024 prioriterade fågelarter.docx", "A 35813-2024")</f>
        <v/>
      </c>
    </row>
    <row r="83" ht="15" customHeight="1">
      <c r="A83" t="inlineStr">
        <is>
          <t>A 50960-2024</t>
        </is>
      </c>
      <c r="B83" s="1" t="n">
        <v>45603</v>
      </c>
      <c r="C83" s="1" t="n">
        <v>45749</v>
      </c>
      <c r="D83" t="inlineStr">
        <is>
          <t>DALARNAS LÄN</t>
        </is>
      </c>
      <c r="E83" t="inlineStr">
        <is>
          <t>FALUN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50960-2024 artfynd.xlsx", "A 50960-2024")</f>
        <v/>
      </c>
      <c r="T83">
        <f>HYPERLINK("https://klasma.github.io/Logging_2080/kartor/A 50960-2024 karta.png", "A 50960-2024")</f>
        <v/>
      </c>
      <c r="V83">
        <f>HYPERLINK("https://klasma.github.io/Logging_2080/klagomål/A 50960-2024 FSC-klagomål.docx", "A 50960-2024")</f>
        <v/>
      </c>
      <c r="W83">
        <f>HYPERLINK("https://klasma.github.io/Logging_2080/klagomålsmail/A 50960-2024 FSC-klagomål mail.docx", "A 50960-2024")</f>
        <v/>
      </c>
      <c r="X83">
        <f>HYPERLINK("https://klasma.github.io/Logging_2080/tillsyn/A 50960-2024 tillsynsbegäran.docx", "A 50960-2024")</f>
        <v/>
      </c>
      <c r="Y83">
        <f>HYPERLINK("https://klasma.github.io/Logging_2080/tillsynsmail/A 50960-2024 tillsynsbegäran mail.docx", "A 50960-2024")</f>
        <v/>
      </c>
      <c r="Z83">
        <f>HYPERLINK("https://klasma.github.io/Logging_2080/fåglar/A 50960-2024 prioriterade fågelarter.docx", "A 50960-2024")</f>
        <v/>
      </c>
    </row>
    <row r="84" ht="15" customHeight="1">
      <c r="A84" t="inlineStr">
        <is>
          <t>A 54330-2024</t>
        </is>
      </c>
      <c r="B84" s="1" t="n">
        <v>45617</v>
      </c>
      <c r="C84" s="1" t="n">
        <v>45749</v>
      </c>
      <c r="D84" t="inlineStr">
        <is>
          <t>DALARNAS LÄN</t>
        </is>
      </c>
      <c r="E84" t="inlineStr">
        <is>
          <t>FALUN</t>
        </is>
      </c>
      <c r="G84" t="n">
        <v>4.3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54330-2024 artfynd.xlsx", "A 54330-2024")</f>
        <v/>
      </c>
      <c r="T84">
        <f>HYPERLINK("https://klasma.github.io/Logging_2080/kartor/A 54330-2024 karta.png", "A 54330-2024")</f>
        <v/>
      </c>
      <c r="U84">
        <f>HYPERLINK("https://klasma.github.io/Logging_2080/knärot/A 54330-2024 karta knärot.png", "A 54330-2024")</f>
        <v/>
      </c>
      <c r="V84">
        <f>HYPERLINK("https://klasma.github.io/Logging_2080/klagomål/A 54330-2024 FSC-klagomål.docx", "A 54330-2024")</f>
        <v/>
      </c>
      <c r="W84">
        <f>HYPERLINK("https://klasma.github.io/Logging_2080/klagomålsmail/A 54330-2024 FSC-klagomål mail.docx", "A 54330-2024")</f>
        <v/>
      </c>
      <c r="X84">
        <f>HYPERLINK("https://klasma.github.io/Logging_2080/tillsyn/A 54330-2024 tillsynsbegäran.docx", "A 54330-2024")</f>
        <v/>
      </c>
      <c r="Y84">
        <f>HYPERLINK("https://klasma.github.io/Logging_2080/tillsynsmail/A 54330-2024 tillsynsbegäran mail.docx", "A 54330-2024")</f>
        <v/>
      </c>
    </row>
    <row r="85" ht="15" customHeight="1">
      <c r="A85" t="inlineStr">
        <is>
          <t>A 56138-2024</t>
        </is>
      </c>
      <c r="B85" s="1" t="n">
        <v>45624</v>
      </c>
      <c r="C85" s="1" t="n">
        <v>45749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61661-2024</t>
        </is>
      </c>
      <c r="B86" s="1" t="n">
        <v>45646</v>
      </c>
      <c r="C86" s="1" t="n">
        <v>45749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HYPERLINK("https://klasma.github.io/Logging_2080/artfynd/A 61661-2024 artfynd.xlsx", "A 61661-2024")</f>
        <v/>
      </c>
      <c r="T86">
        <f>HYPERLINK("https://klasma.github.io/Logging_2080/kartor/A 61661-2024 karta.png", "A 61661-2024")</f>
        <v/>
      </c>
      <c r="V86">
        <f>HYPERLINK("https://klasma.github.io/Logging_2080/klagomål/A 61661-2024 FSC-klagomål.docx", "A 61661-2024")</f>
        <v/>
      </c>
      <c r="W86">
        <f>HYPERLINK("https://klasma.github.io/Logging_2080/klagomålsmail/A 61661-2024 FSC-klagomål mail.docx", "A 61661-2024")</f>
        <v/>
      </c>
      <c r="X86">
        <f>HYPERLINK("https://klasma.github.io/Logging_2080/tillsyn/A 61661-2024 tillsynsbegäran.docx", "A 61661-2024")</f>
        <v/>
      </c>
      <c r="Y86">
        <f>HYPERLINK("https://klasma.github.io/Logging_2080/tillsynsmail/A 61661-2024 tillsynsbegäran mail.docx", "A 61661-2024")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45749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HYPERLINK("https://klasma.github.io/Logging_202080/artfynd/A 13589-2025 artfynd.xlsx", "A 13589-2025")</f>
        <v/>
      </c>
      <c r="T87">
        <f>HYPERLINK("https://klasma.github.io/Logging_202080/kartor/A 13589-2025 karta.png", "A 13589-2025")</f>
        <v/>
      </c>
      <c r="U87">
        <f>HYPERLINK("https://klasma.github.io/Logging_202080/knärot/A 13589-2025 karta knärot.png", "A 13589-2025")</f>
        <v/>
      </c>
      <c r="V87">
        <f>HYPERLINK("https://klasma.github.io/Logging_202080/klagomål/A 13589-2025 FSC-klagomål.docx", "A 13589-2025")</f>
        <v/>
      </c>
      <c r="W87">
        <f>HYPERLINK("https://klasma.github.io/Logging_202080/klagomålsmail/A 13589-2025 FSC-klagomål mail.docx", "A 13589-2025")</f>
        <v/>
      </c>
      <c r="X87">
        <f>HYPERLINK("https://klasma.github.io/Logging_202080/tillsyn/A 13589-2025 tillsynsbegäran.docx", "A 13589-2025")</f>
        <v/>
      </c>
      <c r="Y87">
        <f>HYPERLINK("https://klasma.github.io/Logging_202080/tillsynsmail/A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45749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45749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45749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45749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45749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45749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45749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45749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45749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45749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45749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45749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45749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45749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45749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45749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45749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45749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45749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45749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45749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45749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45749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45749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45749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45749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45749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45749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45749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45749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45749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45749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45749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45749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45749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45749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45749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45749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45749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45749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45749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45749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45749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45749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45749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45749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45749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45749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45749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45749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45749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45749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45749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45749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45749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45749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45749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45749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45749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45749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45749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45749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45749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45749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45749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45749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45749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45749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45749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45749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45749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45749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45749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45749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45749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45749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45749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45749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45749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45749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45749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45749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45749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45749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45749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45749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45749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45749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45749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45749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45749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45749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45749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45749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45749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45749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45749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45749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45749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45749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45749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45749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45749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45749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45749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45749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45749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45749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45749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45749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45749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45749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45749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45749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45749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45749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45749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45749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45749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45749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45749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45749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45749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45749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45749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45749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45749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45749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45749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45749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45749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45749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45749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45749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45749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45749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45749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45749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45749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45749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45749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45749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45749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45749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45749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45749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45749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45749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45749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45749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45749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45749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45749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45749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45749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45749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45749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45749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45749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45749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45749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45749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45749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45749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45749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45749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45749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45749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45749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45749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45749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45749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45749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45749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45749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45749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45749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45749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45749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45749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45749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45749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45749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45749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45749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45749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45749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45749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45749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45749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45749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45749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45749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45749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45749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45749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45749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45749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45749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45749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45749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45749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45749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45749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45749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45749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45749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45749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45749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45749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45749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45749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45749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45749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45749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45749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45749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45749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45749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45749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45749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45749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45749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45749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45749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45749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45749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45749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45749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45749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45749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45749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45749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45749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45749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45749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45749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45749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45749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45749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45749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45749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45749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45749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45749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45749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45749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45749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45749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45749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45749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45749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45749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45749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45749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45749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45749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45749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45749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45749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45749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45749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45749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45749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45749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45749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45749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45749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45749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45749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45749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45749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45749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45749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45749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45749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45749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45749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45749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45749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45749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45749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45749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45749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45749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45749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45749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45749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45749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45749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45749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45749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45749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45749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45749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45749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45749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45749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45749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45749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45749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45749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45749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45749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45749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45749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45749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45749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45749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45749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45749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45749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45749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45749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45749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45749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45749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45749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45749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45749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45749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45749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45749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45749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45749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45749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45749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45749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45749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45749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45749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45749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45749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45749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45749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45749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45749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45749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45749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45749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45749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45749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45749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45749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45749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45749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45749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45749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45749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45749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45749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45749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45749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45749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45749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45749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45749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45749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45749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45749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45749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45749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45749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45749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45749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45749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45749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45749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45749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45749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45749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45749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45749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45749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45749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45749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45749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45749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45749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45749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45749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45749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45749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45749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45749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45749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45749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45749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45749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45749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45749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45749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45749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45749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45749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45749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45749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45749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45749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45749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45749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45749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45749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45749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45749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45749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45749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45749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45749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45749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45749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45749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45749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45749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45749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45749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45749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45749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45749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45749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45749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45749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45749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45749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45749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45749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45749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45749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45749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45749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45749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45749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45749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45749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45749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45749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45749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45749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45749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45749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45749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45749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45749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45749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45749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45749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45749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45749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45749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45749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45749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45749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45749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45749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45749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45749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45749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45749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45749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45749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45749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45749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45749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45749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45749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45749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45749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45749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45749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45749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45749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45749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45749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45749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45749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45749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45749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45749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45749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45749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45749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45749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45749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45749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45749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45749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45749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45749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45749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45749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45749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45749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45749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45749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45749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45749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45749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45749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45749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45749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45749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45749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45749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45749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45749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45749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45749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45749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45749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45749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45749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45749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45749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45749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45749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45749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45749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45749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45749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45749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45749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45749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45749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45749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45749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45749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45749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45749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45749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45749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45749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45749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45749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45749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45749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45749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45749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45749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45749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45749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45749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45749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45749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45749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45749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45749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45749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45749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45749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45749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45749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45749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45749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45749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45749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45749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45749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45749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45749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45749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45749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45749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45749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45749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45749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45749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45749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45749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45749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45749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45749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45749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45749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45749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45749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45749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45749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45749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45749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45749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45749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45749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45749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45749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45749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45749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45749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45749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45749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45749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45749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45749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45749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45749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45749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45749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45749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45749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45749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45749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45749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45749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45749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45749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45749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45749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45749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45749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45749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45749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45749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45749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45749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45749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45749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45749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45749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45749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45749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45749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45749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45749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45749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45749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45749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45749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45749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45749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45749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45749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45749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45749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45749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45749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45749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45749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45749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45749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45749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45749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45749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45749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45749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45749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45749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45749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45749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45749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45749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45749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45749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45749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45749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45749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45749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45749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45749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45749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45749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45749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45749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45749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45749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45749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45749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45749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45749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45749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45749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45749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45749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45749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45749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45749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45749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45749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45749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45749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45749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45749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45749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45749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45749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45749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45749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45749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45749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45749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45749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45749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45749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45749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45749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45749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45749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45749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45749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45749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45749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45749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45749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45749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45749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45749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45749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45749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45749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45749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45749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45749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45749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45749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45749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45749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45749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45749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45749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45749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45749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45749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45749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45749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45749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45749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45749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45749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45749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45749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45749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45749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45749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45749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45749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45749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45749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45749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45749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45749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45749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45749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45749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45749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45749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45749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45749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45749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45749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45749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45749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45749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45749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45749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45749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45749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45749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45749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45749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45749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45749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45749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45749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45749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45749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45749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45749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45749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45749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45749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45749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45749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45749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45749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45749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45749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45749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45749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45749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45749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45749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45749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45749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45749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45749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45749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45749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45749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45749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45749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45749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45749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45749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45749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45749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45749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45749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45749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45749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45749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45749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45749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45749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45749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45749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45749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45749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45749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45749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45749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45749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45749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45749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45749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45749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45749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45749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45749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45749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45749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45749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45749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45749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45749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45749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45749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45749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45749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45749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45749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45749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45749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45749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45749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45749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45749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45749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45749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45749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45749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45749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45749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45749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45749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45749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45749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45749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45749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45749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45749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45749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45749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45749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45749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45749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45749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45749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45749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45749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45749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45749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45749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45749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45749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45749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45749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45749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45749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45749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45749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45749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45749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45749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45749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45749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45749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45749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45749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45749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45749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45749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45749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45749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45749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45749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45749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45749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45749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45749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45749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45749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45749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45749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45749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45749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45749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45749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45749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45749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45749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45749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45749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45749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45749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45749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45749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45749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45749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45749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45749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45749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45749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45749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45749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45749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45749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45749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45749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45749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45749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45749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45749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45749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45749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45749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45749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45749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45749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45749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45749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45749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45749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45749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45749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45749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45749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45749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45749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45749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45749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45749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45749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45749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45749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45749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45749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45749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45749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45749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45749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45749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45749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45749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45749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45749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45749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45749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45749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45749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45749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45749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45749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45749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45749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45749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45749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45749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45749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45749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45749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45749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45749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45749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45749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45749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45749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45749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45749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45749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45749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45749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45749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45749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45749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45749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45749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45749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45749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45749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45749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45749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45749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45749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45749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45749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45749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45749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45749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45749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45749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45749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45749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45749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45749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45749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45749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45749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45749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45749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45749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45749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45749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45749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45749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45749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45749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45749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45749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45749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45749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45749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45749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45749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45749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45749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45749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45749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45749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45749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45749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45749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45749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45749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45749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45749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45749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45749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45749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45749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45749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45749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45749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45749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45749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45749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45749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45749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45749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45749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45749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45749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45749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45749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45749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45749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45749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45749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45749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45749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45749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45749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45749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45749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45749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45749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45749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45749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45749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45749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45749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45749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45749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45749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45749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45749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45749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45749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45749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45749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45749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45749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45749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45749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45749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45749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45749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45749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45749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45749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45749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45749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45749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45749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45749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45749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45749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45749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45749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45749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45749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45749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45749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45749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45749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45749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45749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45749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45749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45749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45749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45749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45749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45749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45749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45749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45749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45749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45749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45749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45749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45749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45749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45749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45749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45749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45749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45749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45749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45749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45749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45749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45749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45749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45749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45749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45749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45749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45749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45749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45749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45749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45749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45749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11777-2025</t>
        </is>
      </c>
      <c r="B1542" s="1" t="n">
        <v>45727</v>
      </c>
      <c r="C1542" s="1" t="n">
        <v>45749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HYPERLINK("https://klasma.github.io/Logging_202080/knärot/A 11777-2025 karta knärot.png", "A 11777-2025")</f>
        <v/>
      </c>
      <c r="V1542">
        <f>HYPERLINK("https://klasma.github.io/Logging_202080/klagomål/A 11777-2025 FSC-klagomål.docx", "A 11777-2025")</f>
        <v/>
      </c>
      <c r="W1542">
        <f>HYPERLINK("https://klasma.github.io/Logging_202080/klagomålsmail/A 11777-2025 FSC-klagomål mail.docx", "A 11777-2025")</f>
        <v/>
      </c>
      <c r="X1542">
        <f>HYPERLINK("https://klasma.github.io/Logging_202080/tillsyn/A 11777-2025 tillsynsbegäran.docx", "A 11777-2025")</f>
        <v/>
      </c>
      <c r="Y1542">
        <f>HYPERLINK("https://klasma.github.io/Logging_202080/tillsynsmail/A 11777-2025 tillsynsbegäran mail.docx", "A 11777-2025")</f>
        <v/>
      </c>
    </row>
    <row r="1543" ht="15" customHeight="1">
      <c r="A1543" t="inlineStr">
        <is>
          <t>A 11748-2025</t>
        </is>
      </c>
      <c r="B1543" s="1" t="n">
        <v>45727</v>
      </c>
      <c r="C1543" s="1" t="n">
        <v>45749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45749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12847-2025</t>
        </is>
      </c>
      <c r="B1545" s="1" t="n">
        <v>45733</v>
      </c>
      <c r="C1545" s="1" t="n">
        <v>45749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12733-2025</t>
        </is>
      </c>
      <c r="B1546" s="1" t="n">
        <v>45733</v>
      </c>
      <c r="C1546" s="1" t="n">
        <v>45749</v>
      </c>
      <c r="D1546" t="inlineStr">
        <is>
          <t>DALARNAS LÄN</t>
        </is>
      </c>
      <c r="E1546" t="inlineStr">
        <is>
          <t>FALUN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45749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45749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45749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45749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45749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45749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45749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45749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14540-2025</t>
        </is>
      </c>
      <c r="B1555" s="1" t="n">
        <v>45741</v>
      </c>
      <c r="C1555" s="1" t="n">
        <v>45749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14501-2025</t>
        </is>
      </c>
      <c r="B1556" s="1" t="n">
        <v>45741</v>
      </c>
      <c r="C1556" s="1" t="n">
        <v>45749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7.6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45749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45749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45749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45749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45749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45749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45749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45749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15119-2025</t>
        </is>
      </c>
      <c r="B1565" s="1" t="n">
        <v>45744</v>
      </c>
      <c r="C1565" s="1" t="n">
        <v>45749</v>
      </c>
      <c r="D1565" t="inlineStr">
        <is>
          <t>DALARNAS LÄN</t>
        </is>
      </c>
      <c r="E1565" t="inlineStr">
        <is>
          <t>FALUN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15121-2025</t>
        </is>
      </c>
      <c r="B1566" s="1" t="n">
        <v>45744</v>
      </c>
      <c r="C1566" s="1" t="n">
        <v>45749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45749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45749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15104-2025</t>
        </is>
      </c>
      <c r="B1569" s="1" t="n">
        <v>45744</v>
      </c>
      <c r="C1569" s="1" t="n">
        <v>45749</v>
      </c>
      <c r="D1569" t="inlineStr">
        <is>
          <t>DALARNAS LÄN</t>
        </is>
      </c>
      <c r="E1569" t="inlineStr">
        <is>
          <t>FALUN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15106-2025</t>
        </is>
      </c>
      <c r="B1570" s="1" t="n">
        <v>45744</v>
      </c>
      <c r="C1570" s="1" t="n">
        <v>45749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45749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45749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45749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45749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45749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15784-2025</t>
        </is>
      </c>
      <c r="B1576" s="1" t="n">
        <v>45748</v>
      </c>
      <c r="C1576" s="1" t="n">
        <v>45749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2025-04-02T17:04:49Z</dcterms:created>
  <dcterms:modified xmlns:dcterms="http://purl.org/dc/terms/" xmlns:xsi="http://www.w3.org/2001/XMLSchema-instance" xsi:type="dcterms:W3CDTF">2025-04-02T17:04:50Z</dcterms:modified>
</cp:coreProperties>
</file>