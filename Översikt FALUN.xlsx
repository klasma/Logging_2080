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46222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46222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46222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46222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HYPERLINK("https://klasma.github.io/Logging_2080/knärot/A 28385-2025 karta knärot.png", "A 28385-2025")</f>
        <v/>
      </c>
      <c r="Y6">
        <f>HYPERLINK("https://klasma.github.io/Logging_2080/klagomål/A 28385-2025 FSC-klagomål.docx", "A 28385-2025")</f>
        <v/>
      </c>
      <c r="Z6">
        <f>HYPERLINK("https://klasma.github.io/Logging_2080/klagomålsmail/A 28385-2025 FSC-klagomål mail.docx", "A 28385-2025")</f>
        <v/>
      </c>
      <c r="AA6">
        <f>HYPERLINK("https://klasma.github.io/Logging_2080/tillsyn/A 28385-2025 tillsynsbegäran.docx", "A 28385-2025")</f>
        <v/>
      </c>
      <c r="AB6">
        <f>HYPERLINK("https://klasma.github.io/Logging_2080/tillsynsmail/A 28385-2025 tillsynsbegäran mail.docx", "A 28385-2025")</f>
        <v/>
      </c>
      <c r="AC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46222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HYPERLINK("https://klasma.github.io/Logging_2080/knärot/A 4468-2026 karta knärot.png", "A 4468-2026")</f>
        <v/>
      </c>
      <c r="Y7">
        <f>HYPERLINK("https://klasma.github.io/Logging_2080/klagomål/A 4468-2026 FSC-klagomål.docx", "A 4468-2026")</f>
        <v/>
      </c>
      <c r="Z7">
        <f>HYPERLINK("https://klasma.github.io/Logging_2080/klagomålsmail/A 4468-2026 FSC-klagomål mail.docx", "A 4468-2026")</f>
        <v/>
      </c>
      <c r="AA7">
        <f>HYPERLINK("https://klasma.github.io/Logging_2080/tillsyn/A 4468-2026 tillsynsbegäran.docx", "A 4468-2026")</f>
        <v/>
      </c>
      <c r="AB7">
        <f>HYPERLINK("https://klasma.github.io/Logging_2080/tillsynsmail/A 4468-2026 tillsynsbegäran mail.docx", "A 4468-2026")</f>
        <v/>
      </c>
      <c r="AC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46222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Y8">
        <f>HYPERLINK("https://klasma.github.io/Logging_2080/klagomål/A 38847-2022 FSC-klagomål.docx", "A 38847-2022")</f>
        <v/>
      </c>
      <c r="Z8">
        <f>HYPERLINK("https://klasma.github.io/Logging_2080/klagomålsmail/A 38847-2022 FSC-klagomål mail.docx", "A 38847-2022")</f>
        <v/>
      </c>
      <c r="AA8">
        <f>HYPERLINK("https://klasma.github.io/Logging_2080/tillsyn/A 38847-2022 tillsynsbegäran.docx", "A 38847-2022")</f>
        <v/>
      </c>
      <c r="AB8">
        <f>HYPERLINK("https://klasma.github.io/Logging_2080/tillsynsmail/A 38847-2022 tillsynsbegäran mail.docx", "A 38847-2022")</f>
        <v/>
      </c>
      <c r="AC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46222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46222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46222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46222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s="2" t="inlineStr">
        <is>
          <t>Knärot
Rosenticka
Sparvuggla
Talltita
Tibast
Spillkråka</t>
        </is>
      </c>
      <c r="V19">
        <f>HYPERLINK("https://klasma.github.io/Logging_2080/artfynd/A 61535-2022 artfynd.xlsx", "A 61535-2022")</f>
        <v/>
      </c>
      <c r="W19">
        <f>HYPERLINK("https://klasma.github.io/Logging_2080/kartor/A 61535-2022 karta.png", "A 61535-2022")</f>
        <v/>
      </c>
      <c r="X19">
        <f>HYPERLINK("https://klasma.github.io/Logging_2080/knärot/A 61535-2022 karta knärot.png", "A 61535-2022")</f>
        <v/>
      </c>
      <c r="Y19">
        <f>HYPERLINK("https://klasma.github.io/Logging_2080/klagomål/A 61535-2022 FSC-klagomål.docx", "A 61535-2022")</f>
        <v/>
      </c>
      <c r="Z19">
        <f>HYPERLINK("https://klasma.github.io/Logging_2080/klagomålsmail/A 61535-2022 FSC-klagomål mail.docx", "A 61535-2022")</f>
        <v/>
      </c>
      <c r="AA19">
        <f>HYPERLINK("https://klasma.github.io/Logging_2080/tillsyn/A 61535-2022 tillsynsbegäran.docx", "A 61535-2022")</f>
        <v/>
      </c>
      <c r="AB19">
        <f>HYPERLINK("https://klasma.github.io/Logging_2080/tillsynsmail/A 61535-2022 tillsynsbegäran mail.docx", "A 61535-2022")</f>
        <v/>
      </c>
      <c r="AC19">
        <f>HYPERLINK("https://klasma.github.io/Logging_2080/fåglar/A 61535-2022 prioriterade fågelarter.docx", "A 61535-2022")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46222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s="2" t="inlineStr">
        <is>
          <t>Dropptaggsvamp
Talltita
Bollvitmossa
Mindre märgborre
Spillkråka
Kungsfågel</t>
        </is>
      </c>
      <c r="V20">
        <f>HYPERLINK("https://klasma.github.io/Logging_2080/artfynd/A 3383-2026 artfynd.xlsx", "A 3383-2026")</f>
        <v/>
      </c>
      <c r="W20">
        <f>HYPERLINK("https://klasma.github.io/Logging_2080/kartor/A 3383-2026 karta.png", "A 3383-2026")</f>
        <v/>
      </c>
      <c r="Y20">
        <f>HYPERLINK("https://klasma.github.io/Logging_2080/klagomål/A 3383-2026 FSC-klagomål.docx", "A 3383-2026")</f>
        <v/>
      </c>
      <c r="Z20">
        <f>HYPERLINK("https://klasma.github.io/Logging_2080/klagomålsmail/A 3383-2026 FSC-klagomål mail.docx", "A 3383-2026")</f>
        <v/>
      </c>
      <c r="AA20">
        <f>HYPERLINK("https://klasma.github.io/Logging_2080/tillsyn/A 3383-2026 tillsynsbegäran.docx", "A 3383-2026")</f>
        <v/>
      </c>
      <c r="AB20">
        <f>HYPERLINK("https://klasma.github.io/Logging_2080/tillsynsmail/A 3383-2026 tillsynsbegäran mail.docx", "A 3383-2026")</f>
        <v/>
      </c>
      <c r="AC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46222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s="2" t="inlineStr">
        <is>
          <t>Garnlav
Knärot
Rynkskinn
Ullticka
Grönpyrola
Revlummer</t>
        </is>
      </c>
      <c r="V21">
        <f>HYPERLINK("https://klasma.github.io/Logging_2080/artfynd/A 48476-2024 artfynd.xlsx", "A 48476-2024")</f>
        <v/>
      </c>
      <c r="W21">
        <f>HYPERLINK("https://klasma.github.io/Logging_2080/kartor/A 48476-2024 karta.png", "A 48476-2024")</f>
        <v/>
      </c>
      <c r="X21">
        <f>HYPERLINK("https://klasma.github.io/Logging_2080/knärot/A 48476-2024 karta knärot.png", "A 48476-2024")</f>
        <v/>
      </c>
      <c r="Y21">
        <f>HYPERLINK("https://klasma.github.io/Logging_2080/klagomål/A 48476-2024 FSC-klagomål.docx", "A 48476-2024")</f>
        <v/>
      </c>
      <c r="Z21">
        <f>HYPERLINK("https://klasma.github.io/Logging_2080/klagomålsmail/A 48476-2024 FSC-klagomål mail.docx", "A 48476-2024")</f>
        <v/>
      </c>
      <c r="AA21">
        <f>HYPERLINK("https://klasma.github.io/Logging_2080/tillsyn/A 48476-2024 tillsynsbegäran.docx", "A 48476-2024")</f>
        <v/>
      </c>
      <c r="AB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46222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s="2" t="inlineStr">
        <is>
          <t>Garnlav
Kungsörn
Mindre märgborre
Järpe
Spillkråka
Tjäder</t>
        </is>
      </c>
      <c r="V22">
        <f>HYPERLINK("https://klasma.github.io/Logging_2080/artfynd/A 14308-2026 artfynd.xlsx", "A 14308-2026")</f>
        <v/>
      </c>
      <c r="W22">
        <f>HYPERLINK("https://klasma.github.io/Logging_2080/kartor/A 14308-2026 karta.png", "A 14308-2026")</f>
        <v/>
      </c>
      <c r="Y22">
        <f>HYPERLINK("https://klasma.github.io/Logging_2080/klagomål/A 14308-2026 FSC-klagomål.docx", "A 14308-2026")</f>
        <v/>
      </c>
      <c r="Z22">
        <f>HYPERLINK("https://klasma.github.io/Logging_2080/klagomålsmail/A 14308-2026 FSC-klagomål mail.docx", "A 14308-2026")</f>
        <v/>
      </c>
      <c r="AA22">
        <f>HYPERLINK("https://klasma.github.io/Logging_2080/tillsyn/A 14308-2026 tillsynsbegäran.docx", "A 14308-2026")</f>
        <v/>
      </c>
      <c r="AB22">
        <f>HYPERLINK("https://klasma.github.io/Logging_2080/tillsynsmail/A 14308-2026 tillsynsbegäran mail.docx", "A 14308-2026")</f>
        <v/>
      </c>
      <c r="AC22">
        <f>HYPERLINK("https://klasma.github.io/Logging_2080/fåglar/A 14308-2026 prioriterade fågelarter.docx", "A 14308-2026")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46222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s="2" t="inlineStr">
        <is>
          <t>Stjärntagging
Tretåig hackspett
Nästlav
Linnea
Spillkråka
Grönsiska</t>
        </is>
      </c>
      <c r="V23">
        <f>HYPERLINK("https://klasma.github.io/Logging_2080/artfynd/A 1364-2026 artfynd.xlsx", "A 1364-2026")</f>
        <v/>
      </c>
      <c r="W23">
        <f>HYPERLINK("https://klasma.github.io/Logging_2080/kartor/A 1364-2026 karta.png", "A 1364-2026")</f>
        <v/>
      </c>
      <c r="Y23">
        <f>HYPERLINK("https://klasma.github.io/Logging_2080/klagomål/A 1364-2026 FSC-klagomål.docx", "A 1364-2026")</f>
        <v/>
      </c>
      <c r="Z23">
        <f>HYPERLINK("https://klasma.github.io/Logging_2080/klagomålsmail/A 1364-2026 FSC-klagomål mail.docx", "A 1364-2026")</f>
        <v/>
      </c>
      <c r="AA23">
        <f>HYPERLINK("https://klasma.github.io/Logging_2080/tillsyn/A 1364-2026 tillsynsbegäran.docx", "A 1364-2026")</f>
        <v/>
      </c>
      <c r="AB23">
        <f>HYPERLINK("https://klasma.github.io/Logging_2080/tillsynsmail/A 1364-2026 tillsynsbegäran mail.docx", "A 1364-2026")</f>
        <v/>
      </c>
      <c r="AC23">
        <f>HYPERLINK("https://klasma.github.io/Logging_2080/fåglar/A 1364-2026 prioriterade fågelarter.docx", "A 1364-2026")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s="2" t="inlineStr">
        <is>
          <t>Knärot
Gultoppig fingersvamp
Grönpyrola
Plattlummer
Mattlummer
Spillkråka</t>
        </is>
      </c>
      <c r="V24">
        <f>HYPERLINK("https://klasma.github.io/Logging_2080/artfynd/A 31622-2023 artfynd.xlsx", "A 31622-2023")</f>
        <v/>
      </c>
      <c r="W24">
        <f>HYPERLINK("https://klasma.github.io/Logging_2080/kartor/A 31622-2023 karta.png", "A 31622-2023")</f>
        <v/>
      </c>
      <c r="X24">
        <f>HYPERLINK("https://klasma.github.io/Logging_2080/knärot/A 31622-2023 karta knärot.png", "A 31622-2023")</f>
        <v/>
      </c>
      <c r="Y24">
        <f>HYPERLINK("https://klasma.github.io/Logging_2080/klagomål/A 31622-2023 FSC-klagomål.docx", "A 31622-2023")</f>
        <v/>
      </c>
      <c r="Z24">
        <f>HYPERLINK("https://klasma.github.io/Logging_2080/klagomålsmail/A 31622-2023 FSC-klagomål mail.docx", "A 31622-2023")</f>
        <v/>
      </c>
      <c r="AA24">
        <f>HYPERLINK("https://klasma.github.io/Logging_2080/tillsyn/A 31622-2023 tillsynsbegäran.docx", "A 31622-2023")</f>
        <v/>
      </c>
      <c r="AB24">
        <f>HYPERLINK("https://klasma.github.io/Logging_2080/tillsynsmail/A 31622-2023 tillsynsbegäran mail.docx", "A 31622-2023")</f>
        <v/>
      </c>
      <c r="AC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46222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s="2" t="inlineStr">
        <is>
          <t>Tallticka
Bronshjon
Gullgröppa
Mindre märgborre
Tjäder
Revlummer</t>
        </is>
      </c>
      <c r="V25">
        <f>HYPERLINK("https://klasma.github.io/Logging_2080/artfynd/A 5415-2024 artfynd.xlsx", "A 5415-2024")</f>
        <v/>
      </c>
      <c r="W25">
        <f>HYPERLINK("https://klasma.github.io/Logging_2080/kartor/A 5415-2024 karta.png", "A 5415-2024")</f>
        <v/>
      </c>
      <c r="Y25">
        <f>HYPERLINK("https://klasma.github.io/Logging_2080/klagomål/A 5415-2024 FSC-klagomål.docx", "A 5415-2024")</f>
        <v/>
      </c>
      <c r="Z25">
        <f>HYPERLINK("https://klasma.github.io/Logging_2080/klagomålsmail/A 5415-2024 FSC-klagomål mail.docx", "A 5415-2024")</f>
        <v/>
      </c>
      <c r="AA25">
        <f>HYPERLINK("https://klasma.github.io/Logging_2080/tillsyn/A 5415-2024 tillsynsbegäran.docx", "A 5415-2024")</f>
        <v/>
      </c>
      <c r="AB25">
        <f>HYPERLINK("https://klasma.github.io/Logging_2080/tillsynsmail/A 5415-2024 tillsynsbegäran mail.docx", "A 5415-2024")</f>
        <v/>
      </c>
      <c r="AC25">
        <f>HYPERLINK("https://klasma.github.io/Logging_2080/fåglar/A 5415-2024 prioriterade fågelarter.docx", "A 5415-2024")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46222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s="2" t="inlineStr">
        <is>
          <t>Garnlav
Motaggsvamp
Mörk kolflarnlav
Vedskivlav
Fläcknycklar
Revlummer</t>
        </is>
      </c>
      <c r="V26">
        <f>HYPERLINK("https://klasma.github.io/Logging_2080/artfynd/A 23023-2026 artfynd.xlsx", "A 23023-2026")</f>
        <v/>
      </c>
      <c r="W26">
        <f>HYPERLINK("https://klasma.github.io/Logging_2080/kartor/A 23023-2026 karta.png", "A 23023-2026")</f>
        <v/>
      </c>
      <c r="Y26">
        <f>HYPERLINK("https://klasma.github.io/Logging_2080/klagomål/A 23023-2026 FSC-klagomål.docx", "A 23023-2026")</f>
        <v/>
      </c>
      <c r="Z26">
        <f>HYPERLINK("https://klasma.github.io/Logging_2080/klagomålsmail/A 23023-2026 FSC-klagomål mail.docx", "A 23023-2026")</f>
        <v/>
      </c>
      <c r="AA26">
        <f>HYPERLINK("https://klasma.github.io/Logging_2080/tillsyn/A 23023-2026 tillsynsbegäran.docx", "A 23023-2026")</f>
        <v/>
      </c>
      <c r="AB26">
        <f>HYPERLINK("https://klasma.github.io/Logging_2080/tillsynsmail/A 23023-2026 tillsynsbegäran mail.docx", "A 23023-2026")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46222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s="2" t="inlineStr">
        <is>
          <t>Garnlav
Kattfotslav
Skuggblåslav
Violettgrå tagellav
Rödgul trumpetsvamp
Skinnlav</t>
        </is>
      </c>
      <c r="V27">
        <f>HYPERLINK("https://klasma.github.io/Logging_2080/artfynd/A 3204-2024 artfynd.xlsx", "A 3204-2024")</f>
        <v/>
      </c>
      <c r="W27">
        <f>HYPERLINK("https://klasma.github.io/Logging_2080/kartor/A 3204-2024 karta.png", "A 3204-2024")</f>
        <v/>
      </c>
      <c r="Y27">
        <f>HYPERLINK("https://klasma.github.io/Logging_2080/klagomål/A 3204-2024 FSC-klagomål.docx", "A 3204-2024")</f>
        <v/>
      </c>
      <c r="Z27">
        <f>HYPERLINK("https://klasma.github.io/Logging_2080/klagomålsmail/A 3204-2024 FSC-klagomål mail.docx", "A 3204-2024")</f>
        <v/>
      </c>
      <c r="AA27">
        <f>HYPERLINK("https://klasma.github.io/Logging_2080/tillsyn/A 3204-2024 tillsynsbegäran.docx", "A 3204-2024")</f>
        <v/>
      </c>
      <c r="AB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46222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Y28">
        <f>HYPERLINK("https://klasma.github.io/Logging_2080/klagomål/A 5462-2024 FSC-klagomål.docx", "A 5462-2024")</f>
        <v/>
      </c>
      <c r="Z28">
        <f>HYPERLINK("https://klasma.github.io/Logging_2080/klagomålsmail/A 5462-2024 FSC-klagomål mail.docx", "A 5462-2024")</f>
        <v/>
      </c>
      <c r="AA28">
        <f>HYPERLINK("https://klasma.github.io/Logging_2080/tillsyn/A 5462-2024 tillsynsbegäran.docx", "A 5462-2024")</f>
        <v/>
      </c>
      <c r="AB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46222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46222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s="2" t="inlineStr">
        <is>
          <t>Garnlav
Knärot
Dropptaggsvamp
Spillkråka
Tjäder</t>
        </is>
      </c>
      <c r="V30">
        <f>HYPERLINK("https://klasma.github.io/Logging_2080/artfynd/A 14878-2024 artfynd.xlsx", "A 14878-2024")</f>
        <v/>
      </c>
      <c r="W30">
        <f>HYPERLINK("https://klasma.github.io/Logging_2080/kartor/A 14878-2024 karta.png", "A 14878-2024")</f>
        <v/>
      </c>
      <c r="X30">
        <f>HYPERLINK("https://klasma.github.io/Logging_2080/knärot/A 14878-2024 karta knärot.png", "A 14878-2024")</f>
        <v/>
      </c>
      <c r="Y30">
        <f>HYPERLINK("https://klasma.github.io/Logging_2080/klagomål/A 14878-2024 FSC-klagomål.docx", "A 14878-2024")</f>
        <v/>
      </c>
      <c r="Z30">
        <f>HYPERLINK("https://klasma.github.io/Logging_2080/klagomålsmail/A 14878-2024 FSC-klagomål mail.docx", "A 14878-2024")</f>
        <v/>
      </c>
      <c r="AA30">
        <f>HYPERLINK("https://klasma.github.io/Logging_2080/tillsyn/A 14878-2024 tillsynsbegäran.docx", "A 14878-2024")</f>
        <v/>
      </c>
      <c r="AB30">
        <f>HYPERLINK("https://klasma.github.io/Logging_2080/tillsynsmail/A 14878-2024 tillsynsbegäran mail.docx", "A 14878-2024")</f>
        <v/>
      </c>
      <c r="AC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46222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s="2" t="inlineStr">
        <is>
          <t>Dropptaggsvamp
Talltita
Mindre märgborre
Spillkråka
Tofsmes</t>
        </is>
      </c>
      <c r="V31">
        <f>HYPERLINK("https://klasma.github.io/Logging_2080/artfynd/A 180-2026 artfynd.xlsx", "A 180-2026")</f>
        <v/>
      </c>
      <c r="W31">
        <f>HYPERLINK("https://klasma.github.io/Logging_2080/kartor/A 180-2026 karta.png", "A 180-2026")</f>
        <v/>
      </c>
      <c r="Y31">
        <f>HYPERLINK("https://klasma.github.io/Logging_2080/klagomål/A 180-2026 FSC-klagomål.docx", "A 180-2026")</f>
        <v/>
      </c>
      <c r="Z31">
        <f>HYPERLINK("https://klasma.github.io/Logging_2080/klagomålsmail/A 180-2026 FSC-klagomål mail.docx", "A 180-2026")</f>
        <v/>
      </c>
      <c r="AA31">
        <f>HYPERLINK("https://klasma.github.io/Logging_2080/tillsyn/A 180-2026 tillsynsbegäran.docx", "A 180-2026")</f>
        <v/>
      </c>
      <c r="AB31">
        <f>HYPERLINK("https://klasma.github.io/Logging_2080/tillsynsmail/A 180-2026 tillsynsbegäran mail.docx", "A 180-2026")</f>
        <v/>
      </c>
      <c r="AC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46222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s="2" t="inlineStr">
        <is>
          <t>Mindre märgborre
Blåbär
Linnea
Spillkråka
Kungsfågel</t>
        </is>
      </c>
      <c r="V32">
        <f>HYPERLINK("https://klasma.github.io/Logging_2080/artfynd/A 8756-2024 artfynd.xlsx", "A 8756-2024")</f>
        <v/>
      </c>
      <c r="W32">
        <f>HYPERLINK("https://klasma.github.io/Logging_2080/kartor/A 8756-2024 karta.png", "A 8756-2024")</f>
        <v/>
      </c>
      <c r="Y32">
        <f>HYPERLINK("https://klasma.github.io/Logging_2080/klagomål/A 8756-2024 FSC-klagomål.docx", "A 8756-2024")</f>
        <v/>
      </c>
      <c r="Z32">
        <f>HYPERLINK("https://klasma.github.io/Logging_2080/klagomålsmail/A 8756-2024 FSC-klagomål mail.docx", "A 8756-2024")</f>
        <v/>
      </c>
      <c r="AA32">
        <f>HYPERLINK("https://klasma.github.io/Logging_2080/tillsyn/A 8756-2024 tillsynsbegäran.docx", "A 8756-2024")</f>
        <v/>
      </c>
      <c r="AB32">
        <f>HYPERLINK("https://klasma.github.io/Logging_2080/tillsynsmail/A 8756-2024 tillsynsbegäran mail.docx", "A 8756-2024")</f>
        <v/>
      </c>
      <c r="AC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46222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Y33">
        <f>HYPERLINK("https://klasma.github.io/Logging_2080/klagomål/A 6816-2026 FSC-klagomål.docx", "A 6816-2026")</f>
        <v/>
      </c>
      <c r="Z33">
        <f>HYPERLINK("https://klasma.github.io/Logging_2080/klagomålsmail/A 6816-2026 FSC-klagomål mail.docx", "A 6816-2026")</f>
        <v/>
      </c>
      <c r="AA33">
        <f>HYPERLINK("https://klasma.github.io/Logging_2080/tillsyn/A 6816-2026 tillsynsbegäran.docx", "A 6816-2026")</f>
        <v/>
      </c>
      <c r="AB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46222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Y34">
        <f>HYPERLINK("https://klasma.github.io/Logging_2080/klagomål/A 23458-2026 FSC-klagomål.docx", "A 23458-2026")</f>
        <v/>
      </c>
      <c r="Z34">
        <f>HYPERLINK("https://klasma.github.io/Logging_2080/klagomålsmail/A 23458-2026 FSC-klagomål mail.docx", "A 23458-2026")</f>
        <v/>
      </c>
      <c r="AA34">
        <f>HYPERLINK("https://klasma.github.io/Logging_2080/tillsyn/A 23458-2026 tillsynsbegäran.docx", "A 23458-2026")</f>
        <v/>
      </c>
      <c r="AB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46222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46222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Enkelbeckasin
Gråspett
Spillkråka
Törnskata</t>
        </is>
      </c>
      <c r="V40">
        <f>HYPERLINK("https://klasma.github.io/Logging_2080/artfynd/A 1439-2023 artfynd.xlsx", "A 1439-2023")</f>
        <v/>
      </c>
      <c r="W40">
        <f>HYPERLINK("https://klasma.github.io/Logging_2080/kartor/A 1439-2023 karta.png", "A 1439-2023")</f>
        <v/>
      </c>
      <c r="Y40">
        <f>HYPERLINK("https://klasma.github.io/Logging_2080/klagomål/A 1439-2023 FSC-klagomål.docx", "A 1439-2023")</f>
        <v/>
      </c>
      <c r="Z40">
        <f>HYPERLINK("https://klasma.github.io/Logging_2080/klagomålsmail/A 1439-2023 FSC-klagomål mail.docx", "A 1439-2023")</f>
        <v/>
      </c>
      <c r="AA40">
        <f>HYPERLINK("https://klasma.github.io/Logging_2080/tillsyn/A 1439-2023 tillsynsbegäran.docx", "A 1439-2023")</f>
        <v/>
      </c>
      <c r="AB40">
        <f>HYPERLINK("https://klasma.github.io/Logging_2080/tillsynsmail/A 1439-2023 tillsynsbegäran mail.docx", "A 1439-2023")</f>
        <v/>
      </c>
      <c r="AC40">
        <f>HYPERLINK("https://klasma.github.io/Logging_2080/fåglar/A 1439-2023 prioriterade fågelarter.docx", "A 1439-2023")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46222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s="2" t="inlineStr">
        <is>
          <t>Brun gräsfjäril
Tornseglare
Ladusvala
Svartvit flugsnappare</t>
        </is>
      </c>
      <c r="V41">
        <f>HYPERLINK("https://klasma.github.io/Logging_2080/artfynd/A 54309-2022 artfynd.xlsx", "A 54309-2022")</f>
        <v/>
      </c>
      <c r="W41">
        <f>HYPERLINK("https://klasma.github.io/Logging_2080/kartor/A 54309-2022 karta.png", "A 54309-2022")</f>
        <v/>
      </c>
      <c r="Y41">
        <f>HYPERLINK("https://klasma.github.io/Logging_2080/klagomål/A 54309-2022 FSC-klagomål.docx", "A 54309-2022")</f>
        <v/>
      </c>
      <c r="Z41">
        <f>HYPERLINK("https://klasma.github.io/Logging_2080/klagomålsmail/A 54309-2022 FSC-klagomål mail.docx", "A 54309-2022")</f>
        <v/>
      </c>
      <c r="AA41">
        <f>HYPERLINK("https://klasma.github.io/Logging_2080/tillsyn/A 54309-2022 tillsynsbegäran.docx", "A 54309-2022")</f>
        <v/>
      </c>
      <c r="AB41">
        <f>HYPERLINK("https://klasma.github.io/Logging_2080/tillsynsmail/A 54309-2022 tillsynsbegäran mail.docx", "A 54309-2022")</f>
        <v/>
      </c>
      <c r="AC41">
        <f>HYPERLINK("https://klasma.github.io/Logging_2080/fåglar/A 54309-2022 prioriterade fågelarter.docx", "A 54309-2022")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46222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s="2" t="inlineStr">
        <is>
          <t>Dropptaggsvamp
Tjäder
Större vattensalamander
Skogsödla</t>
        </is>
      </c>
      <c r="V42">
        <f>HYPERLINK("https://klasma.github.io/Logging_2080/artfynd/A 643-2026 artfynd.xlsx", "A 643-2026")</f>
        <v/>
      </c>
      <c r="W42">
        <f>HYPERLINK("https://klasma.github.io/Logging_2080/kartor/A 643-2026 karta.png", "A 643-2026")</f>
        <v/>
      </c>
      <c r="Y42">
        <f>HYPERLINK("https://klasma.github.io/Logging_2080/klagomål/A 643-2026 FSC-klagomål.docx", "A 643-2026")</f>
        <v/>
      </c>
      <c r="Z42">
        <f>HYPERLINK("https://klasma.github.io/Logging_2080/klagomålsmail/A 643-2026 FSC-klagomål mail.docx", "A 643-2026")</f>
        <v/>
      </c>
      <c r="AA42">
        <f>HYPERLINK("https://klasma.github.io/Logging_2080/tillsyn/A 643-2026 tillsynsbegäran.docx", "A 643-2026")</f>
        <v/>
      </c>
      <c r="AB42">
        <f>HYPERLINK("https://klasma.github.io/Logging_2080/tillsynsmail/A 643-2026 tillsynsbegäran mail.docx", "A 643-2026")</f>
        <v/>
      </c>
      <c r="AC42">
        <f>HYPERLINK("https://klasma.github.io/Logging_2080/fåglar/A 643-2026 prioriterade fågelarter.docx", "A 643-2026")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46222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s="2" t="inlineStr">
        <is>
          <t>Tallticka
Bred kärrtrollslända
Pudrad kärrtrollslända
Vattenfladdermus</t>
        </is>
      </c>
      <c r="V43">
        <f>HYPERLINK("https://klasma.github.io/Logging_2080/artfynd/A 28119-2025 artfynd.xlsx", "A 28119-2025")</f>
        <v/>
      </c>
      <c r="W43">
        <f>HYPERLINK("https://klasma.github.io/Logging_2080/kartor/A 28119-2025 karta.png", "A 28119-2025")</f>
        <v/>
      </c>
      <c r="Y43">
        <f>HYPERLINK("https://klasma.github.io/Logging_2080/klagomål/A 28119-2025 FSC-klagomål.docx", "A 28119-2025")</f>
        <v/>
      </c>
      <c r="Z43">
        <f>HYPERLINK("https://klasma.github.io/Logging_2080/klagomålsmail/A 28119-2025 FSC-klagomål mail.docx", "A 28119-2025")</f>
        <v/>
      </c>
      <c r="AA43">
        <f>HYPERLINK("https://klasma.github.io/Logging_2080/tillsyn/A 28119-2025 tillsynsbegäran.docx", "A 28119-2025")</f>
        <v/>
      </c>
      <c r="AB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s="2" t="inlineStr">
        <is>
          <t>Garnlav
Dropptaggsvamp
Ullticka
Vedskivlav</t>
        </is>
      </c>
      <c r="V44">
        <f>HYPERLINK("https://klasma.github.io/Logging_2080/artfynd/A 33525-2025 artfynd.xlsx", "A 33525-2025")</f>
        <v/>
      </c>
      <c r="W44">
        <f>HYPERLINK("https://klasma.github.io/Logging_2080/kartor/A 33525-2025 karta.png", "A 33525-2025")</f>
        <v/>
      </c>
      <c r="Y44">
        <f>HYPERLINK("https://klasma.github.io/Logging_2080/klagomål/A 33525-2025 FSC-klagomål.docx", "A 33525-2025")</f>
        <v/>
      </c>
      <c r="Z44">
        <f>HYPERLINK("https://klasma.github.io/Logging_2080/klagomålsmail/A 33525-2025 FSC-klagomål mail.docx", "A 33525-2025")</f>
        <v/>
      </c>
      <c r="AA44">
        <f>HYPERLINK("https://klasma.github.io/Logging_2080/tillsyn/A 33525-2025 tillsynsbegäran.docx", "A 33525-2025")</f>
        <v/>
      </c>
      <c r="AB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46222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s="2" t="inlineStr">
        <is>
          <t>Knärot
Rynkskinn
Skarp dropptaggsvamp
Svavelriska</t>
        </is>
      </c>
      <c r="V45">
        <f>HYPERLINK("https://klasma.github.io/Logging_2080/artfynd/A 36197-2025 artfynd.xlsx", "A 36197-2025")</f>
        <v/>
      </c>
      <c r="W45">
        <f>HYPERLINK("https://klasma.github.io/Logging_2080/kartor/A 36197-2025 karta.png", "A 36197-2025")</f>
        <v/>
      </c>
      <c r="X45">
        <f>HYPERLINK("https://klasma.github.io/Logging_2080/knärot/A 36197-2025 karta knärot.png", "A 36197-2025")</f>
        <v/>
      </c>
      <c r="Y45">
        <f>HYPERLINK("https://klasma.github.io/Logging_2080/klagomål/A 36197-2025 FSC-klagomål.docx", "A 36197-2025")</f>
        <v/>
      </c>
      <c r="Z45">
        <f>HYPERLINK("https://klasma.github.io/Logging_2080/klagomålsmail/A 36197-2025 FSC-klagomål mail.docx", "A 36197-2025")</f>
        <v/>
      </c>
      <c r="AA45">
        <f>HYPERLINK("https://klasma.github.io/Logging_2080/tillsyn/A 36197-2025 tillsynsbegäran.docx", "A 36197-2025")</f>
        <v/>
      </c>
      <c r="AB45">
        <f>HYPERLINK("https://klasma.github.io/Logging_2080/tillsynsmail/A 36197-2025 tillsynsbegäran mail.docx", "A 36197-2025")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46222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s="2" t="inlineStr">
        <is>
          <t>Kolflarnlav
Motaggsvamp
Fläcknycklar
Revlummer</t>
        </is>
      </c>
      <c r="V46">
        <f>HYPERLINK("https://klasma.github.io/Logging_2080/artfynd/A 14313-2026 artfynd.xlsx", "A 14313-2026")</f>
        <v/>
      </c>
      <c r="W46">
        <f>HYPERLINK("https://klasma.github.io/Logging_2080/kartor/A 14313-2026 karta.png", "A 14313-2026")</f>
        <v/>
      </c>
      <c r="Y46">
        <f>HYPERLINK("https://klasma.github.io/Logging_2080/klagomål/A 14313-2026 FSC-klagomål.docx", "A 14313-2026")</f>
        <v/>
      </c>
      <c r="Z46">
        <f>HYPERLINK("https://klasma.github.io/Logging_2080/klagomålsmail/A 14313-2026 FSC-klagomål mail.docx", "A 14313-2026")</f>
        <v/>
      </c>
      <c r="AA46">
        <f>HYPERLINK("https://klasma.github.io/Logging_2080/tillsyn/A 14313-2026 tillsynsbegäran.docx", "A 14313-2026")</f>
        <v/>
      </c>
      <c r="AB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46222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s="2" t="inlineStr">
        <is>
          <t>Garnlav
Tretåig hackspett
Bronshjon
Mindre märgborre</t>
        </is>
      </c>
      <c r="V47">
        <f>HYPERLINK("https://klasma.github.io/Logging_2080/artfynd/A 371-2026 artfynd.xlsx", "A 371-2026")</f>
        <v/>
      </c>
      <c r="W47">
        <f>HYPERLINK("https://klasma.github.io/Logging_2080/kartor/A 371-2026 karta.png", "A 371-2026")</f>
        <v/>
      </c>
      <c r="Y47">
        <f>HYPERLINK("https://klasma.github.io/Logging_2080/klagomål/A 371-2026 FSC-klagomål.docx", "A 371-2026")</f>
        <v/>
      </c>
      <c r="Z47">
        <f>HYPERLINK("https://klasma.github.io/Logging_2080/klagomålsmail/A 371-2026 FSC-klagomål mail.docx", "A 371-2026")</f>
        <v/>
      </c>
      <c r="AA47">
        <f>HYPERLINK("https://klasma.github.io/Logging_2080/tillsyn/A 371-2026 tillsynsbegäran.docx", "A 371-2026")</f>
        <v/>
      </c>
      <c r="AB47">
        <f>HYPERLINK("https://klasma.github.io/Logging_2080/tillsynsmail/A 371-2026 tillsynsbegäran mail.docx", "A 371-2026")</f>
        <v/>
      </c>
      <c r="AC47">
        <f>HYPERLINK("https://klasma.github.io/Logging_2080/fåglar/A 371-2026 prioriterade fågelarter.docx", "A 371-2026")</f>
        <v/>
      </c>
    </row>
    <row r="48" ht="15" customHeight="1">
      <c r="A48" t="inlineStr">
        <is>
          <t>A 55132-2024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45621</v>
      </c>
      <c r="E48" s="1" t="n">
        <v>46222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6</v>
      </c>
      <c r="U48" s="2" t="inlineStr">
        <is>
          <t>Gullpudra
Gultoppig fingersvamp
Papegojvaxing
Tibast</t>
        </is>
      </c>
      <c r="V48">
        <f>HYPERLINK("https://klasma.github.io/Logging_2080/artfynd/A 55132-2024 artfynd.xlsx", "A 55132-2024")</f>
        <v/>
      </c>
      <c r="W48">
        <f>HYPERLINK("https://klasma.github.io/Logging_2080/kartor/A 55132-2024 karta.png", "A 55132-2024")</f>
        <v/>
      </c>
      <c r="Y48">
        <f>HYPERLINK("https://klasma.github.io/Logging_2080/klagomål/A 55132-2024 FSC-klagomål.docx", "A 55132-2024")</f>
        <v/>
      </c>
      <c r="Z48">
        <f>HYPERLINK("https://klasma.github.io/Logging_2080/klagomålsmail/A 55132-2024 FSC-klagomål mail.docx", "A 55132-2024")</f>
        <v/>
      </c>
      <c r="AA48">
        <f>HYPERLINK("https://klasma.github.io/Logging_2080/tillsyn/A 55132-2024 tillsynsbegäran.docx", "A 55132-2024")</f>
        <v/>
      </c>
      <c r="AB48">
        <f>HYPERLINK("https://klasma.github.io/Logging_2080/tillsynsmail/A 55132-2024 tillsynsbegäran mail.docx", "A 55132-2024")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46222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s="2" t="inlineStr">
        <is>
          <t>Knärot
Dropptaggsvamp
Tallticka
Tretåig hackspett</t>
        </is>
      </c>
      <c r="V49">
        <f>HYPERLINK("https://klasma.github.io/Logging_2080/artfynd/A 34506-2024 artfynd.xlsx", "A 34506-2024")</f>
        <v/>
      </c>
      <c r="W49">
        <f>HYPERLINK("https://klasma.github.io/Logging_2080/kartor/A 34506-2024 karta.png", "A 34506-2024")</f>
        <v/>
      </c>
      <c r="X49">
        <f>HYPERLINK("https://klasma.github.io/Logging_2080/knärot/A 34506-2024 karta knärot.png", "A 34506-2024")</f>
        <v/>
      </c>
      <c r="Y49">
        <f>HYPERLINK("https://klasma.github.io/Logging_2080/klagomål/A 34506-2024 FSC-klagomål.docx", "A 34506-2024")</f>
        <v/>
      </c>
      <c r="Z49">
        <f>HYPERLINK("https://klasma.github.io/Logging_2080/klagomålsmail/A 34506-2024 FSC-klagomål mail.docx", "A 34506-2024")</f>
        <v/>
      </c>
      <c r="AA49">
        <f>HYPERLINK("https://klasma.github.io/Logging_2080/tillsyn/A 34506-2024 tillsynsbegäran.docx", "A 34506-2024")</f>
        <v/>
      </c>
      <c r="AB49">
        <f>HYPERLINK("https://klasma.github.io/Logging_2080/tillsynsmail/A 34506-2024 tillsynsbegäran mail.docx", "A 34506-2024")</f>
        <v/>
      </c>
      <c r="AC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46222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Vedtrappmossa
Stuplav
Vedticka
Tjäder</t>
        </is>
      </c>
      <c r="V50">
        <f>HYPERLINK("https://klasma.github.io/Logging_2080/artfynd/A 4532-2024 artfynd.xlsx", "A 4532-2024")</f>
        <v/>
      </c>
      <c r="W50">
        <f>HYPERLINK("https://klasma.github.io/Logging_2080/kartor/A 4532-2024 karta.png", "A 4532-2024")</f>
        <v/>
      </c>
      <c r="Y50">
        <f>HYPERLINK("https://klasma.github.io/Logging_2080/klagomål/A 4532-2024 FSC-klagomål.docx", "A 4532-2024")</f>
        <v/>
      </c>
      <c r="Z50">
        <f>HYPERLINK("https://klasma.github.io/Logging_2080/klagomålsmail/A 4532-2024 FSC-klagomål mail.docx", "A 4532-2024")</f>
        <v/>
      </c>
      <c r="AA50">
        <f>HYPERLINK("https://klasma.github.io/Logging_2080/tillsyn/A 4532-2024 tillsynsbegäran.docx", "A 4532-2024")</f>
        <v/>
      </c>
      <c r="AB50">
        <f>HYPERLINK("https://klasma.github.io/Logging_2080/tillsynsmail/A 4532-2024 tillsynsbegäran mail.docx", "A 4532-2024")</f>
        <v/>
      </c>
      <c r="AC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46222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46222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46222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46222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s="2" t="inlineStr">
        <is>
          <t>Garnlav
Kolflarnlav
Mörk kolflarnlav</t>
        </is>
      </c>
      <c r="V54">
        <f>HYPERLINK("https://klasma.github.io/Logging_2080/artfynd/A 3208-2026 artfynd.xlsx", "A 3208-2026")</f>
        <v/>
      </c>
      <c r="W54">
        <f>HYPERLINK("https://klasma.github.io/Logging_2080/kartor/A 3208-2026 karta.png", "A 3208-2026")</f>
        <v/>
      </c>
      <c r="Y54">
        <f>HYPERLINK("https://klasma.github.io/Logging_2080/klagomål/A 3208-2026 FSC-klagomål.docx", "A 3208-2026")</f>
        <v/>
      </c>
      <c r="Z54">
        <f>HYPERLINK("https://klasma.github.io/Logging_2080/klagomålsmail/A 3208-2026 FSC-klagomål mail.docx", "A 3208-2026")</f>
        <v/>
      </c>
      <c r="AA54">
        <f>HYPERLINK("https://klasma.github.io/Logging_2080/tillsyn/A 3208-2026 tillsynsbegäran.docx", "A 3208-2026")</f>
        <v/>
      </c>
      <c r="AB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46222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Gullpudra
Sparvuggla
Svavelriska</t>
        </is>
      </c>
      <c r="V55">
        <f>HYPERLINK("https://klasma.github.io/Logging_2080/artfynd/A 6317-2023 artfynd.xlsx", "A 6317-2023")</f>
        <v/>
      </c>
      <c r="W55">
        <f>HYPERLINK("https://klasma.github.io/Logging_2080/kartor/A 6317-2023 karta.png", "A 6317-2023")</f>
        <v/>
      </c>
      <c r="Y55">
        <f>HYPERLINK("https://klasma.github.io/Logging_2080/klagomål/A 6317-2023 FSC-klagomål.docx", "A 6317-2023")</f>
        <v/>
      </c>
      <c r="Z55">
        <f>HYPERLINK("https://klasma.github.io/Logging_2080/klagomålsmail/A 6317-2023 FSC-klagomål mail.docx", "A 6317-2023")</f>
        <v/>
      </c>
      <c r="AA55">
        <f>HYPERLINK("https://klasma.github.io/Logging_2080/tillsyn/A 6317-2023 tillsynsbegäran.docx", "A 6317-2023")</f>
        <v/>
      </c>
      <c r="AB55">
        <f>HYPERLINK("https://klasma.github.io/Logging_2080/tillsynsmail/A 6317-2023 tillsynsbegäran mail.docx", "A 6317-2023")</f>
        <v/>
      </c>
      <c r="AC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46222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s="2" t="inlineStr">
        <is>
          <t>Garnlav
Tretåig hackspett
Spillkråka</t>
        </is>
      </c>
      <c r="V56">
        <f>HYPERLINK("https://klasma.github.io/Logging_2080/artfynd/A 1462-2023 artfynd.xlsx", "A 1462-2023")</f>
        <v/>
      </c>
      <c r="W56">
        <f>HYPERLINK("https://klasma.github.io/Logging_2080/kartor/A 1462-2023 karta.png", "A 1462-2023")</f>
        <v/>
      </c>
      <c r="Y56">
        <f>HYPERLINK("https://klasma.github.io/Logging_2080/klagomål/A 1462-2023 FSC-klagomål.docx", "A 1462-2023")</f>
        <v/>
      </c>
      <c r="Z56">
        <f>HYPERLINK("https://klasma.github.io/Logging_2080/klagomålsmail/A 1462-2023 FSC-klagomål mail.docx", "A 1462-2023")</f>
        <v/>
      </c>
      <c r="AA56">
        <f>HYPERLINK("https://klasma.github.io/Logging_2080/tillsyn/A 1462-2023 tillsynsbegäran.docx", "A 1462-2023")</f>
        <v/>
      </c>
      <c r="AB56">
        <f>HYPERLINK("https://klasma.github.io/Logging_2080/tillsynsmail/A 1462-2023 tillsynsbegäran mail.docx", "A 1462-2023")</f>
        <v/>
      </c>
      <c r="AC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46222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Kattfotslav
Ullticka
Bollvitmossa</t>
        </is>
      </c>
      <c r="V57">
        <f>HYPERLINK("https://klasma.github.io/Logging_2080/artfynd/A 50417-2025 artfynd.xlsx", "A 50417-2025")</f>
        <v/>
      </c>
      <c r="W57">
        <f>HYPERLINK("https://klasma.github.io/Logging_2080/kartor/A 50417-2025 karta.png", "A 50417-2025")</f>
        <v/>
      </c>
      <c r="Y57">
        <f>HYPERLINK("https://klasma.github.io/Logging_2080/klagomål/A 50417-2025 FSC-klagomål.docx", "A 50417-2025")</f>
        <v/>
      </c>
      <c r="Z57">
        <f>HYPERLINK("https://klasma.github.io/Logging_2080/klagomålsmail/A 50417-2025 FSC-klagomål mail.docx", "A 50417-2025")</f>
        <v/>
      </c>
      <c r="AA57">
        <f>HYPERLINK("https://klasma.github.io/Logging_2080/tillsyn/A 50417-2025 tillsynsbegäran.docx", "A 50417-2025")</f>
        <v/>
      </c>
      <c r="AB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46222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s="2" t="inlineStr">
        <is>
          <t>Knärot
Bronshjon
Revlummer</t>
        </is>
      </c>
      <c r="V58">
        <f>HYPERLINK("https://klasma.github.io/Logging_2080/artfynd/A 11777-2025 artfynd.xlsx", "A 11777-2025")</f>
        <v/>
      </c>
      <c r="W58">
        <f>HYPERLINK("https://klasma.github.io/Logging_2080/kartor/A 11777-2025 karta.png", "A 11777-2025")</f>
        <v/>
      </c>
      <c r="X58">
        <f>HYPERLINK("https://klasma.github.io/Logging_2080/knärot/A 11777-2025 karta knärot.png", "A 11777-2025")</f>
        <v/>
      </c>
      <c r="Y58">
        <f>HYPERLINK("https://klasma.github.io/Logging_2080/klagomål/A 11777-2025 FSC-klagomål.docx", "A 11777-2025")</f>
        <v/>
      </c>
      <c r="Z58">
        <f>HYPERLINK("https://klasma.github.io/Logging_2080/klagomålsmail/A 11777-2025 FSC-klagomål mail.docx", "A 11777-2025")</f>
        <v/>
      </c>
      <c r="AA58">
        <f>HYPERLINK("https://klasma.github.io/Logging_2080/tillsyn/A 11777-2025 tillsynsbegäran.docx", "A 11777-2025")</f>
        <v/>
      </c>
      <c r="AB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46222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s="2" t="inlineStr">
        <is>
          <t>Knärot
Bronshjon
Revlummer</t>
        </is>
      </c>
      <c r="V59">
        <f>HYPERLINK("https://klasma.github.io/Logging_2080/artfynd/A 2055-2025 artfynd.xlsx", "A 2055-2025")</f>
        <v/>
      </c>
      <c r="W59">
        <f>HYPERLINK("https://klasma.github.io/Logging_2080/kartor/A 2055-2025 karta.png", "A 2055-2025")</f>
        <v/>
      </c>
      <c r="X59">
        <f>HYPERLINK("https://klasma.github.io/Logging_2080/knärot/A 2055-2025 karta knärot.png", "A 2055-2025")</f>
        <v/>
      </c>
      <c r="Y59">
        <f>HYPERLINK("https://klasma.github.io/Logging_2080/klagomål/A 2055-2025 FSC-klagomål.docx", "A 2055-2025")</f>
        <v/>
      </c>
      <c r="Z59">
        <f>HYPERLINK("https://klasma.github.io/Logging_2080/klagomålsmail/A 2055-2025 FSC-klagomål mail.docx", "A 2055-2025")</f>
        <v/>
      </c>
      <c r="AA59">
        <f>HYPERLINK("https://klasma.github.io/Logging_2080/tillsyn/A 2055-2025 tillsynsbegäran.docx", "A 2055-2025")</f>
        <v/>
      </c>
      <c r="AB59">
        <f>HYPERLINK("https://klasma.github.io/Logging_2080/tillsynsmail/A 2055-2025 tillsynsbegäran mail.docx", "A 2055-2025")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46222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Kortskaftad ärgspik
Tallticka
Tjäder</t>
        </is>
      </c>
      <c r="V60">
        <f>HYPERLINK("https://klasma.github.io/Logging_2080/artfynd/A 60940-2025 artfynd.xlsx", "A 60940-2025")</f>
        <v/>
      </c>
      <c r="W60">
        <f>HYPERLINK("https://klasma.github.io/Logging_2080/kartor/A 60940-2025 karta.png", "A 60940-2025")</f>
        <v/>
      </c>
      <c r="Y60">
        <f>HYPERLINK("https://klasma.github.io/Logging_2080/klagomål/A 60940-2025 FSC-klagomål.docx", "A 60940-2025")</f>
        <v/>
      </c>
      <c r="Z60">
        <f>HYPERLINK("https://klasma.github.io/Logging_2080/klagomålsmail/A 60940-2025 FSC-klagomål mail.docx", "A 60940-2025")</f>
        <v/>
      </c>
      <c r="AA60">
        <f>HYPERLINK("https://klasma.github.io/Logging_2080/tillsyn/A 60940-2025 tillsynsbegäran.docx", "A 60940-2025")</f>
        <v/>
      </c>
      <c r="AB60">
        <f>HYPERLINK("https://klasma.github.io/Logging_2080/tillsynsmail/A 60940-2025 tillsynsbegäran mail.docx", "A 60940-2025")</f>
        <v/>
      </c>
      <c r="AC60">
        <f>HYPERLINK("https://klasma.github.io/Logging_2080/fåglar/A 60940-2025 prioriterade fågelarter.docx", "A 60940-2025")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46222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Kolflarnlav
Vedskivlav
Mindre märgborre</t>
        </is>
      </c>
      <c r="V61">
        <f>HYPERLINK("https://klasma.github.io/Logging_2080/artfynd/A 17628-2026 artfynd.xlsx", "A 17628-2026")</f>
        <v/>
      </c>
      <c r="W61">
        <f>HYPERLINK("https://klasma.github.io/Logging_2080/kartor/A 17628-2026 karta.png", "A 17628-2026")</f>
        <v/>
      </c>
      <c r="Y61">
        <f>HYPERLINK("https://klasma.github.io/Logging_2080/klagomål/A 17628-2026 FSC-klagomål.docx", "A 17628-2026")</f>
        <v/>
      </c>
      <c r="Z61">
        <f>HYPERLINK("https://klasma.github.io/Logging_2080/klagomålsmail/A 17628-2026 FSC-klagomål mail.docx", "A 17628-2026")</f>
        <v/>
      </c>
      <c r="AA61">
        <f>HYPERLINK("https://klasma.github.io/Logging_2080/tillsyn/A 17628-2026 tillsynsbegäran.docx", "A 17628-2026")</f>
        <v/>
      </c>
      <c r="AB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46222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Y62">
        <f>HYPERLINK("https://klasma.github.io/Logging_2080/klagomål/A 14883-2024 FSC-klagomål.docx", "A 14883-2024")</f>
        <v/>
      </c>
      <c r="Z62">
        <f>HYPERLINK("https://klasma.github.io/Logging_2080/klagomålsmail/A 14883-2024 FSC-klagomål mail.docx", "A 14883-2024")</f>
        <v/>
      </c>
      <c r="AA62">
        <f>HYPERLINK("https://klasma.github.io/Logging_2080/tillsyn/A 14883-2024 tillsynsbegäran.docx", "A 14883-2024")</f>
        <v/>
      </c>
      <c r="AB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46222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Doftskinn
Ullticka
Vedticka</t>
        </is>
      </c>
      <c r="V63">
        <f>HYPERLINK("https://klasma.github.io/Logging_2080/artfynd/A 21583-2026 artfynd.xlsx", "A 21583-2026")</f>
        <v/>
      </c>
      <c r="W63">
        <f>HYPERLINK("https://klasma.github.io/Logging_2080/kartor/A 21583-2026 karta.png", "A 21583-2026")</f>
        <v/>
      </c>
      <c r="Y63">
        <f>HYPERLINK("https://klasma.github.io/Logging_2080/klagomål/A 21583-2026 FSC-klagomål.docx", "A 21583-2026")</f>
        <v/>
      </c>
      <c r="Z63">
        <f>HYPERLINK("https://klasma.github.io/Logging_2080/klagomålsmail/A 21583-2026 FSC-klagomål mail.docx", "A 21583-2026")</f>
        <v/>
      </c>
      <c r="AA63">
        <f>HYPERLINK("https://klasma.github.io/Logging_2080/tillsyn/A 21583-2026 tillsynsbegäran.docx", "A 21583-2026")</f>
        <v/>
      </c>
      <c r="AB63">
        <f>HYPERLINK("https://klasma.github.io/Logging_2080/tillsynsmail/A 21583-2026 tillsynsbegäran mail.docx", "A 21583-2026")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46222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s="2" t="inlineStr">
        <is>
          <t>Garnlav
Kolflarnlav
Kortskaftad ärgspik</t>
        </is>
      </c>
      <c r="V64">
        <f>HYPERLINK("https://klasma.github.io/Logging_2080/artfynd/A 27747-2026 artfynd.xlsx", "A 27747-2026")</f>
        <v/>
      </c>
      <c r="W64">
        <f>HYPERLINK("https://klasma.github.io/Logging_2080/kartor/A 27747-2026 karta.png", "A 27747-2026")</f>
        <v/>
      </c>
      <c r="Y64">
        <f>HYPERLINK("https://klasma.github.io/Logging_2080/klagomål/A 27747-2026 FSC-klagomål.docx", "A 27747-2026")</f>
        <v/>
      </c>
      <c r="Z64">
        <f>HYPERLINK("https://klasma.github.io/Logging_2080/klagomålsmail/A 27747-2026 FSC-klagomål mail.docx", "A 27747-2026")</f>
        <v/>
      </c>
      <c r="AA64">
        <f>HYPERLINK("https://klasma.github.io/Logging_2080/tillsyn/A 27747-2026 tillsynsbegäran.docx", "A 27747-2026")</f>
        <v/>
      </c>
      <c r="AB64">
        <f>HYPERLINK("https://klasma.github.io/Logging_2080/tillsynsmail/A 27747-2026 tillsynsbegäran mail.docx", "A 27747-2026")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46222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s="2" t="inlineStr">
        <is>
          <t>Garnlav
Kolflarnlav
Violettgrå tagellav</t>
        </is>
      </c>
      <c r="V65">
        <f>HYPERLINK("https://klasma.github.io/Logging_2080/artfynd/A 22794-2026 artfynd.xlsx", "A 22794-2026")</f>
        <v/>
      </c>
      <c r="W65">
        <f>HYPERLINK("https://klasma.github.io/Logging_2080/kartor/A 22794-2026 karta.png", "A 22794-2026")</f>
        <v/>
      </c>
      <c r="Y65">
        <f>HYPERLINK("https://klasma.github.io/Logging_2080/klagomål/A 22794-2026 FSC-klagomål.docx", "A 22794-2026")</f>
        <v/>
      </c>
      <c r="Z65">
        <f>HYPERLINK("https://klasma.github.io/Logging_2080/klagomålsmail/A 22794-2026 FSC-klagomål mail.docx", "A 22794-2026")</f>
        <v/>
      </c>
      <c r="AA65">
        <f>HYPERLINK("https://klasma.github.io/Logging_2080/tillsyn/A 22794-2026 tillsynsbegäran.docx", "A 22794-2026")</f>
        <v/>
      </c>
      <c r="AB65">
        <f>HYPERLINK("https://klasma.github.io/Logging_2080/tillsynsmail/A 22794-2026 tillsynsbegäran mail.docx", "A 22794-2026")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46222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s="2" t="inlineStr">
        <is>
          <t>Knärot
Mindre märgborre
Spillkråka</t>
        </is>
      </c>
      <c r="V66">
        <f>HYPERLINK("https://klasma.github.io/Logging_2080/artfynd/A 5666-2025 artfynd.xlsx", "A 5666-2025")</f>
        <v/>
      </c>
      <c r="W66">
        <f>HYPERLINK("https://klasma.github.io/Logging_2080/kartor/A 5666-2025 karta.png", "A 5666-2025")</f>
        <v/>
      </c>
      <c r="X66">
        <f>HYPERLINK("https://klasma.github.io/Logging_2080/knärot/A 5666-2025 karta knärot.png", "A 5666-2025")</f>
        <v/>
      </c>
      <c r="Y66">
        <f>HYPERLINK("https://klasma.github.io/Logging_2080/klagomål/A 5666-2025 FSC-klagomål.docx", "A 5666-2025")</f>
        <v/>
      </c>
      <c r="Z66">
        <f>HYPERLINK("https://klasma.github.io/Logging_2080/klagomålsmail/A 5666-2025 FSC-klagomål mail.docx", "A 5666-2025")</f>
        <v/>
      </c>
      <c r="AA66">
        <f>HYPERLINK("https://klasma.github.io/Logging_2080/tillsyn/A 5666-2025 tillsynsbegäran.docx", "A 5666-2025")</f>
        <v/>
      </c>
      <c r="AB66">
        <f>HYPERLINK("https://klasma.github.io/Logging_2080/tillsynsmail/A 5666-2025 tillsynsbegäran mail.docx", "A 5666-2025")</f>
        <v/>
      </c>
      <c r="AC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46222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s="2" t="inlineStr">
        <is>
          <t>Garnlav
Norsk näverlav
Purpurmylia</t>
        </is>
      </c>
      <c r="V67">
        <f>HYPERLINK("https://klasma.github.io/Logging_2080/artfynd/S 2127-2025 artfynd.xlsx", "S 2127-2025")</f>
        <v/>
      </c>
      <c r="W67">
        <f>HYPERLINK("https://klasma.github.io/Logging_2080/kartor/S 2127-2025 karta.png", "S 2127-2025")</f>
        <v/>
      </c>
      <c r="Y67">
        <f>HYPERLINK("https://klasma.github.io/Logging_2080/klagomål/S 2127-2025 FSC-klagomål.docx", "S 2127-2025")</f>
        <v/>
      </c>
      <c r="Z67">
        <f>HYPERLINK("https://klasma.github.io/Logging_2080/klagomålsmail/S 2127-2025 FSC-klagomål mail.docx", "S 2127-2025")</f>
        <v/>
      </c>
      <c r="AA67">
        <f>HYPERLINK("https://klasma.github.io/Logging_2080/tillsyn/S 2127-2025 tillsynsbegäran.docx", "S 2127-2025")</f>
        <v/>
      </c>
      <c r="AB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46222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s="2" t="inlineStr">
        <is>
          <t>Knärot
Revlummer</t>
        </is>
      </c>
      <c r="V68">
        <f>HYPERLINK("https://klasma.github.io/Logging_2080/artfynd/A 53409-2022 artfynd.xlsx", "A 53409-2022")</f>
        <v/>
      </c>
      <c r="W68">
        <f>HYPERLINK("https://klasma.github.io/Logging_2080/kartor/A 53409-2022 karta.png", "A 53409-2022")</f>
        <v/>
      </c>
      <c r="X68">
        <f>HYPERLINK("https://klasma.github.io/Logging_2080/knärot/A 53409-2022 karta knärot.png", "A 53409-2022")</f>
        <v/>
      </c>
      <c r="Y68">
        <f>HYPERLINK("https://klasma.github.io/Logging_2080/klagomål/A 53409-2022 FSC-klagomål.docx", "A 53409-2022")</f>
        <v/>
      </c>
      <c r="Z68">
        <f>HYPERLINK("https://klasma.github.io/Logging_2080/klagomålsmail/A 53409-2022 FSC-klagomål mail.docx", "A 53409-2022")</f>
        <v/>
      </c>
      <c r="AA68">
        <f>HYPERLINK("https://klasma.github.io/Logging_2080/tillsyn/A 53409-2022 tillsynsbegäran.docx", "A 53409-2022")</f>
        <v/>
      </c>
      <c r="AB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46222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Knärot
Rynkskinn</t>
        </is>
      </c>
      <c r="V69">
        <f>HYPERLINK("https://klasma.github.io/Logging_2080/artfynd/A 36966-2022 artfynd.xlsx", "A 36966-2022")</f>
        <v/>
      </c>
      <c r="W69">
        <f>HYPERLINK("https://klasma.github.io/Logging_2080/kartor/A 36966-2022 karta.png", "A 36966-2022")</f>
        <v/>
      </c>
      <c r="X69">
        <f>HYPERLINK("https://klasma.github.io/Logging_2080/knärot/A 36966-2022 karta knärot.png", "A 36966-2022")</f>
        <v/>
      </c>
      <c r="Y69">
        <f>HYPERLINK("https://klasma.github.io/Logging_2080/klagomål/A 36966-2022 FSC-klagomål.docx", "A 36966-2022")</f>
        <v/>
      </c>
      <c r="Z69">
        <f>HYPERLINK("https://klasma.github.io/Logging_2080/klagomålsmail/A 36966-2022 FSC-klagomål mail.docx", "A 36966-2022")</f>
        <v/>
      </c>
      <c r="AA69">
        <f>HYPERLINK("https://klasma.github.io/Logging_2080/tillsyn/A 36966-2022 tillsynsbegäran.docx", "A 36966-2022")</f>
        <v/>
      </c>
      <c r="AB69">
        <f>HYPERLINK("https://klasma.github.io/Logging_2080/tillsynsmail/A 36966-2022 tillsynsbegäran mail.docx", "A 36966-2022")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46222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Bronshjon
Revlummer</t>
        </is>
      </c>
      <c r="V70">
        <f>HYPERLINK("https://klasma.github.io/Logging_2080/artfynd/A 3586-2026 artfynd.xlsx", "A 3586-2026")</f>
        <v/>
      </c>
      <c r="W70">
        <f>HYPERLINK("https://klasma.github.io/Logging_2080/kartor/A 3586-2026 karta.png", "A 3586-2026")</f>
        <v/>
      </c>
      <c r="Y70">
        <f>HYPERLINK("https://klasma.github.io/Logging_2080/klagomål/A 3586-2026 FSC-klagomål.docx", "A 3586-2026")</f>
        <v/>
      </c>
      <c r="Z70">
        <f>HYPERLINK("https://klasma.github.io/Logging_2080/klagomålsmail/A 3586-2026 FSC-klagomål mail.docx", "A 3586-2026")</f>
        <v/>
      </c>
      <c r="AA70">
        <f>HYPERLINK("https://klasma.github.io/Logging_2080/tillsyn/A 3586-2026 tillsynsbegäran.docx", "A 3586-2026")</f>
        <v/>
      </c>
      <c r="AB70">
        <f>HYPERLINK("https://klasma.github.io/Logging_2080/tillsynsmail/A 3586-2026 tillsynsbegäran mail.docx", "A 3586-2026")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46222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Spillkråka
Gröngöling</t>
        </is>
      </c>
      <c r="V71">
        <f>HYPERLINK("https://klasma.github.io/Logging_2080/artfynd/A 3280-2026 artfynd.xlsx", "A 3280-2026")</f>
        <v/>
      </c>
      <c r="W71">
        <f>HYPERLINK("https://klasma.github.io/Logging_2080/kartor/A 3280-2026 karta.png", "A 3280-2026")</f>
        <v/>
      </c>
      <c r="Y71">
        <f>HYPERLINK("https://klasma.github.io/Logging_2080/klagomål/A 3280-2026 FSC-klagomål.docx", "A 3280-2026")</f>
        <v/>
      </c>
      <c r="Z71">
        <f>HYPERLINK("https://klasma.github.io/Logging_2080/klagomålsmail/A 3280-2026 FSC-klagomål mail.docx", "A 3280-2026")</f>
        <v/>
      </c>
      <c r="AA71">
        <f>HYPERLINK("https://klasma.github.io/Logging_2080/tillsyn/A 3280-2026 tillsynsbegäran.docx", "A 3280-2026")</f>
        <v/>
      </c>
      <c r="AB71">
        <f>HYPERLINK("https://klasma.github.io/Logging_2080/tillsynsmail/A 3280-2026 tillsynsbegäran mail.docx", "A 3280-2026")</f>
        <v/>
      </c>
      <c r="AC71">
        <f>HYPERLINK("https://klasma.github.io/Logging_2080/fåglar/A 3280-2026 prioriterade fågelarter.docx", "A 3280-2026")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46222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Knärot
Ullticka</t>
        </is>
      </c>
      <c r="V72">
        <f>HYPERLINK("https://klasma.github.io/Logging_2080/artfynd/A 29791-2025 artfynd.xlsx", "A 29791-2025")</f>
        <v/>
      </c>
      <c r="W72">
        <f>HYPERLINK("https://klasma.github.io/Logging_2080/kartor/A 29791-2025 karta.png", "A 29791-2025")</f>
        <v/>
      </c>
      <c r="X72">
        <f>HYPERLINK("https://klasma.github.io/Logging_2080/knärot/A 29791-2025 karta knärot.png", "A 29791-2025")</f>
        <v/>
      </c>
      <c r="Y72">
        <f>HYPERLINK("https://klasma.github.io/Logging_2080/klagomål/A 29791-2025 FSC-klagomål.docx", "A 29791-2025")</f>
        <v/>
      </c>
      <c r="Z72">
        <f>HYPERLINK("https://klasma.github.io/Logging_2080/klagomålsmail/A 29791-2025 FSC-klagomål mail.docx", "A 29791-2025")</f>
        <v/>
      </c>
      <c r="AA72">
        <f>HYPERLINK("https://klasma.github.io/Logging_2080/tillsyn/A 29791-2025 tillsynsbegäran.docx", "A 29791-2025")</f>
        <v/>
      </c>
      <c r="AB72">
        <f>HYPERLINK("https://klasma.github.io/Logging_2080/tillsynsmail/A 29791-2025 tillsynsbegäran mail.docx", "A 29791-2025")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46222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Knärot
Motaggsvamp</t>
        </is>
      </c>
      <c r="V73">
        <f>HYPERLINK("https://klasma.github.io/Logging_2080/artfynd/A 41050-2025 artfynd.xlsx", "A 41050-2025")</f>
        <v/>
      </c>
      <c r="W73">
        <f>HYPERLINK("https://klasma.github.io/Logging_2080/kartor/A 41050-2025 karta.png", "A 41050-2025")</f>
        <v/>
      </c>
      <c r="X73">
        <f>HYPERLINK("https://klasma.github.io/Logging_2080/knärot/A 41050-2025 karta knärot.png", "A 41050-2025")</f>
        <v/>
      </c>
      <c r="Y73">
        <f>HYPERLINK("https://klasma.github.io/Logging_2080/klagomål/A 41050-2025 FSC-klagomål.docx", "A 41050-2025")</f>
        <v/>
      </c>
      <c r="Z73">
        <f>HYPERLINK("https://klasma.github.io/Logging_2080/klagomålsmail/A 41050-2025 FSC-klagomål mail.docx", "A 41050-2025")</f>
        <v/>
      </c>
      <c r="AA73">
        <f>HYPERLINK("https://klasma.github.io/Logging_2080/tillsyn/A 41050-2025 tillsynsbegäran.docx", "A 41050-2025")</f>
        <v/>
      </c>
      <c r="AB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46222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Rynkskinn
Ullticka</t>
        </is>
      </c>
      <c r="V74">
        <f>HYPERLINK("https://klasma.github.io/Logging_2080/artfynd/A 4244-2026 artfynd.xlsx", "A 4244-2026")</f>
        <v/>
      </c>
      <c r="W74">
        <f>HYPERLINK("https://klasma.github.io/Logging_2080/kartor/A 4244-2026 karta.png", "A 4244-2026")</f>
        <v/>
      </c>
      <c r="Y74">
        <f>HYPERLINK("https://klasma.github.io/Logging_2080/klagomål/A 4244-2026 FSC-klagomål.docx", "A 4244-2026")</f>
        <v/>
      </c>
      <c r="Z74">
        <f>HYPERLINK("https://klasma.github.io/Logging_2080/klagomålsmail/A 4244-2026 FSC-klagomål mail.docx", "A 4244-2026")</f>
        <v/>
      </c>
      <c r="AA74">
        <f>HYPERLINK("https://klasma.github.io/Logging_2080/tillsyn/A 4244-2026 tillsynsbegäran.docx", "A 4244-2026")</f>
        <v/>
      </c>
      <c r="AB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46222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Blåbär
Spillkråka</t>
        </is>
      </c>
      <c r="V75">
        <f>HYPERLINK("https://klasma.github.io/Logging_2080/artfynd/A 3284-2026 artfynd.xlsx", "A 3284-2026")</f>
        <v/>
      </c>
      <c r="W75">
        <f>HYPERLINK("https://klasma.github.io/Logging_2080/kartor/A 3284-2026 karta.png", "A 3284-2026")</f>
        <v/>
      </c>
      <c r="Y75">
        <f>HYPERLINK("https://klasma.github.io/Logging_2080/klagomål/A 3284-2026 FSC-klagomål.docx", "A 3284-2026")</f>
        <v/>
      </c>
      <c r="Z75">
        <f>HYPERLINK("https://klasma.github.io/Logging_2080/klagomålsmail/A 3284-2026 FSC-klagomål mail.docx", "A 3284-2026")</f>
        <v/>
      </c>
      <c r="AA75">
        <f>HYPERLINK("https://klasma.github.io/Logging_2080/tillsyn/A 3284-2026 tillsynsbegäran.docx", "A 3284-2026")</f>
        <v/>
      </c>
      <c r="AB75">
        <f>HYPERLINK("https://klasma.github.io/Logging_2080/tillsynsmail/A 3284-2026 tillsynsbegäran mail.docx", "A 3284-2026")</f>
        <v/>
      </c>
      <c r="AC75">
        <f>HYPERLINK("https://klasma.github.io/Logging_2080/fåglar/A 3284-2026 prioriterade fågelarter.docx", "A 3284-2026")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46222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Knärot
Vanlig groda</t>
        </is>
      </c>
      <c r="V76">
        <f>HYPERLINK("https://klasma.github.io/Logging_2080/artfynd/A 8751-2024 artfynd.xlsx", "A 8751-2024")</f>
        <v/>
      </c>
      <c r="W76">
        <f>HYPERLINK("https://klasma.github.io/Logging_2080/kartor/A 8751-2024 karta.png", "A 8751-2024")</f>
        <v/>
      </c>
      <c r="X76">
        <f>HYPERLINK("https://klasma.github.io/Logging_2080/knärot/A 8751-2024 karta knärot.png", "A 8751-2024")</f>
        <v/>
      </c>
      <c r="Y76">
        <f>HYPERLINK("https://klasma.github.io/Logging_2080/klagomål/A 8751-2024 FSC-klagomål.docx", "A 8751-2024")</f>
        <v/>
      </c>
      <c r="Z76">
        <f>HYPERLINK("https://klasma.github.io/Logging_2080/klagomålsmail/A 8751-2024 FSC-klagomål mail.docx", "A 8751-2024")</f>
        <v/>
      </c>
      <c r="AA76">
        <f>HYPERLINK("https://klasma.github.io/Logging_2080/tillsyn/A 8751-2024 tillsynsbegäran.docx", "A 8751-2024")</f>
        <v/>
      </c>
      <c r="AB76">
        <f>HYPERLINK("https://klasma.github.io/Logging_2080/tillsynsmail/A 8751-2024 tillsynsbegäran mail.docx", "A 8751-2024")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46222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s="2" t="inlineStr">
        <is>
          <t>Spillkråka
Revlummer</t>
        </is>
      </c>
      <c r="V77">
        <f>HYPERLINK("https://klasma.github.io/Logging_2080/artfynd/A 6400-2026 artfynd.xlsx", "A 6400-2026")</f>
        <v/>
      </c>
      <c r="W77">
        <f>HYPERLINK("https://klasma.github.io/Logging_2080/kartor/A 6400-2026 karta.png", "A 6400-2026")</f>
        <v/>
      </c>
      <c r="Y77">
        <f>HYPERLINK("https://klasma.github.io/Logging_2080/klagomål/A 6400-2026 FSC-klagomål.docx", "A 6400-2026")</f>
        <v/>
      </c>
      <c r="Z77">
        <f>HYPERLINK("https://klasma.github.io/Logging_2080/klagomålsmail/A 6400-2026 FSC-klagomål mail.docx", "A 6400-2026")</f>
        <v/>
      </c>
      <c r="AA77">
        <f>HYPERLINK("https://klasma.github.io/Logging_2080/tillsyn/A 6400-2026 tillsynsbegäran.docx", "A 6400-2026")</f>
        <v/>
      </c>
      <c r="AB77">
        <f>HYPERLINK("https://klasma.github.io/Logging_2080/tillsynsmail/A 6400-2026 tillsynsbegäran mail.docx", "A 6400-2026")</f>
        <v/>
      </c>
      <c r="AC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46222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Plattlummer
Spillkråka</t>
        </is>
      </c>
      <c r="V78">
        <f>HYPERLINK("https://klasma.github.io/Logging_2080/artfynd/A 11348-2026 artfynd.xlsx", "A 11348-2026")</f>
        <v/>
      </c>
      <c r="W78">
        <f>HYPERLINK("https://klasma.github.io/Logging_2080/kartor/A 11348-2026 karta.png", "A 11348-2026")</f>
        <v/>
      </c>
      <c r="X78">
        <f>HYPERLINK("https://klasma.github.io/Logging_2080/knärot/A 11348-2026 karta knärot.png", "A 11348-2026")</f>
        <v/>
      </c>
      <c r="Y78">
        <f>HYPERLINK("https://klasma.github.io/Logging_2080/klagomål/A 11348-2026 FSC-klagomål.docx", "A 11348-2026")</f>
        <v/>
      </c>
      <c r="Z78">
        <f>HYPERLINK("https://klasma.github.io/Logging_2080/klagomålsmail/A 11348-2026 FSC-klagomål mail.docx", "A 11348-2026")</f>
        <v/>
      </c>
      <c r="AA78">
        <f>HYPERLINK("https://klasma.github.io/Logging_2080/tillsyn/A 11348-2026 tillsynsbegäran.docx", "A 11348-2026")</f>
        <v/>
      </c>
      <c r="AB78">
        <f>HYPERLINK("https://klasma.github.io/Logging_2080/tillsynsmail/A 11348-2026 tillsynsbegäran mail.docx", "A 11348-2026")</f>
        <v/>
      </c>
      <c r="AC78">
        <f>HYPERLINK("https://klasma.github.io/Logging_2080/fåglar/A 11348-2026 prioriterade fågelarter.docx", "A 11348-2026")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46222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s="2" t="inlineStr">
        <is>
          <t>Silverblåvinge
Brunklöver</t>
        </is>
      </c>
      <c r="V79">
        <f>HYPERLINK("https://klasma.github.io/Logging_2080/artfynd/A 42302-2023 artfynd.xlsx", "A 42302-2023")</f>
        <v/>
      </c>
      <c r="W79">
        <f>HYPERLINK("https://klasma.github.io/Logging_2080/kartor/A 42302-2023 karta.png", "A 42302-2023")</f>
        <v/>
      </c>
      <c r="Y79">
        <f>HYPERLINK("https://klasma.github.io/Logging_2080/klagomål/A 42302-2023 FSC-klagomål.docx", "A 42302-2023")</f>
        <v/>
      </c>
      <c r="Z79">
        <f>HYPERLINK("https://klasma.github.io/Logging_2080/klagomålsmail/A 42302-2023 FSC-klagomål mail.docx", "A 42302-2023")</f>
        <v/>
      </c>
      <c r="AA79">
        <f>HYPERLINK("https://klasma.github.io/Logging_2080/tillsyn/A 42302-2023 tillsynsbegäran.docx", "A 42302-2023")</f>
        <v/>
      </c>
      <c r="AB79">
        <f>HYPERLINK("https://klasma.github.io/Logging_2080/tillsynsmail/A 42302-2023 tillsynsbegäran mail.docx", "A 42302-2023")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46222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Kärrviol
Revlummer</t>
        </is>
      </c>
      <c r="V80">
        <f>HYPERLINK("https://klasma.github.io/Logging_2080/artfynd/A 12431-2026 artfynd.xlsx", "A 12431-2026")</f>
        <v/>
      </c>
      <c r="W80">
        <f>HYPERLINK("https://klasma.github.io/Logging_2080/kartor/A 12431-2026 karta.png", "A 12431-2026")</f>
        <v/>
      </c>
      <c r="Y80">
        <f>HYPERLINK("https://klasma.github.io/Logging_2080/klagomål/A 12431-2026 FSC-klagomål.docx", "A 12431-2026")</f>
        <v/>
      </c>
      <c r="Z80">
        <f>HYPERLINK("https://klasma.github.io/Logging_2080/klagomålsmail/A 12431-2026 FSC-klagomål mail.docx", "A 12431-2026")</f>
        <v/>
      </c>
      <c r="AA80">
        <f>HYPERLINK("https://klasma.github.io/Logging_2080/tillsyn/A 12431-2026 tillsynsbegäran.docx", "A 12431-2026")</f>
        <v/>
      </c>
      <c r="AB80">
        <f>HYPERLINK("https://klasma.github.io/Logging_2080/tillsynsmail/A 12431-2026 tillsynsbegäran mail.docx", "A 12431-2026")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46222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Tjäder
Kungsfågel</t>
        </is>
      </c>
      <c r="V81">
        <f>HYPERLINK("https://klasma.github.io/Logging_2080/artfynd/A 12420-2026 artfynd.xlsx", "A 12420-2026")</f>
        <v/>
      </c>
      <c r="W81">
        <f>HYPERLINK("https://klasma.github.io/Logging_2080/kartor/A 12420-2026 karta.png", "A 12420-2026")</f>
        <v/>
      </c>
      <c r="Y81">
        <f>HYPERLINK("https://klasma.github.io/Logging_2080/klagomål/A 12420-2026 FSC-klagomål.docx", "A 12420-2026")</f>
        <v/>
      </c>
      <c r="Z81">
        <f>HYPERLINK("https://klasma.github.io/Logging_2080/klagomålsmail/A 12420-2026 FSC-klagomål mail.docx", "A 12420-2026")</f>
        <v/>
      </c>
      <c r="AA81">
        <f>HYPERLINK("https://klasma.github.io/Logging_2080/tillsyn/A 12420-2026 tillsynsbegäran.docx", "A 12420-2026")</f>
        <v/>
      </c>
      <c r="AB81">
        <f>HYPERLINK("https://klasma.github.io/Logging_2080/tillsynsmail/A 12420-2026 tillsynsbegäran mail.docx", "A 12420-2026")</f>
        <v/>
      </c>
      <c r="AC81">
        <f>HYPERLINK("https://klasma.github.io/Logging_2080/fåglar/A 12420-2026 prioriterade fågelarter.docx", "A 12420-2026")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46222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Månlåsbräken
Tjäder</t>
        </is>
      </c>
      <c r="V82">
        <f>HYPERLINK("https://klasma.github.io/Logging_2080/artfynd/A 12786-2026 artfynd.xlsx", "A 12786-2026")</f>
        <v/>
      </c>
      <c r="W82">
        <f>HYPERLINK("https://klasma.github.io/Logging_2080/kartor/A 12786-2026 karta.png", "A 12786-2026")</f>
        <v/>
      </c>
      <c r="Y82">
        <f>HYPERLINK("https://klasma.github.io/Logging_2080/klagomål/A 12786-2026 FSC-klagomål.docx", "A 12786-2026")</f>
        <v/>
      </c>
      <c r="Z82">
        <f>HYPERLINK("https://klasma.github.io/Logging_2080/klagomålsmail/A 12786-2026 FSC-klagomål mail.docx", "A 12786-2026")</f>
        <v/>
      </c>
      <c r="AA82">
        <f>HYPERLINK("https://klasma.github.io/Logging_2080/tillsyn/A 12786-2026 tillsynsbegäran.docx", "A 12786-2026")</f>
        <v/>
      </c>
      <c r="AB82">
        <f>HYPERLINK("https://klasma.github.io/Logging_2080/tillsynsmail/A 12786-2026 tillsynsbegäran mail.docx", "A 12786-2026")</f>
        <v/>
      </c>
      <c r="AC82">
        <f>HYPERLINK("https://klasma.github.io/Logging_2080/fåglar/A 12786-2026 prioriterade fågelarter.docx", "A 12786-2026")</f>
        <v/>
      </c>
    </row>
    <row r="83" ht="15" customHeight="1">
      <c r="A83" t="inlineStr">
        <is>
          <t>A 13946-2026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46222</v>
      </c>
      <c r="F83" t="inlineStr">
        <is>
          <t>DALARNAS LÄN</t>
        </is>
      </c>
      <c r="G83" t="inlineStr">
        <is>
          <t>FALUN</t>
        </is>
      </c>
      <c r="H83" t="inlineStr">
        <is>
          <t>Allmännings- och besparingsskogar</t>
        </is>
      </c>
      <c r="I83" t="n">
        <v>12.5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Dropptaggsvamp
Ullticka</t>
        </is>
      </c>
      <c r="V83">
        <f>HYPERLINK("https://klasma.github.io/Logging_2080/artfynd/A 13946-2026 artfynd.xlsx", "A 13946-2026")</f>
        <v/>
      </c>
      <c r="W83">
        <f>HYPERLINK("https://klasma.github.io/Logging_2080/kartor/A 13946-2026 karta.png", "A 13946-2026")</f>
        <v/>
      </c>
      <c r="Y83">
        <f>HYPERLINK("https://klasma.github.io/Logging_2080/klagomål/A 13946-2026 FSC-klagomål.docx", "A 13946-2026")</f>
        <v/>
      </c>
      <c r="Z83">
        <f>HYPERLINK("https://klasma.github.io/Logging_2080/klagomålsmail/A 13946-2026 FSC-klagomål mail.docx", "A 13946-2026")</f>
        <v/>
      </c>
      <c r="AA83">
        <f>HYPERLINK("https://klasma.github.io/Logging_2080/tillsyn/A 13946-2026 tillsynsbegäran.docx", "A 13946-2026")</f>
        <v/>
      </c>
      <c r="AB83">
        <f>HYPERLINK("https://klasma.github.io/Logging_2080/tillsynsmail/A 13946-2026 tillsynsbegäran mail.docx", "A 13946-2026")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46222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Fläcknycklar
Revlummer</t>
        </is>
      </c>
      <c r="V84">
        <f>HYPERLINK("https://klasma.github.io/Logging_2080/artfynd/A 15875-2026 artfynd.xlsx", "A 15875-2026")</f>
        <v/>
      </c>
      <c r="W84">
        <f>HYPERLINK("https://klasma.github.io/Logging_2080/kartor/A 15875-2026 karta.png", "A 15875-2026")</f>
        <v/>
      </c>
      <c r="Y84">
        <f>HYPERLINK("https://klasma.github.io/Logging_2080/klagomål/A 15875-2026 FSC-klagomål.docx", "A 15875-2026")</f>
        <v/>
      </c>
      <c r="Z84">
        <f>HYPERLINK("https://klasma.github.io/Logging_2080/klagomålsmail/A 15875-2026 FSC-klagomål mail.docx", "A 15875-2026")</f>
        <v/>
      </c>
      <c r="AA84">
        <f>HYPERLINK("https://klasma.github.io/Logging_2080/tillsyn/A 15875-2026 tillsynsbegäran.docx", "A 15875-2026")</f>
        <v/>
      </c>
      <c r="AB84">
        <f>HYPERLINK("https://klasma.github.io/Logging_2080/tillsynsmail/A 15875-2026 tillsynsbegäran mail.docx", "A 15875-2026")</f>
        <v/>
      </c>
    </row>
    <row r="85" ht="15" customHeight="1">
      <c r="A85" t="inlineStr">
        <is>
          <t>A 17368-2026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46222</v>
      </c>
      <c r="F85" t="inlineStr">
        <is>
          <t>DALARNAS LÄN</t>
        </is>
      </c>
      <c r="G85" t="inlineStr">
        <is>
          <t>FALUN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Rosenticka
Ullticka</t>
        </is>
      </c>
      <c r="V85">
        <f>HYPERLINK("https://klasma.github.io/Logging_2080/artfynd/A 17368-2026 artfynd.xlsx", "A 17368-2026")</f>
        <v/>
      </c>
      <c r="W85">
        <f>HYPERLINK("https://klasma.github.io/Logging_2080/kartor/A 17368-2026 karta.png", "A 17368-2026")</f>
        <v/>
      </c>
      <c r="Y85">
        <f>HYPERLINK("https://klasma.github.io/Logging_2080/klagomål/A 17368-2026 FSC-klagomål.docx", "A 17368-2026")</f>
        <v/>
      </c>
      <c r="Z85">
        <f>HYPERLINK("https://klasma.github.io/Logging_2080/klagomålsmail/A 17368-2026 FSC-klagomål mail.docx", "A 17368-2026")</f>
        <v/>
      </c>
      <c r="AA85">
        <f>HYPERLINK("https://klasma.github.io/Logging_2080/tillsyn/A 17368-2026 tillsynsbegäran.docx", "A 17368-2026")</f>
        <v/>
      </c>
      <c r="AB85">
        <f>HYPERLINK("https://klasma.github.io/Logging_2080/tillsynsmail/A 17368-2026 tillsynsbegäran mail.docx", "A 17368-2026")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46222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s="2" t="inlineStr">
        <is>
          <t>Slät tallkapuschongbagge
Mindre märgborre</t>
        </is>
      </c>
      <c r="V86">
        <f>HYPERLINK("https://klasma.github.io/Logging_2080/artfynd/A 18031-2026 artfynd.xlsx", "A 18031-2026")</f>
        <v/>
      </c>
      <c r="W86">
        <f>HYPERLINK("https://klasma.github.io/Logging_2080/kartor/A 18031-2026 karta.png", "A 18031-2026")</f>
        <v/>
      </c>
      <c r="Y86">
        <f>HYPERLINK("https://klasma.github.io/Logging_2080/klagomål/A 18031-2026 FSC-klagomål.docx", "A 18031-2026")</f>
        <v/>
      </c>
      <c r="Z86">
        <f>HYPERLINK("https://klasma.github.io/Logging_2080/klagomålsmail/A 18031-2026 FSC-klagomål mail.docx", "A 18031-2026")</f>
        <v/>
      </c>
      <c r="AA86">
        <f>HYPERLINK("https://klasma.github.io/Logging_2080/tillsyn/A 18031-2026 tillsynsbegäran.docx", "A 18031-2026")</f>
        <v/>
      </c>
      <c r="AB86">
        <f>HYPERLINK("https://klasma.github.io/Logging_2080/tillsynsmail/A 18031-2026 tillsynsbegäran mail.docx", "A 18031-2026")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46222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Garnlav
Skuggblåslav</t>
        </is>
      </c>
      <c r="V87">
        <f>HYPERLINK("https://klasma.github.io/Logging_2080/artfynd/A 18460-2026 artfynd.xlsx", "A 18460-2026")</f>
        <v/>
      </c>
      <c r="W87">
        <f>HYPERLINK("https://klasma.github.io/Logging_2080/kartor/A 18460-2026 karta.png", "A 18460-2026")</f>
        <v/>
      </c>
      <c r="Y87">
        <f>HYPERLINK("https://klasma.github.io/Logging_2080/klagomål/A 18460-2026 FSC-klagomål.docx", "A 18460-2026")</f>
        <v/>
      </c>
      <c r="Z87">
        <f>HYPERLINK("https://klasma.github.io/Logging_2080/klagomålsmail/A 18460-2026 FSC-klagomål mail.docx", "A 18460-2026")</f>
        <v/>
      </c>
      <c r="AA87">
        <f>HYPERLINK("https://klasma.github.io/Logging_2080/tillsyn/A 18460-2026 tillsynsbegäran.docx", "A 18460-2026")</f>
        <v/>
      </c>
      <c r="AB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46222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Talltita
Kungsfågel</t>
        </is>
      </c>
      <c r="V88">
        <f>HYPERLINK("https://klasma.github.io/Logging_2080/artfynd/A 19752-2026 artfynd.xlsx", "A 19752-2026")</f>
        <v/>
      </c>
      <c r="W88">
        <f>HYPERLINK("https://klasma.github.io/Logging_2080/kartor/A 19752-2026 karta.png", "A 19752-2026")</f>
        <v/>
      </c>
      <c r="Y88">
        <f>HYPERLINK("https://klasma.github.io/Logging_2080/klagomål/A 19752-2026 FSC-klagomål.docx", "A 19752-2026")</f>
        <v/>
      </c>
      <c r="Z88">
        <f>HYPERLINK("https://klasma.github.io/Logging_2080/klagomålsmail/A 19752-2026 FSC-klagomål mail.docx", "A 19752-2026")</f>
        <v/>
      </c>
      <c r="AA88">
        <f>HYPERLINK("https://klasma.github.io/Logging_2080/tillsyn/A 19752-2026 tillsynsbegäran.docx", "A 19752-2026")</f>
        <v/>
      </c>
      <c r="AB88">
        <f>HYPERLINK("https://klasma.github.io/Logging_2080/tillsynsmail/A 19752-2026 tillsynsbegäran mail.docx", "A 19752-2026")</f>
        <v/>
      </c>
      <c r="AC88">
        <f>HYPERLINK("https://klasma.github.io/Logging_2080/fåglar/A 19752-2026 prioriterade fågelarter.docx", "A 19752-2026")</f>
        <v/>
      </c>
    </row>
    <row r="89" ht="15" customHeight="1">
      <c r="A89" t="inlineStr">
        <is>
          <t>A 18714-2023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46222</v>
      </c>
      <c r="F89" t="inlineStr">
        <is>
          <t>DALARNAS LÄN</t>
        </is>
      </c>
      <c r="G89" t="inlineStr">
        <is>
          <t>FALUN</t>
        </is>
      </c>
      <c r="I89" t="n">
        <v>1.8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Gammelgransskål
Bronshjon</t>
        </is>
      </c>
      <c r="V89">
        <f>HYPERLINK("https://klasma.github.io/Logging_2080/artfynd/A 18714-2023 artfynd.xlsx", "A 18714-2023")</f>
        <v/>
      </c>
      <c r="W89">
        <f>HYPERLINK("https://klasma.github.io/Logging_2080/kartor/A 18714-2023 karta.png", "A 18714-2023")</f>
        <v/>
      </c>
      <c r="Y89">
        <f>HYPERLINK("https://klasma.github.io/Logging_2080/klagomål/A 18714-2023 FSC-klagomål.docx", "A 18714-2023")</f>
        <v/>
      </c>
      <c r="Z89">
        <f>HYPERLINK("https://klasma.github.io/Logging_2080/klagomålsmail/A 18714-2023 FSC-klagomål mail.docx", "A 18714-2023")</f>
        <v/>
      </c>
      <c r="AA89">
        <f>HYPERLINK("https://klasma.github.io/Logging_2080/tillsyn/A 18714-2023 tillsynsbegäran.docx", "A 18714-2023")</f>
        <v/>
      </c>
      <c r="AB89">
        <f>HYPERLINK("https://klasma.github.io/Logging_2080/tillsynsmail/A 18714-2023 tillsynsbegäran mail.docx", "A 18714-2023")</f>
        <v/>
      </c>
    </row>
    <row r="90" ht="15" customHeight="1">
      <c r="A90" t="inlineStr">
        <is>
          <t>A 19015-2024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46222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13.8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Talltita
Kungsfågel</t>
        </is>
      </c>
      <c r="V90">
        <f>HYPERLINK("https://klasma.github.io/Logging_2080/artfynd/A 19015-2024 artfynd.xlsx", "A 19015-2024")</f>
        <v/>
      </c>
      <c r="W90">
        <f>HYPERLINK("https://klasma.github.io/Logging_2080/kartor/A 19015-2024 karta.png", "A 19015-2024")</f>
        <v/>
      </c>
      <c r="Y90">
        <f>HYPERLINK("https://klasma.github.io/Logging_2080/klagomål/A 19015-2024 FSC-klagomål.docx", "A 19015-2024")</f>
        <v/>
      </c>
      <c r="Z90">
        <f>HYPERLINK("https://klasma.github.io/Logging_2080/klagomålsmail/A 19015-2024 FSC-klagomål mail.docx", "A 19015-2024")</f>
        <v/>
      </c>
      <c r="AA90">
        <f>HYPERLINK("https://klasma.github.io/Logging_2080/tillsyn/A 19015-2024 tillsynsbegäran.docx", "A 19015-2024")</f>
        <v/>
      </c>
      <c r="AB90">
        <f>HYPERLINK("https://klasma.github.io/Logging_2080/tillsynsmail/A 19015-2024 tillsynsbegäran mail.docx", "A 19015-2024")</f>
        <v/>
      </c>
      <c r="AC90">
        <f>HYPERLINK("https://klasma.github.io/Logging_2080/fåglar/A 19015-2024 prioriterade fågelarter.docx", "A 19015-2024")</f>
        <v/>
      </c>
    </row>
    <row r="91" ht="15" customHeight="1">
      <c r="A91" t="inlineStr">
        <is>
          <t>A 43266-2023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46222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0.7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Brun gräsfjäril
Törnskata</t>
        </is>
      </c>
      <c r="V91">
        <f>HYPERLINK("https://klasma.github.io/Logging_2080/artfynd/A 43266-2023 artfynd.xlsx", "A 43266-2023")</f>
        <v/>
      </c>
      <c r="W91">
        <f>HYPERLINK("https://klasma.github.io/Logging_2080/kartor/A 43266-2023 karta.png", "A 43266-2023")</f>
        <v/>
      </c>
      <c r="Y91">
        <f>HYPERLINK("https://klasma.github.io/Logging_2080/klagomål/A 43266-2023 FSC-klagomål.docx", "A 43266-2023")</f>
        <v/>
      </c>
      <c r="Z91">
        <f>HYPERLINK("https://klasma.github.io/Logging_2080/klagomålsmail/A 43266-2023 FSC-klagomål mail.docx", "A 43266-2023")</f>
        <v/>
      </c>
      <c r="AA91">
        <f>HYPERLINK("https://klasma.github.io/Logging_2080/tillsyn/A 43266-2023 tillsynsbegäran.docx", "A 43266-2023")</f>
        <v/>
      </c>
      <c r="AB91">
        <f>HYPERLINK("https://klasma.github.io/Logging_2080/tillsynsmail/A 43266-2023 tillsynsbegäran mail.docx", "A 43266-2023")</f>
        <v/>
      </c>
      <c r="AC91">
        <f>HYPERLINK("https://klasma.github.io/Logging_2080/fåglar/A 43266-2023 prioriterade fågelarter.docx", "A 43266-2023")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46222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s="2" t="inlineStr">
        <is>
          <t>Garnlav
Tjäder</t>
        </is>
      </c>
      <c r="V92">
        <f>HYPERLINK("https://klasma.github.io/Logging_2080/artfynd/A 2968-2026 artfynd.xlsx", "A 2968-2026")</f>
        <v/>
      </c>
      <c r="W92">
        <f>HYPERLINK("https://klasma.github.io/Logging_2080/kartor/A 2968-2026 karta.png", "A 2968-2026")</f>
        <v/>
      </c>
      <c r="Y92">
        <f>HYPERLINK("https://klasma.github.io/Logging_2080/klagomål/A 2968-2026 FSC-klagomål.docx", "A 2968-2026")</f>
        <v/>
      </c>
      <c r="Z92">
        <f>HYPERLINK("https://klasma.github.io/Logging_2080/klagomålsmail/A 2968-2026 FSC-klagomål mail.docx", "A 2968-2026")</f>
        <v/>
      </c>
      <c r="AA92">
        <f>HYPERLINK("https://klasma.github.io/Logging_2080/tillsyn/A 2968-2026 tillsynsbegäran.docx", "A 2968-2026")</f>
        <v/>
      </c>
      <c r="AB92">
        <f>HYPERLINK("https://klasma.github.io/Logging_2080/tillsynsmail/A 2968-2026 tillsynsbegäran mail.docx", "A 2968-2026")</f>
        <v/>
      </c>
      <c r="AC92">
        <f>HYPERLINK("https://klasma.github.io/Logging_2080/fåglar/A 2968-2026 prioriterade fågelarter.docx", "A 2968-2026")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46222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Tretåig hackspett
Ullticka</t>
        </is>
      </c>
      <c r="V93">
        <f>HYPERLINK("https://klasma.github.io/Logging_2080/artfynd/A 20658-2026 artfynd.xlsx", "A 20658-2026")</f>
        <v/>
      </c>
      <c r="W93">
        <f>HYPERLINK("https://klasma.github.io/Logging_2080/kartor/A 20658-2026 karta.png", "A 20658-2026")</f>
        <v/>
      </c>
      <c r="Y93">
        <f>HYPERLINK("https://klasma.github.io/Logging_2080/klagomål/A 20658-2026 FSC-klagomål.docx", "A 20658-2026")</f>
        <v/>
      </c>
      <c r="Z93">
        <f>HYPERLINK("https://klasma.github.io/Logging_2080/klagomålsmail/A 20658-2026 FSC-klagomål mail.docx", "A 20658-2026")</f>
        <v/>
      </c>
      <c r="AA93">
        <f>HYPERLINK("https://klasma.github.io/Logging_2080/tillsyn/A 20658-2026 tillsynsbegäran.docx", "A 20658-2026")</f>
        <v/>
      </c>
      <c r="AB93">
        <f>HYPERLINK("https://klasma.github.io/Logging_2080/tillsynsmail/A 20658-2026 tillsynsbegäran mail.docx", "A 20658-2026")</f>
        <v/>
      </c>
      <c r="AC93">
        <f>HYPERLINK("https://klasma.github.io/Logging_2080/fåglar/A 20658-2026 prioriterade fågelarter.docx", "A 20658-2026")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46222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Knärot
Dropptaggsvamp</t>
        </is>
      </c>
      <c r="V94">
        <f>HYPERLINK("https://klasma.github.io/Logging_2080/artfynd/A 44727-2025 artfynd.xlsx", "A 44727-2025")</f>
        <v/>
      </c>
      <c r="W94">
        <f>HYPERLINK("https://klasma.github.io/Logging_2080/kartor/A 44727-2025 karta.png", "A 44727-2025")</f>
        <v/>
      </c>
      <c r="X94">
        <f>HYPERLINK("https://klasma.github.io/Logging_2080/knärot/A 44727-2025 karta knärot.png", "A 44727-2025")</f>
        <v/>
      </c>
      <c r="Y94">
        <f>HYPERLINK("https://klasma.github.io/Logging_2080/klagomål/A 44727-2025 FSC-klagomål.docx", "A 44727-2025")</f>
        <v/>
      </c>
      <c r="Z94">
        <f>HYPERLINK("https://klasma.github.io/Logging_2080/klagomålsmail/A 44727-2025 FSC-klagomål mail.docx", "A 44727-2025")</f>
        <v/>
      </c>
      <c r="AA94">
        <f>HYPERLINK("https://klasma.github.io/Logging_2080/tillsyn/A 44727-2025 tillsynsbegäran.docx", "A 44727-2025")</f>
        <v/>
      </c>
      <c r="AB94">
        <f>HYPERLINK("https://klasma.github.io/Logging_2080/tillsynsmail/A 44727-2025 tillsynsbegäran mail.docx", "A 44727-2025")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46222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Mindre vattensalamander
Vanlig padda</t>
        </is>
      </c>
      <c r="V95">
        <f>HYPERLINK("https://klasma.github.io/Logging_2080/artfynd/A 45869-2023 artfynd.xlsx", "A 45869-2023")</f>
        <v/>
      </c>
      <c r="W95">
        <f>HYPERLINK("https://klasma.github.io/Logging_2080/kartor/A 45869-2023 karta.png", "A 45869-2023")</f>
        <v/>
      </c>
      <c r="Y95">
        <f>HYPERLINK("https://klasma.github.io/Logging_2080/klagomål/A 45869-2023 FSC-klagomål.docx", "A 45869-2023")</f>
        <v/>
      </c>
      <c r="Z95">
        <f>HYPERLINK("https://klasma.github.io/Logging_2080/klagomålsmail/A 45869-2023 FSC-klagomål mail.docx", "A 45869-2023")</f>
        <v/>
      </c>
      <c r="AA95">
        <f>HYPERLINK("https://klasma.github.io/Logging_2080/tillsyn/A 45869-2023 tillsynsbegäran.docx", "A 45869-2023")</f>
        <v/>
      </c>
      <c r="AB95">
        <f>HYPERLINK("https://klasma.github.io/Logging_2080/tillsynsmail/A 45869-2023 tillsynsbegäran mail.docx", "A 45869-2023")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46222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Spillkråka
Tjäder</t>
        </is>
      </c>
      <c r="V96">
        <f>HYPERLINK("https://klasma.github.io/Logging_2080/artfynd/A 26586-2023 artfynd.xlsx", "A 26586-2023")</f>
        <v/>
      </c>
      <c r="W96">
        <f>HYPERLINK("https://klasma.github.io/Logging_2080/kartor/A 26586-2023 karta.png", "A 26586-2023")</f>
        <v/>
      </c>
      <c r="Y96">
        <f>HYPERLINK("https://klasma.github.io/Logging_2080/klagomål/A 26586-2023 FSC-klagomål.docx", "A 26586-2023")</f>
        <v/>
      </c>
      <c r="Z96">
        <f>HYPERLINK("https://klasma.github.io/Logging_2080/klagomålsmail/A 26586-2023 FSC-klagomål mail.docx", "A 26586-2023")</f>
        <v/>
      </c>
      <c r="AA96">
        <f>HYPERLINK("https://klasma.github.io/Logging_2080/tillsyn/A 26586-2023 tillsynsbegäran.docx", "A 26586-2023")</f>
        <v/>
      </c>
      <c r="AB96">
        <f>HYPERLINK("https://klasma.github.io/Logging_2080/tillsynsmail/A 26586-2023 tillsynsbegäran mail.docx", "A 26586-2023")</f>
        <v/>
      </c>
      <c r="AC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46222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Gul taggsvamp
Dofttaggsvamp</t>
        </is>
      </c>
      <c r="V97">
        <f>HYPERLINK("https://klasma.github.io/Logging_2080/artfynd/A 22969-2025 artfynd.xlsx", "A 22969-2025")</f>
        <v/>
      </c>
      <c r="W97">
        <f>HYPERLINK("https://klasma.github.io/Logging_2080/kartor/A 22969-2025 karta.png", "A 22969-2025")</f>
        <v/>
      </c>
      <c r="Y97">
        <f>HYPERLINK("https://klasma.github.io/Logging_2080/klagomål/A 22969-2025 FSC-klagomål.docx", "A 22969-2025")</f>
        <v/>
      </c>
      <c r="Z97">
        <f>HYPERLINK("https://klasma.github.io/Logging_2080/klagomålsmail/A 22969-2025 FSC-klagomål mail.docx", "A 22969-2025")</f>
        <v/>
      </c>
      <c r="AA97">
        <f>HYPERLINK("https://klasma.github.io/Logging_2080/tillsyn/A 22969-2025 tillsynsbegäran.docx", "A 22969-2025")</f>
        <v/>
      </c>
      <c r="AB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46222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Garnlav
Ullticka</t>
        </is>
      </c>
      <c r="V98">
        <f>HYPERLINK("https://klasma.github.io/Logging_2080/artfynd/S 550-2025 artfynd.xlsx", "S 550-2025")</f>
        <v/>
      </c>
      <c r="W98">
        <f>HYPERLINK("https://klasma.github.io/Logging_2080/kartor/S 550-2025 karta.png", "S 550-2025")</f>
        <v/>
      </c>
      <c r="Y98">
        <f>HYPERLINK("https://klasma.github.io/Logging_2080/klagomål/S 550-2025 FSC-klagomål.docx", "S 550-2025")</f>
        <v/>
      </c>
      <c r="Z98">
        <f>HYPERLINK("https://klasma.github.io/Logging_2080/klagomålsmail/S 550-2025 FSC-klagomål mail.docx", "S 550-2025")</f>
        <v/>
      </c>
      <c r="AA98">
        <f>HYPERLINK("https://klasma.github.io/Logging_2080/tillsyn/S 550-2025 tillsynsbegäran.docx", "S 550-2025")</f>
        <v/>
      </c>
      <c r="AB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46222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s="2" t="inlineStr">
        <is>
          <t>Knärot
Kungsfågel</t>
        </is>
      </c>
      <c r="V99">
        <f>HYPERLINK("https://klasma.github.io/Logging_2080/artfynd/S 1849-2025 artfynd.xlsx", "S 1849-2025")</f>
        <v/>
      </c>
      <c r="W99">
        <f>HYPERLINK("https://klasma.github.io/Logging_2080/kartor/S 1849-2025 karta.png", "S 1849-2025")</f>
        <v/>
      </c>
      <c r="X99">
        <f>HYPERLINK("https://klasma.github.io/Logging_2080/knärot/S 1849-2025 karta knärot.png", "S 1849-2025")</f>
        <v/>
      </c>
      <c r="Y99">
        <f>HYPERLINK("https://klasma.github.io/Logging_2080/klagomål/S 1849-2025 FSC-klagomål.docx", "S 1849-2025")</f>
        <v/>
      </c>
      <c r="Z99">
        <f>HYPERLINK("https://klasma.github.io/Logging_2080/klagomålsmail/S 1849-2025 FSC-klagomål mail.docx", "S 1849-2025")</f>
        <v/>
      </c>
      <c r="AA99">
        <f>HYPERLINK("https://klasma.github.io/Logging_2080/tillsyn/S 1849-2025 tillsynsbegäran.docx", "S 1849-2025")</f>
        <v/>
      </c>
      <c r="AB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46222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Bronshjon</t>
        </is>
      </c>
      <c r="V100">
        <f>HYPERLINK("https://klasma.github.io/Logging_2080/artfynd/A 50518-2021 artfynd.xlsx", "A 50518-2021")</f>
        <v/>
      </c>
      <c r="W100">
        <f>HYPERLINK("https://klasma.github.io/Logging_2080/kartor/A 50518-2021 karta.png", "A 50518-2021")</f>
        <v/>
      </c>
      <c r="Y100">
        <f>HYPERLINK("https://klasma.github.io/Logging_2080/klagomål/A 50518-2021 FSC-klagomål.docx", "A 50518-2021")</f>
        <v/>
      </c>
      <c r="Z100">
        <f>HYPERLINK("https://klasma.github.io/Logging_2080/klagomålsmail/A 50518-2021 FSC-klagomål mail.docx", "A 50518-2021")</f>
        <v/>
      </c>
      <c r="AA100">
        <f>HYPERLINK("https://klasma.github.io/Logging_2080/tillsyn/A 50518-2021 tillsynsbegäran.docx", "A 50518-2021")</f>
        <v/>
      </c>
      <c r="AB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46222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Pärluggla</t>
        </is>
      </c>
      <c r="V101">
        <f>HYPERLINK("https://klasma.github.io/Logging_2080/artfynd/A 46740-2022 artfynd.xlsx", "A 46740-2022")</f>
        <v/>
      </c>
      <c r="W101">
        <f>HYPERLINK("https://klasma.github.io/Logging_2080/kartor/A 46740-2022 karta.png", "A 46740-2022")</f>
        <v/>
      </c>
      <c r="Y101">
        <f>HYPERLINK("https://klasma.github.io/Logging_2080/klagomål/A 46740-2022 FSC-klagomål.docx", "A 46740-2022")</f>
        <v/>
      </c>
      <c r="Z101">
        <f>HYPERLINK("https://klasma.github.io/Logging_2080/klagomålsmail/A 46740-2022 FSC-klagomål mail.docx", "A 46740-2022")</f>
        <v/>
      </c>
      <c r="AA101">
        <f>HYPERLINK("https://klasma.github.io/Logging_2080/tillsyn/A 46740-2022 tillsynsbegäran.docx", "A 46740-2022")</f>
        <v/>
      </c>
      <c r="AB101">
        <f>HYPERLINK("https://klasma.github.io/Logging_2080/tillsynsmail/A 46740-2022 tillsynsbegäran mail.docx", "A 46740-2022")</f>
        <v/>
      </c>
      <c r="AC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46222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Åkergroda</t>
        </is>
      </c>
      <c r="V102">
        <f>HYPERLINK("https://klasma.github.io/Logging_2080/artfynd/A 15540-2022 artfynd.xlsx", "A 15540-2022")</f>
        <v/>
      </c>
      <c r="W102">
        <f>HYPERLINK("https://klasma.github.io/Logging_2080/kartor/A 15540-2022 karta.png", "A 15540-2022")</f>
        <v/>
      </c>
      <c r="Y102">
        <f>HYPERLINK("https://klasma.github.io/Logging_2080/klagomål/A 15540-2022 FSC-klagomål.docx", "A 15540-2022")</f>
        <v/>
      </c>
      <c r="Z102">
        <f>HYPERLINK("https://klasma.github.io/Logging_2080/klagomålsmail/A 15540-2022 FSC-klagomål mail.docx", "A 15540-2022")</f>
        <v/>
      </c>
      <c r="AA102">
        <f>HYPERLINK("https://klasma.github.io/Logging_2080/tillsyn/A 15540-2022 tillsynsbegäran.docx", "A 15540-2022")</f>
        <v/>
      </c>
      <c r="AB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46222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HYPERLINK("https://klasma.github.io/Logging_2080/artfynd/A 20142-2022 artfynd.xlsx", "A 20142-2022")</f>
        <v/>
      </c>
      <c r="W103">
        <f>HYPERLINK("https://klasma.github.io/Logging_2080/kartor/A 20142-2022 karta.png", "A 20142-2022")</f>
        <v/>
      </c>
      <c r="Y103">
        <f>HYPERLINK("https://klasma.github.io/Logging_2080/klagomål/A 20142-2022 FSC-klagomål.docx", "A 20142-2022")</f>
        <v/>
      </c>
      <c r="Z103">
        <f>HYPERLINK("https://klasma.github.io/Logging_2080/klagomålsmail/A 20142-2022 FSC-klagomål mail.docx", "A 20142-2022")</f>
        <v/>
      </c>
      <c r="AA103">
        <f>HYPERLINK("https://klasma.github.io/Logging_2080/tillsyn/A 20142-2022 tillsynsbegäran.docx", "A 20142-2022")</f>
        <v/>
      </c>
      <c r="AB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46222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Kungsfågel</t>
        </is>
      </c>
      <c r="V104">
        <f>HYPERLINK("https://klasma.github.io/Logging_2080/artfynd/A 32584-2024 artfynd.xlsx", "A 32584-2024")</f>
        <v/>
      </c>
      <c r="W104">
        <f>HYPERLINK("https://klasma.github.io/Logging_2080/kartor/A 32584-2024 karta.png", "A 32584-2024")</f>
        <v/>
      </c>
      <c r="Y104">
        <f>HYPERLINK("https://klasma.github.io/Logging_2080/klagomål/A 32584-2024 FSC-klagomål.docx", "A 32584-2024")</f>
        <v/>
      </c>
      <c r="Z104">
        <f>HYPERLINK("https://klasma.github.io/Logging_2080/klagomålsmail/A 32584-2024 FSC-klagomål mail.docx", "A 32584-2024")</f>
        <v/>
      </c>
      <c r="AA104">
        <f>HYPERLINK("https://klasma.github.io/Logging_2080/tillsyn/A 32584-2024 tillsynsbegäran.docx", "A 32584-2024")</f>
        <v/>
      </c>
      <c r="AB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46222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Tretåig hackspett</t>
        </is>
      </c>
      <c r="V105">
        <f>HYPERLINK("https://klasma.github.io/Logging_2080/artfynd/A 51870-2022 artfynd.xlsx", "A 51870-2022")</f>
        <v/>
      </c>
      <c r="W105">
        <f>HYPERLINK("https://klasma.github.io/Logging_2080/kartor/A 51870-2022 karta.png", "A 51870-2022")</f>
        <v/>
      </c>
      <c r="Y105">
        <f>HYPERLINK("https://klasma.github.io/Logging_2080/klagomål/A 51870-2022 FSC-klagomål.docx", "A 51870-2022")</f>
        <v/>
      </c>
      <c r="Z105">
        <f>HYPERLINK("https://klasma.github.io/Logging_2080/klagomålsmail/A 51870-2022 FSC-klagomål mail.docx", "A 51870-2022")</f>
        <v/>
      </c>
      <c r="AA105">
        <f>HYPERLINK("https://klasma.github.io/Logging_2080/tillsyn/A 51870-2022 tillsynsbegäran.docx", "A 51870-2022")</f>
        <v/>
      </c>
      <c r="AB105">
        <f>HYPERLINK("https://klasma.github.io/Logging_2080/tillsynsmail/A 51870-2022 tillsynsbegäran mail.docx", "A 51870-2022")</f>
        <v/>
      </c>
      <c r="AC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46222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Lunglav</t>
        </is>
      </c>
      <c r="V106">
        <f>HYPERLINK("https://klasma.github.io/Logging_2080/artfynd/A 19421-2024 artfynd.xlsx", "A 19421-2024")</f>
        <v/>
      </c>
      <c r="W106">
        <f>HYPERLINK("https://klasma.github.io/Logging_2080/kartor/A 19421-2024 karta.png", "A 19421-2024")</f>
        <v/>
      </c>
      <c r="Y106">
        <f>HYPERLINK("https://klasma.github.io/Logging_2080/klagomål/A 19421-2024 FSC-klagomål.docx", "A 19421-2024")</f>
        <v/>
      </c>
      <c r="Z106">
        <f>HYPERLINK("https://klasma.github.io/Logging_2080/klagomålsmail/A 19421-2024 FSC-klagomål mail.docx", "A 19421-2024")</f>
        <v/>
      </c>
      <c r="AA106">
        <f>HYPERLINK("https://klasma.github.io/Logging_2080/tillsyn/A 19421-2024 tillsynsbegäran.docx", "A 19421-2024")</f>
        <v/>
      </c>
      <c r="AB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46222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Blå taggsvamp</t>
        </is>
      </c>
      <c r="V107">
        <f>HYPERLINK("https://klasma.github.io/Logging_2080/artfynd/A 1010-2023 artfynd.xlsx", "A 1010-2023")</f>
        <v/>
      </c>
      <c r="W107">
        <f>HYPERLINK("https://klasma.github.io/Logging_2080/kartor/A 1010-2023 karta.png", "A 1010-2023")</f>
        <v/>
      </c>
      <c r="Y107">
        <f>HYPERLINK("https://klasma.github.io/Logging_2080/klagomål/A 1010-2023 FSC-klagomål.docx", "A 1010-2023")</f>
        <v/>
      </c>
      <c r="Z107">
        <f>HYPERLINK("https://klasma.github.io/Logging_2080/klagomålsmail/A 1010-2023 FSC-klagomål mail.docx", "A 1010-2023")</f>
        <v/>
      </c>
      <c r="AA107">
        <f>HYPERLINK("https://klasma.github.io/Logging_2080/tillsyn/A 1010-2023 tillsynsbegäran.docx", "A 1010-2023")</f>
        <v/>
      </c>
      <c r="AB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46222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s="2" t="inlineStr">
        <is>
          <t>Brun gräsfjäril</t>
        </is>
      </c>
      <c r="V108">
        <f>HYPERLINK("https://klasma.github.io/Logging_2080/artfynd/A 22069-2023 artfynd.xlsx", "A 22069-2023")</f>
        <v/>
      </c>
      <c r="W108">
        <f>HYPERLINK("https://klasma.github.io/Logging_2080/kartor/A 22069-2023 karta.png", "A 22069-2023")</f>
        <v/>
      </c>
      <c r="Y108">
        <f>HYPERLINK("https://klasma.github.io/Logging_2080/klagomål/A 22069-2023 FSC-klagomål.docx", "A 22069-2023")</f>
        <v/>
      </c>
      <c r="Z108">
        <f>HYPERLINK("https://klasma.github.io/Logging_2080/klagomålsmail/A 22069-2023 FSC-klagomål mail.docx", "A 22069-2023")</f>
        <v/>
      </c>
      <c r="AA108">
        <f>HYPERLINK("https://klasma.github.io/Logging_2080/tillsyn/A 22069-2023 tillsynsbegäran.docx", "A 22069-2023")</f>
        <v/>
      </c>
      <c r="AB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26721-2025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Doftskinn</t>
        </is>
      </c>
      <c r="V109">
        <f>HYPERLINK("https://klasma.github.io/Logging_2080/artfynd/A 26721-2025 artfynd.xlsx", "A 26721-2025")</f>
        <v/>
      </c>
      <c r="W109">
        <f>HYPERLINK("https://klasma.github.io/Logging_2080/kartor/A 26721-2025 karta.png", "A 26721-2025")</f>
        <v/>
      </c>
      <c r="Y109">
        <f>HYPERLINK("https://klasma.github.io/Logging_2080/klagomål/A 26721-2025 FSC-klagomål.docx", "A 26721-2025")</f>
        <v/>
      </c>
      <c r="Z109">
        <f>HYPERLINK("https://klasma.github.io/Logging_2080/klagomålsmail/A 26721-2025 FSC-klagomål mail.docx", "A 26721-2025")</f>
        <v/>
      </c>
      <c r="AA109">
        <f>HYPERLINK("https://klasma.github.io/Logging_2080/tillsyn/A 26721-2025 tillsynsbegäran.docx", "A 26721-2025")</f>
        <v/>
      </c>
      <c r="AB109">
        <f>HYPERLINK("https://klasma.github.io/Logging_2080/tillsynsmail/A 26721-2025 tillsynsbegäran mail.docx", "A 26721-2025")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46222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Skör kvastmossa</t>
        </is>
      </c>
      <c r="V110">
        <f>HYPERLINK("https://klasma.github.io/Logging_2080/artfynd/A 26776-2025 artfynd.xlsx", "A 26776-2025")</f>
        <v/>
      </c>
      <c r="W110">
        <f>HYPERLINK("https://klasma.github.io/Logging_2080/kartor/A 26776-2025 karta.png", "A 26776-2025")</f>
        <v/>
      </c>
      <c r="Y110">
        <f>HYPERLINK("https://klasma.github.io/Logging_2080/klagomål/A 26776-2025 FSC-klagomål.docx", "A 26776-2025")</f>
        <v/>
      </c>
      <c r="Z110">
        <f>HYPERLINK("https://klasma.github.io/Logging_2080/klagomålsmail/A 26776-2025 FSC-klagomål mail.docx", "A 26776-2025")</f>
        <v/>
      </c>
      <c r="AA110">
        <f>HYPERLINK("https://klasma.github.io/Logging_2080/tillsyn/A 26776-2025 tillsynsbegäran.docx", "A 26776-2025")</f>
        <v/>
      </c>
      <c r="AB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46222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HYPERLINK("https://klasma.github.io/Logging_2080/artfynd/A 28679-2025 artfynd.xlsx", "A 28679-2025")</f>
        <v/>
      </c>
      <c r="W111">
        <f>HYPERLINK("https://klasma.github.io/Logging_2080/kartor/A 28679-2025 karta.png", "A 28679-2025")</f>
        <v/>
      </c>
      <c r="Y111">
        <f>HYPERLINK("https://klasma.github.io/Logging_2080/klagomål/A 28679-2025 FSC-klagomål.docx", "A 28679-2025")</f>
        <v/>
      </c>
      <c r="Z111">
        <f>HYPERLINK("https://klasma.github.io/Logging_2080/klagomålsmail/A 28679-2025 FSC-klagomål mail.docx", "A 28679-2025")</f>
        <v/>
      </c>
      <c r="AA111">
        <f>HYPERLINK("https://klasma.github.io/Logging_2080/tillsyn/A 28679-2025 tillsynsbegäran.docx", "A 28679-2025")</f>
        <v/>
      </c>
      <c r="AB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4921-2026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46222</v>
      </c>
      <c r="F112" t="inlineStr">
        <is>
          <t>DALARNAS LÄN</t>
        </is>
      </c>
      <c r="G112" t="inlineStr">
        <is>
          <t>FALUN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HYPERLINK("https://klasma.github.io/Logging_2080/artfynd/A 4921-2026 artfynd.xlsx", "A 4921-2026")</f>
        <v/>
      </c>
      <c r="W112">
        <f>HYPERLINK("https://klasma.github.io/Logging_2080/kartor/A 4921-2026 karta.png", "A 4921-2026")</f>
        <v/>
      </c>
      <c r="Y112">
        <f>HYPERLINK("https://klasma.github.io/Logging_2080/klagomål/A 4921-2026 FSC-klagomål.docx", "A 4921-2026")</f>
        <v/>
      </c>
      <c r="Z112">
        <f>HYPERLINK("https://klasma.github.io/Logging_2080/klagomålsmail/A 4921-2026 FSC-klagomål mail.docx", "A 4921-2026")</f>
        <v/>
      </c>
      <c r="AA112">
        <f>HYPERLINK("https://klasma.github.io/Logging_2080/tillsyn/A 4921-2026 tillsynsbegäran.docx", "A 4921-2026")</f>
        <v/>
      </c>
      <c r="AB112">
        <f>HYPERLINK("https://klasma.github.io/Logging_2080/tillsynsmail/A 4921-2026 tillsynsbegäran mail.docx", "A 4921-2026")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46222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Knärot</t>
        </is>
      </c>
      <c r="V113">
        <f>HYPERLINK("https://klasma.github.io/Logging_2080/artfynd/A 4537-2026 artfynd.xlsx", "A 4537-2026")</f>
        <v/>
      </c>
      <c r="W113">
        <f>HYPERLINK("https://klasma.github.io/Logging_2080/kartor/A 4537-2026 karta.png", "A 4537-2026")</f>
        <v/>
      </c>
      <c r="X113">
        <f>HYPERLINK("https://klasma.github.io/Logging_2080/knärot/A 4537-2026 karta knärot.png", "A 4537-2026")</f>
        <v/>
      </c>
      <c r="Y113">
        <f>HYPERLINK("https://klasma.github.io/Logging_2080/klagomål/A 4537-2026 FSC-klagomål.docx", "A 4537-2026")</f>
        <v/>
      </c>
      <c r="Z113">
        <f>HYPERLINK("https://klasma.github.io/Logging_2080/klagomålsmail/A 4537-2026 FSC-klagomål mail.docx", "A 4537-2026")</f>
        <v/>
      </c>
      <c r="AA113">
        <f>HYPERLINK("https://klasma.github.io/Logging_2080/tillsyn/A 4537-2026 tillsynsbegäran.docx", "A 4537-2026")</f>
        <v/>
      </c>
      <c r="AB113">
        <f>HYPERLINK("https://klasma.github.io/Logging_2080/tillsynsmail/A 4537-2026 tillsynsbegäran mail.docx", "A 4537-2026")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46222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Tjäder</t>
        </is>
      </c>
      <c r="V114">
        <f>HYPERLINK("https://klasma.github.io/Logging_2080/artfynd/A 3552-2026 artfynd.xlsx", "A 3552-2026")</f>
        <v/>
      </c>
      <c r="W114">
        <f>HYPERLINK("https://klasma.github.io/Logging_2080/kartor/A 3552-2026 karta.png", "A 3552-2026")</f>
        <v/>
      </c>
      <c r="Y114">
        <f>HYPERLINK("https://klasma.github.io/Logging_2080/klagomål/A 3552-2026 FSC-klagomål.docx", "A 3552-2026")</f>
        <v/>
      </c>
      <c r="Z114">
        <f>HYPERLINK("https://klasma.github.io/Logging_2080/klagomålsmail/A 3552-2026 FSC-klagomål mail.docx", "A 3552-2026")</f>
        <v/>
      </c>
      <c r="AA114">
        <f>HYPERLINK("https://klasma.github.io/Logging_2080/tillsyn/A 3552-2026 tillsynsbegäran.docx", "A 3552-2026")</f>
        <v/>
      </c>
      <c r="AB114">
        <f>HYPERLINK("https://klasma.github.io/Logging_2080/tillsynsmail/A 3552-2026 tillsynsbegäran mail.docx", "A 3552-2026")</f>
        <v/>
      </c>
      <c r="AC114">
        <f>HYPERLINK("https://klasma.github.io/Logging_2080/fåglar/A 3552-2026 prioriterade fågelarter.docx", "A 3552-2026")</f>
        <v/>
      </c>
    </row>
    <row r="115" ht="15" customHeight="1">
      <c r="A115" t="inlineStr">
        <is>
          <t>A 56138-2024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46222</v>
      </c>
      <c r="F115" t="inlineStr">
        <is>
          <t>DALARNAS LÄN</t>
        </is>
      </c>
      <c r="G115" t="inlineStr">
        <is>
          <t>FALUN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Citronporing</t>
        </is>
      </c>
      <c r="V115">
        <f>HYPERLINK("https://klasma.github.io/Logging_2080/artfynd/A 56138-2024 artfynd.xlsx", "A 56138-2024")</f>
        <v/>
      </c>
      <c r="W115">
        <f>HYPERLINK("https://klasma.github.io/Logging_2080/kartor/A 56138-2024 karta.png", "A 56138-2024")</f>
        <v/>
      </c>
      <c r="Y115">
        <f>HYPERLINK("https://klasma.github.io/Logging_2080/klagomål/A 56138-2024 FSC-klagomål.docx", "A 56138-2024")</f>
        <v/>
      </c>
      <c r="Z115">
        <f>HYPERLINK("https://klasma.github.io/Logging_2080/klagomålsmail/A 56138-2024 FSC-klagomål mail.docx", "A 56138-2024")</f>
        <v/>
      </c>
      <c r="AA115">
        <f>HYPERLINK("https://klasma.github.io/Logging_2080/tillsyn/A 56138-2024 tillsynsbegäran.docx", "A 56138-2024")</f>
        <v/>
      </c>
      <c r="AB115">
        <f>HYPERLINK("https://klasma.github.io/Logging_2080/tillsynsmail/A 56138-2024 tillsynsbegäran mail.docx", "A 56138-2024")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46222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Garnlav</t>
        </is>
      </c>
      <c r="V116">
        <f>HYPERLINK("https://klasma.github.io/Logging_2080/artfynd/A 6968-2026 artfynd.xlsx", "A 6968-2026")</f>
        <v/>
      </c>
      <c r="W116">
        <f>HYPERLINK("https://klasma.github.io/Logging_2080/kartor/A 6968-2026 karta.png", "A 6968-2026")</f>
        <v/>
      </c>
      <c r="Y116">
        <f>HYPERLINK("https://klasma.github.io/Logging_2080/klagomål/A 6968-2026 FSC-klagomål.docx", "A 6968-2026")</f>
        <v/>
      </c>
      <c r="Z116">
        <f>HYPERLINK("https://klasma.github.io/Logging_2080/klagomålsmail/A 6968-2026 FSC-klagomål mail.docx", "A 6968-2026")</f>
        <v/>
      </c>
      <c r="AA116">
        <f>HYPERLINK("https://klasma.github.io/Logging_2080/tillsyn/A 6968-2026 tillsynsbegäran.docx", "A 6968-2026")</f>
        <v/>
      </c>
      <c r="AB116">
        <f>HYPERLINK("https://klasma.github.io/Logging_2080/tillsynsmail/A 6968-2026 tillsynsbegäran mail.docx", "A 6968-2026")</f>
        <v/>
      </c>
    </row>
    <row r="117" ht="15" customHeight="1">
      <c r="A117" t="inlineStr">
        <is>
          <t>A 6962-2026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46222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20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Garnlav</t>
        </is>
      </c>
      <c r="V117">
        <f>HYPERLINK("https://klasma.github.io/Logging_2080/artfynd/A 6962-2026 artfynd.xlsx", "A 6962-2026")</f>
        <v/>
      </c>
      <c r="W117">
        <f>HYPERLINK("https://klasma.github.io/Logging_2080/kartor/A 6962-2026 karta.png", "A 6962-2026")</f>
        <v/>
      </c>
      <c r="Y117">
        <f>HYPERLINK("https://klasma.github.io/Logging_2080/klagomål/A 6962-2026 FSC-klagomål.docx", "A 6962-2026")</f>
        <v/>
      </c>
      <c r="Z117">
        <f>HYPERLINK("https://klasma.github.io/Logging_2080/klagomålsmail/A 6962-2026 FSC-klagomål mail.docx", "A 6962-2026")</f>
        <v/>
      </c>
      <c r="AA117">
        <f>HYPERLINK("https://klasma.github.io/Logging_2080/tillsyn/A 6962-2026 tillsynsbegäran.docx", "A 6962-2026")</f>
        <v/>
      </c>
      <c r="AB117">
        <f>HYPERLINK("https://klasma.github.io/Logging_2080/tillsynsmail/A 6962-2026 tillsynsbegäran mail.docx", "A 6962-2026")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46222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Rynkskinn</t>
        </is>
      </c>
      <c r="V118">
        <f>HYPERLINK("https://klasma.github.io/Logging_2080/artfynd/A 36199-2025 artfynd.xlsx", "A 36199-2025")</f>
        <v/>
      </c>
      <c r="W118">
        <f>HYPERLINK("https://klasma.github.io/Logging_2080/kartor/A 36199-2025 karta.png", "A 36199-2025")</f>
        <v/>
      </c>
      <c r="Y118">
        <f>HYPERLINK("https://klasma.github.io/Logging_2080/klagomål/A 36199-2025 FSC-klagomål.docx", "A 36199-2025")</f>
        <v/>
      </c>
      <c r="Z118">
        <f>HYPERLINK("https://klasma.github.io/Logging_2080/klagomålsmail/A 36199-2025 FSC-klagomål mail.docx", "A 36199-2025")</f>
        <v/>
      </c>
      <c r="AA118">
        <f>HYPERLINK("https://klasma.github.io/Logging_2080/tillsyn/A 36199-2025 tillsynsbegäran.docx", "A 36199-2025")</f>
        <v/>
      </c>
      <c r="AB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46222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s="2" t="inlineStr">
        <is>
          <t>Knärot</t>
        </is>
      </c>
      <c r="V119">
        <f>HYPERLINK("https://klasma.github.io/Logging_2080/artfynd/A 12927-2023 artfynd.xlsx", "A 12927-2023")</f>
        <v/>
      </c>
      <c r="W119">
        <f>HYPERLINK("https://klasma.github.io/Logging_2080/kartor/A 12927-2023 karta.png", "A 12927-2023")</f>
        <v/>
      </c>
      <c r="X119">
        <f>HYPERLINK("https://klasma.github.io/Logging_2080/knärot/A 12927-2023 karta knärot.png", "A 12927-2023")</f>
        <v/>
      </c>
      <c r="Y119">
        <f>HYPERLINK("https://klasma.github.io/Logging_2080/klagomål/A 12927-2023 FSC-klagomål.docx", "A 12927-2023")</f>
        <v/>
      </c>
      <c r="Z119">
        <f>HYPERLINK("https://klasma.github.io/Logging_2080/klagomålsmail/A 12927-2023 FSC-klagomål mail.docx", "A 12927-2023")</f>
        <v/>
      </c>
      <c r="AA119">
        <f>HYPERLINK("https://klasma.github.io/Logging_2080/tillsyn/A 12927-2023 tillsynsbegäran.docx", "A 12927-2023")</f>
        <v/>
      </c>
      <c r="AB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46222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s="2" t="inlineStr">
        <is>
          <t>Brun gräsfjäril</t>
        </is>
      </c>
      <c r="V120">
        <f>HYPERLINK("https://klasma.github.io/Logging_2080/artfynd/A 49374-2025 artfynd.xlsx", "A 49374-2025")</f>
        <v/>
      </c>
      <c r="W120">
        <f>HYPERLINK("https://klasma.github.io/Logging_2080/kartor/A 49374-2025 karta.png", "A 49374-2025")</f>
        <v/>
      </c>
      <c r="Y120">
        <f>HYPERLINK("https://klasma.github.io/Logging_2080/klagomål/A 49374-2025 FSC-klagomål.docx", "A 49374-2025")</f>
        <v/>
      </c>
      <c r="Z120">
        <f>HYPERLINK("https://klasma.github.io/Logging_2080/klagomålsmail/A 49374-2025 FSC-klagomål mail.docx", "A 49374-2025")</f>
        <v/>
      </c>
      <c r="AA120">
        <f>HYPERLINK("https://klasma.github.io/Logging_2080/tillsyn/A 49374-2025 tillsynsbegäran.docx", "A 49374-2025")</f>
        <v/>
      </c>
      <c r="AB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46222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HYPERLINK("https://klasma.github.io/Logging_2080/artfynd/A 22784-2024 artfynd.xlsx", "A 22784-2024")</f>
        <v/>
      </c>
      <c r="W121">
        <f>HYPERLINK("https://klasma.github.io/Logging_2080/kartor/A 22784-2024 karta.png", "A 22784-2024")</f>
        <v/>
      </c>
      <c r="Y121">
        <f>HYPERLINK("https://klasma.github.io/Logging_2080/klagomål/A 22784-2024 FSC-klagomål.docx", "A 22784-2024")</f>
        <v/>
      </c>
      <c r="Z121">
        <f>HYPERLINK("https://klasma.github.io/Logging_2080/klagomålsmail/A 22784-2024 FSC-klagomål mail.docx", "A 22784-2024")</f>
        <v/>
      </c>
      <c r="AA121">
        <f>HYPERLINK("https://klasma.github.io/Logging_2080/tillsyn/A 22784-2024 tillsynsbegäran.docx", "A 22784-2024")</f>
        <v/>
      </c>
      <c r="AB121">
        <f>HYPERLINK("https://klasma.github.io/Logging_2080/tillsynsmail/A 22784-2024 tillsynsbegäran mail.docx", "A 22784-2024")</f>
        <v/>
      </c>
      <c r="AC121">
        <f>HYPERLINK("https://klasma.github.io/Logging_2080/fåglar/A 22784-2024 prioriterade fågelarter.docx", "A 22784-2024")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46222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Dropptaggsvamp</t>
        </is>
      </c>
      <c r="V122">
        <f>HYPERLINK("https://klasma.github.io/Logging_2080/artfynd/A 61661-2024 artfynd.xlsx", "A 61661-2024")</f>
        <v/>
      </c>
      <c r="W122">
        <f>HYPERLINK("https://klasma.github.io/Logging_2080/kartor/A 61661-2024 karta.png", "A 61661-2024")</f>
        <v/>
      </c>
      <c r="Y122">
        <f>HYPERLINK("https://klasma.github.io/Logging_2080/klagomål/A 61661-2024 FSC-klagomål.docx", "A 61661-2024")</f>
        <v/>
      </c>
      <c r="Z122">
        <f>HYPERLINK("https://klasma.github.io/Logging_2080/klagomålsmail/A 61661-2024 FSC-klagomål mail.docx", "A 61661-2024")</f>
        <v/>
      </c>
      <c r="AA122">
        <f>HYPERLINK("https://klasma.github.io/Logging_2080/tillsyn/A 61661-2024 tillsynsbegäran.docx", "A 61661-2024")</f>
        <v/>
      </c>
      <c r="AB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6951-2026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46222</v>
      </c>
      <c r="F123" t="inlineStr">
        <is>
          <t>DALARNAS LÄN</t>
        </is>
      </c>
      <c r="G123" t="inlineStr">
        <is>
          <t>FALUN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HYPERLINK("https://klasma.github.io/Logging_2080/artfynd/A 6951-2026 artfynd.xlsx", "A 6951-2026")</f>
        <v/>
      </c>
      <c r="W123">
        <f>HYPERLINK("https://klasma.github.io/Logging_2080/kartor/A 6951-2026 karta.png", "A 6951-2026")</f>
        <v/>
      </c>
      <c r="Y123">
        <f>HYPERLINK("https://klasma.github.io/Logging_2080/klagomål/A 6951-2026 FSC-klagomål.docx", "A 6951-2026")</f>
        <v/>
      </c>
      <c r="Z123">
        <f>HYPERLINK("https://klasma.github.io/Logging_2080/klagomålsmail/A 6951-2026 FSC-klagomål mail.docx", "A 6951-2026")</f>
        <v/>
      </c>
      <c r="AA123">
        <f>HYPERLINK("https://klasma.github.io/Logging_2080/tillsyn/A 6951-2026 tillsynsbegäran.docx", "A 6951-2026")</f>
        <v/>
      </c>
      <c r="AB123">
        <f>HYPERLINK("https://klasma.github.io/Logging_2080/tillsynsmail/A 6951-2026 tillsynsbegäran mail.docx", "A 6951-2026")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46222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Brun gräsfjäril</t>
        </is>
      </c>
      <c r="V124">
        <f>HYPERLINK("https://klasma.github.io/Logging_2080/artfynd/A 21813-2023 artfynd.xlsx", "A 21813-2023")</f>
        <v/>
      </c>
      <c r="W124">
        <f>HYPERLINK("https://klasma.github.io/Logging_2080/kartor/A 21813-2023 karta.png", "A 21813-2023")</f>
        <v/>
      </c>
      <c r="Y124">
        <f>HYPERLINK("https://klasma.github.io/Logging_2080/klagomål/A 21813-2023 FSC-klagomål.docx", "A 21813-2023")</f>
        <v/>
      </c>
      <c r="Z124">
        <f>HYPERLINK("https://klasma.github.io/Logging_2080/klagomålsmail/A 21813-2023 FSC-klagomål mail.docx", "A 21813-2023")</f>
        <v/>
      </c>
      <c r="AA124">
        <f>HYPERLINK("https://klasma.github.io/Logging_2080/tillsyn/A 21813-2023 tillsynsbegäran.docx", "A 21813-2023")</f>
        <v/>
      </c>
      <c r="AB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46222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Lunglav</t>
        </is>
      </c>
      <c r="V125">
        <f>HYPERLINK("https://klasma.github.io/Logging_2080/artfynd/A 53454-2025 artfynd.xlsx", "A 53454-2025")</f>
        <v/>
      </c>
      <c r="W125">
        <f>HYPERLINK("https://klasma.github.io/Logging_2080/kartor/A 53454-2025 karta.png", "A 53454-2025")</f>
        <v/>
      </c>
      <c r="Y125">
        <f>HYPERLINK("https://klasma.github.io/Logging_2080/klagomål/A 53454-2025 FSC-klagomål.docx", "A 53454-2025")</f>
        <v/>
      </c>
      <c r="Z125">
        <f>HYPERLINK("https://klasma.github.io/Logging_2080/klagomålsmail/A 53454-2025 FSC-klagomål mail.docx", "A 53454-2025")</f>
        <v/>
      </c>
      <c r="AA125">
        <f>HYPERLINK("https://klasma.github.io/Logging_2080/tillsyn/A 53454-2025 tillsynsbegäran.docx", "A 53454-2025")</f>
        <v/>
      </c>
      <c r="AB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9343-2026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46222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14.6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HYPERLINK("https://klasma.github.io/Logging_2080/artfynd/A 9343-2026 artfynd.xlsx", "A 9343-2026")</f>
        <v/>
      </c>
      <c r="W126">
        <f>HYPERLINK("https://klasma.github.io/Logging_2080/kartor/A 9343-2026 karta.png", "A 9343-2026")</f>
        <v/>
      </c>
      <c r="Y126">
        <f>HYPERLINK("https://klasma.github.io/Logging_2080/klagomål/A 9343-2026 FSC-klagomål.docx", "A 9343-2026")</f>
        <v/>
      </c>
      <c r="Z126">
        <f>HYPERLINK("https://klasma.github.io/Logging_2080/klagomålsmail/A 9343-2026 FSC-klagomål mail.docx", "A 9343-2026")</f>
        <v/>
      </c>
      <c r="AA126">
        <f>HYPERLINK("https://klasma.github.io/Logging_2080/tillsyn/A 9343-2026 tillsynsbegäran.docx", "A 9343-2026")</f>
        <v/>
      </c>
      <c r="AB126">
        <f>HYPERLINK("https://klasma.github.io/Logging_2080/tillsynsmail/A 9343-2026 tillsynsbegäran mail.docx", "A 9343-2026")</f>
        <v/>
      </c>
    </row>
    <row r="127" ht="15" customHeight="1">
      <c r="A127" t="inlineStr">
        <is>
          <t>A 40853-2022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46222</v>
      </c>
      <c r="F127" t="inlineStr">
        <is>
          <t>DALARNAS LÄN</t>
        </is>
      </c>
      <c r="G127" t="inlineStr">
        <is>
          <t>FALUN</t>
        </is>
      </c>
      <c r="I127" t="n">
        <v>7.2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Sparvuggla</t>
        </is>
      </c>
      <c r="V127">
        <f>HYPERLINK("https://klasma.github.io/Logging_2080/artfynd/A 40853-2022 artfynd.xlsx", "A 40853-2022")</f>
        <v/>
      </c>
      <c r="W127">
        <f>HYPERLINK("https://klasma.github.io/Logging_2080/kartor/A 40853-2022 karta.png", "A 40853-2022")</f>
        <v/>
      </c>
      <c r="Y127">
        <f>HYPERLINK("https://klasma.github.io/Logging_2080/klagomål/A 40853-2022 FSC-klagomål.docx", "A 40853-2022")</f>
        <v/>
      </c>
      <c r="Z127">
        <f>HYPERLINK("https://klasma.github.io/Logging_2080/klagomålsmail/A 40853-2022 FSC-klagomål mail.docx", "A 40853-2022")</f>
        <v/>
      </c>
      <c r="AA127">
        <f>HYPERLINK("https://klasma.github.io/Logging_2080/tillsyn/A 40853-2022 tillsynsbegäran.docx", "A 40853-2022")</f>
        <v/>
      </c>
      <c r="AB127">
        <f>HYPERLINK("https://klasma.github.io/Logging_2080/tillsynsmail/A 40853-2022 tillsynsbegäran mail.docx", "A 40853-2022")</f>
        <v/>
      </c>
      <c r="AC127">
        <f>HYPERLINK("https://klasma.github.io/Logging_2080/fåglar/A 40853-2022 prioriterade fågelarter.docx", "A 40853-2022")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46222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Utter</t>
        </is>
      </c>
      <c r="V128">
        <f>HYPERLINK("https://klasma.github.io/Logging_2080/artfynd/A 11038-2026 artfynd.xlsx", "A 11038-2026")</f>
        <v/>
      </c>
      <c r="W128">
        <f>HYPERLINK("https://klasma.github.io/Logging_2080/kartor/A 11038-2026 karta.png", "A 11038-2026")</f>
        <v/>
      </c>
      <c r="Y128">
        <f>HYPERLINK("https://klasma.github.io/Logging_2080/klagomål/A 11038-2026 FSC-klagomål.docx", "A 11038-2026")</f>
        <v/>
      </c>
      <c r="Z128">
        <f>HYPERLINK("https://klasma.github.io/Logging_2080/klagomålsmail/A 11038-2026 FSC-klagomål mail.docx", "A 11038-2026")</f>
        <v/>
      </c>
      <c r="AA128">
        <f>HYPERLINK("https://klasma.github.io/Logging_2080/tillsyn/A 11038-2026 tillsynsbegäran.docx", "A 11038-2026")</f>
        <v/>
      </c>
      <c r="AB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55724-2025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46222</v>
      </c>
      <c r="F129" t="inlineStr">
        <is>
          <t>DALARNAS LÄN</t>
        </is>
      </c>
      <c r="G129" t="inlineStr">
        <is>
          <t>FALUN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Blåsippa</t>
        </is>
      </c>
      <c r="V129">
        <f>HYPERLINK("https://klasma.github.io/Logging_2080/artfynd/A 55724-2025 artfynd.xlsx", "A 55724-2025")</f>
        <v/>
      </c>
      <c r="W129">
        <f>HYPERLINK("https://klasma.github.io/Logging_2080/kartor/A 55724-2025 karta.png", "A 55724-2025")</f>
        <v/>
      </c>
      <c r="Y129">
        <f>HYPERLINK("https://klasma.github.io/Logging_2080/klagomål/A 55724-2025 FSC-klagomål.docx", "A 55724-2025")</f>
        <v/>
      </c>
      <c r="Z129">
        <f>HYPERLINK("https://klasma.github.io/Logging_2080/klagomålsmail/A 55724-2025 FSC-klagomål mail.docx", "A 55724-2025")</f>
        <v/>
      </c>
      <c r="AA129">
        <f>HYPERLINK("https://klasma.github.io/Logging_2080/tillsyn/A 55724-2025 tillsynsbegäran.docx", "A 55724-2025")</f>
        <v/>
      </c>
      <c r="AB129">
        <f>HYPERLINK("https://klasma.github.io/Logging_2080/tillsynsmail/A 55724-2025 tillsynsbegäran mail.docx", "A 55724-2025")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46222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Sparvuggla</t>
        </is>
      </c>
      <c r="V130">
        <f>HYPERLINK("https://klasma.github.io/Logging_2080/artfynd/A 12257-2026 artfynd.xlsx", "A 12257-2026")</f>
        <v/>
      </c>
      <c r="W130">
        <f>HYPERLINK("https://klasma.github.io/Logging_2080/kartor/A 12257-2026 karta.png", "A 12257-2026")</f>
        <v/>
      </c>
      <c r="Y130">
        <f>HYPERLINK("https://klasma.github.io/Logging_2080/klagomål/A 12257-2026 FSC-klagomål.docx", "A 12257-2026")</f>
        <v/>
      </c>
      <c r="Z130">
        <f>HYPERLINK("https://klasma.github.io/Logging_2080/klagomålsmail/A 12257-2026 FSC-klagomål mail.docx", "A 12257-2026")</f>
        <v/>
      </c>
      <c r="AA130">
        <f>HYPERLINK("https://klasma.github.io/Logging_2080/tillsyn/A 12257-2026 tillsynsbegäran.docx", "A 12257-2026")</f>
        <v/>
      </c>
      <c r="AB130">
        <f>HYPERLINK("https://klasma.github.io/Logging_2080/tillsynsmail/A 12257-2026 tillsynsbegäran mail.docx", "A 12257-2026")</f>
        <v/>
      </c>
      <c r="AC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46222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Sotriska</t>
        </is>
      </c>
      <c r="V131">
        <f>HYPERLINK("https://klasma.github.io/Logging_2080/artfynd/A 13205-2026 artfynd.xlsx", "A 13205-2026")</f>
        <v/>
      </c>
      <c r="W131">
        <f>HYPERLINK("https://klasma.github.io/Logging_2080/kartor/A 13205-2026 karta.png", "A 13205-2026")</f>
        <v/>
      </c>
      <c r="Y131">
        <f>HYPERLINK("https://klasma.github.io/Logging_2080/klagomål/A 13205-2026 FSC-klagomål.docx", "A 13205-2026")</f>
        <v/>
      </c>
      <c r="Z131">
        <f>HYPERLINK("https://klasma.github.io/Logging_2080/klagomålsmail/A 13205-2026 FSC-klagomål mail.docx", "A 13205-2026")</f>
        <v/>
      </c>
      <c r="AA131">
        <f>HYPERLINK("https://klasma.github.io/Logging_2080/tillsyn/A 13205-2026 tillsynsbegäran.docx", "A 13205-2026")</f>
        <v/>
      </c>
      <c r="AB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46222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Stjärntagging</t>
        </is>
      </c>
      <c r="V132">
        <f>HYPERLINK("https://klasma.github.io/Logging_2080/artfynd/A 15178-2026 artfynd.xlsx", "A 15178-2026")</f>
        <v/>
      </c>
      <c r="W132">
        <f>HYPERLINK("https://klasma.github.io/Logging_2080/kartor/A 15178-2026 karta.png", "A 15178-2026")</f>
        <v/>
      </c>
      <c r="Y132">
        <f>HYPERLINK("https://klasma.github.io/Logging_2080/klagomål/A 15178-2026 FSC-klagomål.docx", "A 15178-2026")</f>
        <v/>
      </c>
      <c r="Z132">
        <f>HYPERLINK("https://klasma.github.io/Logging_2080/klagomålsmail/A 15178-2026 FSC-klagomål mail.docx", "A 15178-2026")</f>
        <v/>
      </c>
      <c r="AA132">
        <f>HYPERLINK("https://klasma.github.io/Logging_2080/tillsyn/A 15178-2026 tillsynsbegäran.docx", "A 15178-2026")</f>
        <v/>
      </c>
      <c r="AB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16084-2026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46222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Älg</t>
        </is>
      </c>
      <c r="V133">
        <f>HYPERLINK("https://klasma.github.io/Logging_2080/artfynd/A 16084-2026 artfynd.xlsx", "A 16084-2026")</f>
        <v/>
      </c>
      <c r="W133">
        <f>HYPERLINK("https://klasma.github.io/Logging_2080/kartor/A 16084-2026 karta.png", "A 16084-2026")</f>
        <v/>
      </c>
      <c r="Y133">
        <f>HYPERLINK("https://klasma.github.io/Logging_2080/klagomål/A 16084-2026 FSC-klagomål.docx", "A 16084-2026")</f>
        <v/>
      </c>
      <c r="Z133">
        <f>HYPERLINK("https://klasma.github.io/Logging_2080/klagomålsmail/A 16084-2026 FSC-klagomål mail.docx", "A 16084-2026")</f>
        <v/>
      </c>
      <c r="AA133">
        <f>HYPERLINK("https://klasma.github.io/Logging_2080/tillsyn/A 16084-2026 tillsynsbegäran.docx", "A 16084-2026")</f>
        <v/>
      </c>
      <c r="AB133">
        <f>HYPERLINK("https://klasma.github.io/Logging_2080/tillsynsmail/A 16084-2026 tillsynsbegäran mail.docx", "A 16084-2026")</f>
        <v/>
      </c>
    </row>
    <row r="134" ht="15" customHeight="1">
      <c r="A134" t="inlineStr">
        <is>
          <t>A 1342-2026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46222</v>
      </c>
      <c r="F134" t="inlineStr">
        <is>
          <t>DALARNAS LÄN</t>
        </is>
      </c>
      <c r="G134" t="inlineStr">
        <is>
          <t>FALUN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Igelkott</t>
        </is>
      </c>
      <c r="V134">
        <f>HYPERLINK("https://klasma.github.io/Logging_2080/artfynd/A 1342-2026 artfynd.xlsx", "A 1342-2026")</f>
        <v/>
      </c>
      <c r="W134">
        <f>HYPERLINK("https://klasma.github.io/Logging_2080/kartor/A 1342-2026 karta.png", "A 1342-2026")</f>
        <v/>
      </c>
      <c r="Y134">
        <f>HYPERLINK("https://klasma.github.io/Logging_2080/klagomål/A 1342-2026 FSC-klagomål.docx", "A 1342-2026")</f>
        <v/>
      </c>
      <c r="Z134">
        <f>HYPERLINK("https://klasma.github.io/Logging_2080/klagomålsmail/A 1342-2026 FSC-klagomål mail.docx", "A 1342-2026")</f>
        <v/>
      </c>
      <c r="AA134">
        <f>HYPERLINK("https://klasma.github.io/Logging_2080/tillsyn/A 1342-2026 tillsynsbegäran.docx", "A 1342-2026")</f>
        <v/>
      </c>
      <c r="AB134">
        <f>HYPERLINK("https://klasma.github.io/Logging_2080/tillsynsmail/A 1342-2026 tillsynsbegäran mail.docx", "A 1342-2026")</f>
        <v/>
      </c>
    </row>
    <row r="135" ht="15" customHeight="1">
      <c r="A135" t="inlineStr">
        <is>
          <t>A 1317-2026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46222</v>
      </c>
      <c r="F135" t="inlineStr">
        <is>
          <t>DALARNAS LÄN</t>
        </is>
      </c>
      <c r="G135" t="inlineStr">
        <is>
          <t>FALUN</t>
        </is>
      </c>
      <c r="I135" t="n">
        <v>27.3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Gul groddlummer</t>
        </is>
      </c>
      <c r="V135">
        <f>HYPERLINK("https://klasma.github.io/Logging_2080/artfynd/A 1317-2026 artfynd.xlsx", "A 1317-2026")</f>
        <v/>
      </c>
      <c r="W135">
        <f>HYPERLINK("https://klasma.github.io/Logging_2080/kartor/A 1317-2026 karta.png", "A 1317-2026")</f>
        <v/>
      </c>
      <c r="Y135">
        <f>HYPERLINK("https://klasma.github.io/Logging_2080/klagomål/A 1317-2026 FSC-klagomål.docx", "A 1317-2026")</f>
        <v/>
      </c>
      <c r="Z135">
        <f>HYPERLINK("https://klasma.github.io/Logging_2080/klagomålsmail/A 1317-2026 FSC-klagomål mail.docx", "A 1317-2026")</f>
        <v/>
      </c>
      <c r="AA135">
        <f>HYPERLINK("https://klasma.github.io/Logging_2080/tillsyn/A 1317-2026 tillsynsbegäran.docx", "A 1317-2026")</f>
        <v/>
      </c>
      <c r="AB135">
        <f>HYPERLINK("https://klasma.github.io/Logging_2080/tillsynsmail/A 1317-2026 tillsynsbegäran mail.docx", "A 1317-2026")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46222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Sparvuggla</t>
        </is>
      </c>
      <c r="V136">
        <f>HYPERLINK("https://klasma.github.io/Logging_2080/artfynd/A 15598-2026 artfynd.xlsx", "A 15598-2026")</f>
        <v/>
      </c>
      <c r="W136">
        <f>HYPERLINK("https://klasma.github.io/Logging_2080/kartor/A 15598-2026 karta.png", "A 15598-2026")</f>
        <v/>
      </c>
      <c r="Y136">
        <f>HYPERLINK("https://klasma.github.io/Logging_2080/klagomål/A 15598-2026 FSC-klagomål.docx", "A 15598-2026")</f>
        <v/>
      </c>
      <c r="Z136">
        <f>HYPERLINK("https://klasma.github.io/Logging_2080/klagomålsmail/A 15598-2026 FSC-klagomål mail.docx", "A 15598-2026")</f>
        <v/>
      </c>
      <c r="AA136">
        <f>HYPERLINK("https://klasma.github.io/Logging_2080/tillsyn/A 15598-2026 tillsynsbegäran.docx", "A 15598-2026")</f>
        <v/>
      </c>
      <c r="AB136">
        <f>HYPERLINK("https://klasma.github.io/Logging_2080/tillsynsmail/A 15598-2026 tillsynsbegäran mail.docx", "A 15598-2026")</f>
        <v/>
      </c>
      <c r="AC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46222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HYPERLINK("https://klasma.github.io/Logging_2080/artfynd/A 15601-2026 artfynd.xlsx", "A 15601-2026")</f>
        <v/>
      </c>
      <c r="W137">
        <f>HYPERLINK("https://klasma.github.io/Logging_2080/kartor/A 15601-2026 karta.png", "A 15601-2026")</f>
        <v/>
      </c>
      <c r="Y137">
        <f>HYPERLINK("https://klasma.github.io/Logging_2080/klagomål/A 15601-2026 FSC-klagomål.docx", "A 15601-2026")</f>
        <v/>
      </c>
      <c r="Z137">
        <f>HYPERLINK("https://klasma.github.io/Logging_2080/klagomålsmail/A 15601-2026 FSC-klagomål mail.docx", "A 15601-2026")</f>
        <v/>
      </c>
      <c r="AA137">
        <f>HYPERLINK("https://klasma.github.io/Logging_2080/tillsyn/A 15601-2026 tillsynsbegäran.docx", "A 15601-2026")</f>
        <v/>
      </c>
      <c r="AB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46222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Kolflarnlav</t>
        </is>
      </c>
      <c r="V138">
        <f>HYPERLINK("https://klasma.github.io/Logging_2080/artfynd/A 17252-2026 artfynd.xlsx", "A 17252-2026")</f>
        <v/>
      </c>
      <c r="W138">
        <f>HYPERLINK("https://klasma.github.io/Logging_2080/kartor/A 17252-2026 karta.png", "A 17252-2026")</f>
        <v/>
      </c>
      <c r="Y138">
        <f>HYPERLINK("https://klasma.github.io/Logging_2080/klagomål/A 17252-2026 FSC-klagomål.docx", "A 17252-2026")</f>
        <v/>
      </c>
      <c r="Z138">
        <f>HYPERLINK("https://klasma.github.io/Logging_2080/klagomålsmail/A 17252-2026 FSC-klagomål mail.docx", "A 17252-2026")</f>
        <v/>
      </c>
      <c r="AA138">
        <f>HYPERLINK("https://klasma.github.io/Logging_2080/tillsyn/A 17252-2026 tillsynsbegäran.docx", "A 17252-2026")</f>
        <v/>
      </c>
      <c r="AB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46222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Blanksvart spiklav</t>
        </is>
      </c>
      <c r="V139">
        <f>HYPERLINK("https://klasma.github.io/Logging_2080/artfynd/A 18707-2026 artfynd.xlsx", "A 18707-2026")</f>
        <v/>
      </c>
      <c r="W139">
        <f>HYPERLINK("https://klasma.github.io/Logging_2080/kartor/A 18707-2026 karta.png", "A 18707-2026")</f>
        <v/>
      </c>
      <c r="Y139">
        <f>HYPERLINK("https://klasma.github.io/Logging_2080/klagomål/A 18707-2026 FSC-klagomål.docx", "A 18707-2026")</f>
        <v/>
      </c>
      <c r="Z139">
        <f>HYPERLINK("https://klasma.github.io/Logging_2080/klagomålsmail/A 18707-2026 FSC-klagomål mail.docx", "A 18707-2026")</f>
        <v/>
      </c>
      <c r="AA139">
        <f>HYPERLINK("https://klasma.github.io/Logging_2080/tillsyn/A 18707-2026 tillsynsbegäran.docx", "A 18707-2026")</f>
        <v/>
      </c>
      <c r="AB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26096-2026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46222</v>
      </c>
      <c r="F140" t="inlineStr">
        <is>
          <t>DALARNAS LÄN</t>
        </is>
      </c>
      <c r="G140" t="inlineStr">
        <is>
          <t>FALUN</t>
        </is>
      </c>
      <c r="I140" t="n">
        <v>0.7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Mattlummer</t>
        </is>
      </c>
      <c r="V140">
        <f>HYPERLINK("https://klasma.github.io/Logging_2080/artfynd/A 26096-2026 artfynd.xlsx", "A 26096-2026")</f>
        <v/>
      </c>
      <c r="W140">
        <f>HYPERLINK("https://klasma.github.io/Logging_2080/kartor/A 26096-2026 karta.png", "A 26096-2026")</f>
        <v/>
      </c>
      <c r="Y140">
        <f>HYPERLINK("https://klasma.github.io/Logging_2080/klagomål/A 26096-2026 FSC-klagomål.docx", "A 26096-2026")</f>
        <v/>
      </c>
      <c r="Z140">
        <f>HYPERLINK("https://klasma.github.io/Logging_2080/klagomålsmail/A 26096-2026 FSC-klagomål mail.docx", "A 26096-2026")</f>
        <v/>
      </c>
      <c r="AA140">
        <f>HYPERLINK("https://klasma.github.io/Logging_2080/tillsyn/A 26096-2026 tillsynsbegäran.docx", "A 26096-2026")</f>
        <v/>
      </c>
      <c r="AB140">
        <f>HYPERLINK("https://klasma.github.io/Logging_2080/tillsynsmail/A 26096-2026 tillsynsbegäran mail.docx", "A 26096-2026")</f>
        <v/>
      </c>
    </row>
    <row r="141" ht="15" customHeight="1">
      <c r="A141" t="inlineStr">
        <is>
          <t>A 54134-2024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46222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HYPERLINK("https://klasma.github.io/Logging_2080/artfynd/A 54134-2024 artfynd.xlsx", "A 54134-2024")</f>
        <v/>
      </c>
      <c r="W141">
        <f>HYPERLINK("https://klasma.github.io/Logging_2080/kartor/A 54134-2024 karta.png", "A 54134-2024")</f>
        <v/>
      </c>
      <c r="Y141">
        <f>HYPERLINK("https://klasma.github.io/Logging_2080/klagomål/A 54134-2024 FSC-klagomål.docx", "A 54134-2024")</f>
        <v/>
      </c>
      <c r="Z141">
        <f>HYPERLINK("https://klasma.github.io/Logging_2080/klagomålsmail/A 54134-2024 FSC-klagomål mail.docx", "A 54134-2024")</f>
        <v/>
      </c>
      <c r="AA141">
        <f>HYPERLINK("https://klasma.github.io/Logging_2080/tillsyn/A 54134-2024 tillsynsbegäran.docx", "A 54134-2024")</f>
        <v/>
      </c>
      <c r="AB141">
        <f>HYPERLINK("https://klasma.github.io/Logging_2080/tillsynsmail/A 54134-2024 tillsynsbegäran mail.docx", "A 54134-2024")</f>
        <v/>
      </c>
    </row>
    <row r="142" ht="15" customHeight="1">
      <c r="A142" t="inlineStr">
        <is>
          <t>A 20419-2026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46222</v>
      </c>
      <c r="F142" t="inlineStr">
        <is>
          <t>DALARNAS LÄN</t>
        </is>
      </c>
      <c r="G142" t="inlineStr">
        <is>
          <t>FALUN</t>
        </is>
      </c>
      <c r="I142" t="n">
        <v>3.6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s="2" t="inlineStr">
        <is>
          <t>Mindre märgborre</t>
        </is>
      </c>
      <c r="V142">
        <f>HYPERLINK("https://klasma.github.io/Logging_2080/artfynd/A 20419-2026 artfynd.xlsx", "A 20419-2026")</f>
        <v/>
      </c>
      <c r="W142">
        <f>HYPERLINK("https://klasma.github.io/Logging_2080/kartor/A 20419-2026 karta.png", "A 20419-2026")</f>
        <v/>
      </c>
      <c r="Y142">
        <f>HYPERLINK("https://klasma.github.io/Logging_2080/klagomål/A 20419-2026 FSC-klagomål.docx", "A 20419-2026")</f>
        <v/>
      </c>
      <c r="Z142">
        <f>HYPERLINK("https://klasma.github.io/Logging_2080/klagomålsmail/A 20419-2026 FSC-klagomål mail.docx", "A 20419-2026")</f>
        <v/>
      </c>
      <c r="AA142">
        <f>HYPERLINK("https://klasma.github.io/Logging_2080/tillsyn/A 20419-2026 tillsynsbegäran.docx", "A 20419-2026")</f>
        <v/>
      </c>
      <c r="AB142">
        <f>HYPERLINK("https://klasma.github.io/Logging_2080/tillsynsmail/A 20419-2026 tillsynsbegäran mail.docx", "A 20419-2026")</f>
        <v/>
      </c>
    </row>
    <row r="143" ht="15" customHeight="1">
      <c r="A143" t="inlineStr">
        <is>
          <t>A 11941-2026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46222</v>
      </c>
      <c r="F143" t="inlineStr">
        <is>
          <t>DALARNAS LÄN</t>
        </is>
      </c>
      <c r="G143" t="inlineStr">
        <is>
          <t>FALUN</t>
        </is>
      </c>
      <c r="I143" t="n">
        <v>8.1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Skogsödla</t>
        </is>
      </c>
      <c r="V143">
        <f>HYPERLINK("https://klasma.github.io/Logging_2080/artfynd/A 11941-2026 artfynd.xlsx", "A 11941-2026")</f>
        <v/>
      </c>
      <c r="W143">
        <f>HYPERLINK("https://klasma.github.io/Logging_2080/kartor/A 11941-2026 karta.png", "A 11941-2026")</f>
        <v/>
      </c>
      <c r="Y143">
        <f>HYPERLINK("https://klasma.github.io/Logging_2080/klagomål/A 11941-2026 FSC-klagomål.docx", "A 11941-2026")</f>
        <v/>
      </c>
      <c r="Z143">
        <f>HYPERLINK("https://klasma.github.io/Logging_2080/klagomålsmail/A 11941-2026 FSC-klagomål mail.docx", "A 11941-2026")</f>
        <v/>
      </c>
      <c r="AA143">
        <f>HYPERLINK("https://klasma.github.io/Logging_2080/tillsyn/A 11941-2026 tillsynsbegäran.docx", "A 11941-2026")</f>
        <v/>
      </c>
      <c r="AB143">
        <f>HYPERLINK("https://klasma.github.io/Logging_2080/tillsynsmail/A 11941-2026 tillsynsbegäran mail.docx", "A 11941-2026")</f>
        <v/>
      </c>
    </row>
    <row r="144" ht="15" customHeight="1">
      <c r="A144" t="inlineStr">
        <is>
          <t>A 5764-2026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46222</v>
      </c>
      <c r="F144" t="inlineStr">
        <is>
          <t>DALARNAS LÄN</t>
        </is>
      </c>
      <c r="G144" t="inlineStr">
        <is>
          <t>FALUN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Nattviol</t>
        </is>
      </c>
      <c r="V144">
        <f>HYPERLINK("https://klasma.github.io/Logging_2080/artfynd/A 5764-2026 artfynd.xlsx", "A 5764-2026")</f>
        <v/>
      </c>
      <c r="W144">
        <f>HYPERLINK("https://klasma.github.io/Logging_2080/kartor/A 5764-2026 karta.png", "A 5764-2026")</f>
        <v/>
      </c>
      <c r="Y144">
        <f>HYPERLINK("https://klasma.github.io/Logging_2080/klagomål/A 5764-2026 FSC-klagomål.docx", "A 5764-2026")</f>
        <v/>
      </c>
      <c r="Z144">
        <f>HYPERLINK("https://klasma.github.io/Logging_2080/klagomålsmail/A 5764-2026 FSC-klagomål mail.docx", "A 5764-2026")</f>
        <v/>
      </c>
      <c r="AA144">
        <f>HYPERLINK("https://klasma.github.io/Logging_2080/tillsyn/A 5764-2026 tillsynsbegäran.docx", "A 5764-2026")</f>
        <v/>
      </c>
      <c r="AB144">
        <f>HYPERLINK("https://klasma.github.io/Logging_2080/tillsynsmail/A 5764-2026 tillsynsbegäran mail.docx", "A 5764-2026")</f>
        <v/>
      </c>
    </row>
    <row r="145" ht="15" customHeight="1">
      <c r="A145" t="inlineStr">
        <is>
          <t>A 20701-2026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46222</v>
      </c>
      <c r="F145" t="inlineStr">
        <is>
          <t>DALARNAS LÄN</t>
        </is>
      </c>
      <c r="G145" t="inlineStr">
        <is>
          <t>FALUN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Grönsiska</t>
        </is>
      </c>
      <c r="V145">
        <f>HYPERLINK("https://klasma.github.io/Logging_2080/artfynd/A 20701-2026 artfynd.xlsx", "A 20701-2026")</f>
        <v/>
      </c>
      <c r="W145">
        <f>HYPERLINK("https://klasma.github.io/Logging_2080/kartor/A 20701-2026 karta.png", "A 20701-2026")</f>
        <v/>
      </c>
      <c r="Y145">
        <f>HYPERLINK("https://klasma.github.io/Logging_2080/klagomål/A 20701-2026 FSC-klagomål.docx", "A 20701-2026")</f>
        <v/>
      </c>
      <c r="Z145">
        <f>HYPERLINK("https://klasma.github.io/Logging_2080/klagomålsmail/A 20701-2026 FSC-klagomål mail.docx", "A 20701-2026")</f>
        <v/>
      </c>
      <c r="AA145">
        <f>HYPERLINK("https://klasma.github.io/Logging_2080/tillsyn/A 20701-2026 tillsynsbegäran.docx", "A 20701-2026")</f>
        <v/>
      </c>
      <c r="AB145">
        <f>HYPERLINK("https://klasma.github.io/Logging_2080/tillsynsmail/A 20701-2026 tillsynsbegäran mail.docx", "A 20701-2026")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46222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HYPERLINK("https://klasma.github.io/Logging_2080/artfynd/A 27316-2026 artfynd.xlsx", "A 27316-2026")</f>
        <v/>
      </c>
      <c r="W146">
        <f>HYPERLINK("https://klasma.github.io/Logging_2080/kartor/A 27316-2026 karta.png", "A 27316-2026")</f>
        <v/>
      </c>
      <c r="Y146">
        <f>HYPERLINK("https://klasma.github.io/Logging_2080/klagomål/A 27316-2026 FSC-klagomål.docx", "A 27316-2026")</f>
        <v/>
      </c>
      <c r="Z146">
        <f>HYPERLINK("https://klasma.github.io/Logging_2080/klagomålsmail/A 27316-2026 FSC-klagomål mail.docx", "A 27316-2026")</f>
        <v/>
      </c>
      <c r="AA146">
        <f>HYPERLINK("https://klasma.github.io/Logging_2080/tillsyn/A 27316-2026 tillsynsbegäran.docx", "A 27316-2026")</f>
        <v/>
      </c>
      <c r="AB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46222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Dropptaggsvamp</t>
        </is>
      </c>
      <c r="V147">
        <f>HYPERLINK("https://klasma.github.io/Logging_2080/artfynd/A 27263-2026 artfynd.xlsx", "A 27263-2026")</f>
        <v/>
      </c>
      <c r="W147">
        <f>HYPERLINK("https://klasma.github.io/Logging_2080/kartor/A 27263-2026 karta.png", "A 27263-2026")</f>
        <v/>
      </c>
      <c r="Y147">
        <f>HYPERLINK("https://klasma.github.io/Logging_2080/klagomål/A 27263-2026 FSC-klagomål.docx", "A 27263-2026")</f>
        <v/>
      </c>
      <c r="Z147">
        <f>HYPERLINK("https://klasma.github.io/Logging_2080/klagomålsmail/A 27263-2026 FSC-klagomål mail.docx", "A 27263-2026")</f>
        <v/>
      </c>
      <c r="AA147">
        <f>HYPERLINK("https://klasma.github.io/Logging_2080/tillsyn/A 27263-2026 tillsynsbegäran.docx", "A 27263-2026")</f>
        <v/>
      </c>
      <c r="AB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46222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Knärot</t>
        </is>
      </c>
      <c r="V148">
        <f>HYPERLINK("https://klasma.github.io/Logging_2080/artfynd/A 27627-2026 artfynd.xlsx", "A 27627-2026")</f>
        <v/>
      </c>
      <c r="W148">
        <f>HYPERLINK("https://klasma.github.io/Logging_2080/kartor/A 27627-2026 karta.png", "A 27627-2026")</f>
        <v/>
      </c>
      <c r="X148">
        <f>HYPERLINK("https://klasma.github.io/Logging_2080/knärot/A 27627-2026 karta knärot.png", "A 27627-2026")</f>
        <v/>
      </c>
      <c r="Y148">
        <f>HYPERLINK("https://klasma.github.io/Logging_2080/klagomål/A 27627-2026 FSC-klagomål.docx", "A 27627-2026")</f>
        <v/>
      </c>
      <c r="Z148">
        <f>HYPERLINK("https://klasma.github.io/Logging_2080/klagomålsmail/A 27627-2026 FSC-klagomål mail.docx", "A 27627-2026")</f>
        <v/>
      </c>
      <c r="AA148">
        <f>HYPERLINK("https://klasma.github.io/Logging_2080/tillsyn/A 27627-2026 tillsynsbegäran.docx", "A 27627-2026")</f>
        <v/>
      </c>
      <c r="AB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46222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Nattviol</t>
        </is>
      </c>
      <c r="V149">
        <f>HYPERLINK("https://klasma.github.io/Logging_2080/artfynd/A 27831-2026 artfynd.xlsx", "A 27831-2026")</f>
        <v/>
      </c>
      <c r="W149">
        <f>HYPERLINK("https://klasma.github.io/Logging_2080/kartor/A 27831-2026 karta.png", "A 27831-2026")</f>
        <v/>
      </c>
      <c r="Y149">
        <f>HYPERLINK("https://klasma.github.io/Logging_2080/klagomål/A 27831-2026 FSC-klagomål.docx", "A 27831-2026")</f>
        <v/>
      </c>
      <c r="Z149">
        <f>HYPERLINK("https://klasma.github.io/Logging_2080/klagomålsmail/A 27831-2026 FSC-klagomål mail.docx", "A 27831-2026")</f>
        <v/>
      </c>
      <c r="AA149">
        <f>HYPERLINK("https://klasma.github.io/Logging_2080/tillsyn/A 27831-2026 tillsynsbegäran.docx", "A 27831-2026")</f>
        <v/>
      </c>
      <c r="AB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18067-2023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46222</v>
      </c>
      <c r="F150" t="inlineStr">
        <is>
          <t>DALARNAS LÄN</t>
        </is>
      </c>
      <c r="G150" t="inlineStr">
        <is>
          <t>FALUN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Ögonpyrola</t>
        </is>
      </c>
      <c r="V150">
        <f>HYPERLINK("https://klasma.github.io/Logging_2080/artfynd/A 18067-2023 artfynd.xlsx", "A 18067-2023")</f>
        <v/>
      </c>
      <c r="W150">
        <f>HYPERLINK("https://klasma.github.io/Logging_2080/kartor/A 18067-2023 karta.png", "A 18067-2023")</f>
        <v/>
      </c>
      <c r="Y150">
        <f>HYPERLINK("https://klasma.github.io/Logging_2080/klagomål/A 18067-2023 FSC-klagomål.docx", "A 18067-2023")</f>
        <v/>
      </c>
      <c r="Z150">
        <f>HYPERLINK("https://klasma.github.io/Logging_2080/klagomålsmail/A 18067-2023 FSC-klagomål mail.docx", "A 18067-2023")</f>
        <v/>
      </c>
      <c r="AA150">
        <f>HYPERLINK("https://klasma.github.io/Logging_2080/tillsyn/A 18067-2023 tillsynsbegäran.docx", "A 18067-2023")</f>
        <v/>
      </c>
      <c r="AB150">
        <f>HYPERLINK("https://klasma.github.io/Logging_2080/tillsynsmail/A 18067-2023 tillsynsbegäran mail.docx", "A 18067-2023")</f>
        <v/>
      </c>
    </row>
    <row r="151" ht="15" customHeight="1">
      <c r="A151" t="inlineStr">
        <is>
          <t>A 22345-2026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46222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Blåsippa</t>
        </is>
      </c>
      <c r="V151">
        <f>HYPERLINK("https://klasma.github.io/Logging_2080/artfynd/A 22345-2026 artfynd.xlsx", "A 22345-2026")</f>
        <v/>
      </c>
      <c r="W151">
        <f>HYPERLINK("https://klasma.github.io/Logging_2080/kartor/A 22345-2026 karta.png", "A 22345-2026")</f>
        <v/>
      </c>
      <c r="Y151">
        <f>HYPERLINK("https://klasma.github.io/Logging_2080/klagomål/A 22345-2026 FSC-klagomål.docx", "A 22345-2026")</f>
        <v/>
      </c>
      <c r="Z151">
        <f>HYPERLINK("https://klasma.github.io/Logging_2080/klagomålsmail/A 22345-2026 FSC-klagomål mail.docx", "A 22345-2026")</f>
        <v/>
      </c>
      <c r="AA151">
        <f>HYPERLINK("https://klasma.github.io/Logging_2080/tillsyn/A 22345-2026 tillsynsbegäran.docx", "A 22345-2026")</f>
        <v/>
      </c>
      <c r="AB151">
        <f>HYPERLINK("https://klasma.github.io/Logging_2080/tillsynsmail/A 22345-2026 tillsynsbegäran mail.docx", "A 22345-2026")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46222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Garnlav</t>
        </is>
      </c>
      <c r="V152">
        <f>HYPERLINK("https://klasma.github.io/Logging_2080/artfynd/A 28096-2026 artfynd.xlsx", "A 28096-2026")</f>
        <v/>
      </c>
      <c r="W152">
        <f>HYPERLINK("https://klasma.github.io/Logging_2080/kartor/A 28096-2026 karta.png", "A 28096-2026")</f>
        <v/>
      </c>
      <c r="Y152">
        <f>HYPERLINK("https://klasma.github.io/Logging_2080/klagomål/A 28096-2026 FSC-klagomål.docx", "A 28096-2026")</f>
        <v/>
      </c>
      <c r="Z152">
        <f>HYPERLINK("https://klasma.github.io/Logging_2080/klagomålsmail/A 28096-2026 FSC-klagomål mail.docx", "A 28096-2026")</f>
        <v/>
      </c>
      <c r="AA152">
        <f>HYPERLINK("https://klasma.github.io/Logging_2080/tillsyn/A 28096-2026 tillsynsbegäran.docx", "A 28096-2026")</f>
        <v/>
      </c>
      <c r="AB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46222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Revlummer</t>
        </is>
      </c>
      <c r="V153">
        <f>HYPERLINK("https://klasma.github.io/Logging_2080/artfynd/A 29133-2026 artfynd.xlsx", "A 29133-2026")</f>
        <v/>
      </c>
      <c r="W153">
        <f>HYPERLINK("https://klasma.github.io/Logging_2080/kartor/A 29133-2026 karta.png", "A 29133-2026")</f>
        <v/>
      </c>
      <c r="Y153">
        <f>HYPERLINK("https://klasma.github.io/Logging_2080/klagomål/A 29133-2026 FSC-klagomål.docx", "A 29133-2026")</f>
        <v/>
      </c>
      <c r="Z153">
        <f>HYPERLINK("https://klasma.github.io/Logging_2080/klagomålsmail/A 29133-2026 FSC-klagomål mail.docx", "A 29133-2026")</f>
        <v/>
      </c>
      <c r="AA153">
        <f>HYPERLINK("https://klasma.github.io/Logging_2080/tillsyn/A 29133-2026 tillsynsbegäran.docx", "A 29133-2026")</f>
        <v/>
      </c>
      <c r="AB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4393-2026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46222</v>
      </c>
      <c r="F154" t="inlineStr">
        <is>
          <t>DALARNAS LÄN</t>
        </is>
      </c>
      <c r="G154" t="inlineStr">
        <is>
          <t>FALUN</t>
        </is>
      </c>
      <c r="I154" t="n">
        <v>10.2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Järpe</t>
        </is>
      </c>
      <c r="V154">
        <f>HYPERLINK("https://klasma.github.io/Logging_2080/artfynd/A 4393-2026 artfynd.xlsx", "A 4393-2026")</f>
        <v/>
      </c>
      <c r="W154">
        <f>HYPERLINK("https://klasma.github.io/Logging_2080/kartor/A 4393-2026 karta.png", "A 4393-2026")</f>
        <v/>
      </c>
      <c r="Y154">
        <f>HYPERLINK("https://klasma.github.io/Logging_2080/klagomål/A 4393-2026 FSC-klagomål.docx", "A 4393-2026")</f>
        <v/>
      </c>
      <c r="Z154">
        <f>HYPERLINK("https://klasma.github.io/Logging_2080/klagomålsmail/A 4393-2026 FSC-klagomål mail.docx", "A 4393-2026")</f>
        <v/>
      </c>
      <c r="AA154">
        <f>HYPERLINK("https://klasma.github.io/Logging_2080/tillsyn/A 4393-2026 tillsynsbegäran.docx", "A 4393-2026")</f>
        <v/>
      </c>
      <c r="AB154">
        <f>HYPERLINK("https://klasma.github.io/Logging_2080/tillsynsmail/A 4393-2026 tillsynsbegäran mail.docx", "A 4393-2026")</f>
        <v/>
      </c>
      <c r="AC154">
        <f>HYPERLINK("https://klasma.github.io/Logging_2080/fåglar/A 4393-2026 prioriterade fågelarter.docx", "A 4393-2026")</f>
        <v/>
      </c>
    </row>
    <row r="155" ht="15" customHeight="1">
      <c r="A155" t="inlineStr">
        <is>
          <t>A 13830-2026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46222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40.2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Talltita</t>
        </is>
      </c>
      <c r="V155">
        <f>HYPERLINK("https://klasma.github.io/Logging_2080/artfynd/A 13830-2026 artfynd.xlsx", "A 13830-2026")</f>
        <v/>
      </c>
      <c r="W155">
        <f>HYPERLINK("https://klasma.github.io/Logging_2080/kartor/A 13830-2026 karta.png", "A 13830-2026")</f>
        <v/>
      </c>
      <c r="Y155">
        <f>HYPERLINK("https://klasma.github.io/Logging_2080/klagomål/A 13830-2026 FSC-klagomål.docx", "A 13830-2026")</f>
        <v/>
      </c>
      <c r="Z155">
        <f>HYPERLINK("https://klasma.github.io/Logging_2080/klagomålsmail/A 13830-2026 FSC-klagomål mail.docx", "A 13830-2026")</f>
        <v/>
      </c>
      <c r="AA155">
        <f>HYPERLINK("https://klasma.github.io/Logging_2080/tillsyn/A 13830-2026 tillsynsbegäran.docx", "A 13830-2026")</f>
        <v/>
      </c>
      <c r="AB155">
        <f>HYPERLINK("https://klasma.github.io/Logging_2080/tillsynsmail/A 13830-2026 tillsynsbegäran mail.docx", "A 13830-2026")</f>
        <v/>
      </c>
      <c r="AC155">
        <f>HYPERLINK("https://klasma.github.io/Logging_2080/fåglar/A 13830-2026 prioriterade fågelarter.docx", "A 13830-2026")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46222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Flodpärlmussla</t>
        </is>
      </c>
      <c r="V156">
        <f>HYPERLINK("https://klasma.github.io/Logging_2080/artfynd/A 19727-2026 artfynd.xlsx", "A 19727-2026")</f>
        <v/>
      </c>
      <c r="W156">
        <f>HYPERLINK("https://klasma.github.io/Logging_2080/kartor/A 19727-2026 karta.png", "A 19727-2026")</f>
        <v/>
      </c>
      <c r="Y156">
        <f>HYPERLINK("https://klasma.github.io/Logging_2080/klagomål/A 19727-2026 FSC-klagomål.docx", "A 19727-2026")</f>
        <v/>
      </c>
      <c r="Z156">
        <f>HYPERLINK("https://klasma.github.io/Logging_2080/klagomålsmail/A 19727-2026 FSC-klagomål mail.docx", "A 19727-2026")</f>
        <v/>
      </c>
      <c r="AA156">
        <f>HYPERLINK("https://klasma.github.io/Logging_2080/tillsyn/A 19727-2026 tillsynsbegäran.docx", "A 19727-2026")</f>
        <v/>
      </c>
      <c r="AB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46222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s="2" t="inlineStr">
        <is>
          <t>Knärot</t>
        </is>
      </c>
      <c r="V157">
        <f>HYPERLINK("https://klasma.github.io/Logging_2080/artfynd/A 20186-2024 artfynd.xlsx", "A 20186-2024")</f>
        <v/>
      </c>
      <c r="W157">
        <f>HYPERLINK("https://klasma.github.io/Logging_2080/kartor/A 20186-2024 karta.png", "A 20186-2024")</f>
        <v/>
      </c>
      <c r="X157">
        <f>HYPERLINK("https://klasma.github.io/Logging_2080/knärot/A 20186-2024 karta knärot.png", "A 20186-2024")</f>
        <v/>
      </c>
      <c r="Y157">
        <f>HYPERLINK("https://klasma.github.io/Logging_2080/klagomål/A 20186-2024 FSC-klagomål.docx", "A 20186-2024")</f>
        <v/>
      </c>
      <c r="Z157">
        <f>HYPERLINK("https://klasma.github.io/Logging_2080/klagomålsmail/A 20186-2024 FSC-klagomål mail.docx", "A 20186-2024")</f>
        <v/>
      </c>
      <c r="AA157">
        <f>HYPERLINK("https://klasma.github.io/Logging_2080/tillsyn/A 20186-2024 tillsynsbegäran.docx", "A 20186-2024")</f>
        <v/>
      </c>
      <c r="AB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46222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Revlummer</t>
        </is>
      </c>
      <c r="V158">
        <f>HYPERLINK("https://klasma.github.io/Logging_2080/artfynd/A 48693-2023 artfynd.xlsx", "A 48693-2023")</f>
        <v/>
      </c>
      <c r="W158">
        <f>HYPERLINK("https://klasma.github.io/Logging_2080/kartor/A 48693-2023 karta.png", "A 48693-2023")</f>
        <v/>
      </c>
      <c r="Y158">
        <f>HYPERLINK("https://klasma.github.io/Logging_2080/klagomål/A 48693-2023 FSC-klagomål.docx", "A 48693-2023")</f>
        <v/>
      </c>
      <c r="Z158">
        <f>HYPERLINK("https://klasma.github.io/Logging_2080/klagomålsmail/A 48693-2023 FSC-klagomål mail.docx", "A 48693-2023")</f>
        <v/>
      </c>
      <c r="AA158">
        <f>HYPERLINK("https://klasma.github.io/Logging_2080/tillsyn/A 48693-2023 tillsynsbegäran.docx", "A 48693-2023")</f>
        <v/>
      </c>
      <c r="AB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25540-2026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46222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Ullticka</t>
        </is>
      </c>
      <c r="V159">
        <f>HYPERLINK("https://klasma.github.io/Logging_2080/artfynd/A 25540-2026 artfynd.xlsx", "A 25540-2026")</f>
        <v/>
      </c>
      <c r="W159">
        <f>HYPERLINK("https://klasma.github.io/Logging_2080/kartor/A 25540-2026 karta.png", "A 25540-2026")</f>
        <v/>
      </c>
      <c r="Y159">
        <f>HYPERLINK("https://klasma.github.io/Logging_2080/klagomål/A 25540-2026 FSC-klagomål.docx", "A 25540-2026")</f>
        <v/>
      </c>
      <c r="Z159">
        <f>HYPERLINK("https://klasma.github.io/Logging_2080/klagomålsmail/A 25540-2026 FSC-klagomål mail.docx", "A 25540-2026")</f>
        <v/>
      </c>
      <c r="AA159">
        <f>HYPERLINK("https://klasma.github.io/Logging_2080/tillsyn/A 25540-2026 tillsynsbegäran.docx", "A 25540-2026")</f>
        <v/>
      </c>
      <c r="AB159">
        <f>HYPERLINK("https://klasma.github.io/Logging_2080/tillsynsmail/A 25540-2026 tillsynsbegäran mail.docx", "A 25540-2026")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46222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Talltita</t>
        </is>
      </c>
      <c r="V160">
        <f>HYPERLINK("https://klasma.github.io/Logging_2080/artfynd/A 46963-2023 artfynd.xlsx", "A 46963-2023")</f>
        <v/>
      </c>
      <c r="W160">
        <f>HYPERLINK("https://klasma.github.io/Logging_2080/kartor/A 46963-2023 karta.png", "A 46963-2023")</f>
        <v/>
      </c>
      <c r="Y160">
        <f>HYPERLINK("https://klasma.github.io/Logging_2080/klagomål/A 46963-2023 FSC-klagomål.docx", "A 46963-2023")</f>
        <v/>
      </c>
      <c r="Z160">
        <f>HYPERLINK("https://klasma.github.io/Logging_2080/klagomålsmail/A 46963-2023 FSC-klagomål mail.docx", "A 46963-2023")</f>
        <v/>
      </c>
      <c r="AA160">
        <f>HYPERLINK("https://klasma.github.io/Logging_2080/tillsyn/A 46963-2023 tillsynsbegäran.docx", "A 46963-2023")</f>
        <v/>
      </c>
      <c r="AB160">
        <f>HYPERLINK("https://klasma.github.io/Logging_2080/tillsynsmail/A 46963-2023 tillsynsbegäran mail.docx", "A 46963-2023")</f>
        <v/>
      </c>
      <c r="AC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46222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Talltita</t>
        </is>
      </c>
      <c r="V161">
        <f>HYPERLINK("https://klasma.github.io/Logging_2080/artfynd/A 6936-2024 artfynd.xlsx", "A 6936-2024")</f>
        <v/>
      </c>
      <c r="W161">
        <f>HYPERLINK("https://klasma.github.io/Logging_2080/kartor/A 6936-2024 karta.png", "A 6936-2024")</f>
        <v/>
      </c>
      <c r="Y161">
        <f>HYPERLINK("https://klasma.github.io/Logging_2080/klagomål/A 6936-2024 FSC-klagomål.docx", "A 6936-2024")</f>
        <v/>
      </c>
      <c r="Z161">
        <f>HYPERLINK("https://klasma.github.io/Logging_2080/klagomålsmail/A 6936-2024 FSC-klagomål mail.docx", "A 6936-2024")</f>
        <v/>
      </c>
      <c r="AA161">
        <f>HYPERLINK("https://klasma.github.io/Logging_2080/tillsyn/A 6936-2024 tillsynsbegäran.docx", "A 6936-2024")</f>
        <v/>
      </c>
      <c r="AB161">
        <f>HYPERLINK("https://klasma.github.io/Logging_2080/tillsynsmail/A 6936-2024 tillsynsbegäran mail.docx", "A 6936-2024")</f>
        <v/>
      </c>
      <c r="AC161">
        <f>HYPERLINK("https://klasma.github.io/Logging_2080/fåglar/A 6936-2024 prioriterade fågelarter.docx", "A 6936-2024")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46222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Motaggsvamp</t>
        </is>
      </c>
      <c r="V162">
        <f>HYPERLINK("https://klasma.github.io/Logging_2080/artfynd/S 1023-2023 artfynd.xlsx", "S 1023-2023")</f>
        <v/>
      </c>
      <c r="W162">
        <f>HYPERLINK("https://klasma.github.io/Logging_2080/kartor/S 1023-2023 karta.png", "S 1023-2023")</f>
        <v/>
      </c>
      <c r="Y162">
        <f>HYPERLINK("https://klasma.github.io/Logging_2080/klagomål/S 1023-2023 FSC-klagomål.docx", "S 1023-2023")</f>
        <v/>
      </c>
      <c r="Z162">
        <f>HYPERLINK("https://klasma.github.io/Logging_2080/klagomålsmail/S 1023-2023 FSC-klagomål mail.docx", "S 1023-2023")</f>
        <v/>
      </c>
      <c r="AA162">
        <f>HYPERLINK("https://klasma.github.io/Logging_2080/tillsyn/S 1023-2023 tillsynsbegäran.docx", "S 1023-2023")</f>
        <v/>
      </c>
      <c r="AB162">
        <f>HYPERLINK("https://klasma.github.io/Logging_2080/tillsynsmail/S 1023-2023 tillsynsbegäran mail.docx", "S 1023-2023")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46222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s="2" t="inlineStr">
        <is>
          <t>Garnlav</t>
        </is>
      </c>
      <c r="V163">
        <f>HYPERLINK("https://klasma.github.io/Logging_2080/artfynd/S 809-2026 artfynd.xlsx", "S 809-2026")</f>
        <v/>
      </c>
      <c r="W163">
        <f>HYPERLINK("https://klasma.github.io/Logging_2080/kartor/S 809-2026 karta.png", "S 809-2026")</f>
        <v/>
      </c>
      <c r="Y163">
        <f>HYPERLINK("https://klasma.github.io/Logging_2080/klagomål/S 809-2026 FSC-klagomål.docx", "S 809-2026")</f>
        <v/>
      </c>
      <c r="Z163">
        <f>HYPERLINK("https://klasma.github.io/Logging_2080/klagomålsmail/S 809-2026 FSC-klagomål mail.docx", "S 809-2026")</f>
        <v/>
      </c>
      <c r="AA163">
        <f>HYPERLINK("https://klasma.github.io/Logging_2080/tillsyn/S 809-2026 tillsynsbegäran.docx", "S 809-2026")</f>
        <v/>
      </c>
      <c r="AB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46222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46222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46222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46222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46222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53982-2021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46222</v>
      </c>
      <c r="F169" t="inlineStr">
        <is>
          <t>DALARNAS LÄN</t>
        </is>
      </c>
      <c r="G169" t="inlineStr">
        <is>
          <t>FALUN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46222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46222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46222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46222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46222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46222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46222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46222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46222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46222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46222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46222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46222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46222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46222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46222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46222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46222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46222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46222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46222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46222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38561-2021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46222</v>
      </c>
      <c r="F192" t="inlineStr">
        <is>
          <t>DALARNAS LÄN</t>
        </is>
      </c>
      <c r="G192" t="inlineStr">
        <is>
          <t>FALUN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46222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46222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46222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46222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46222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46222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44419</v>
      </c>
      <c r="E199" s="1" t="n">
        <v>46222</v>
      </c>
      <c r="F199" t="inlineStr">
        <is>
          <t>DALARNAS LÄN</t>
        </is>
      </c>
      <c r="G199" t="inlineStr">
        <is>
          <t>FALUN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46222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46222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46222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40915-2021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44421</v>
      </c>
      <c r="E203" s="1" t="n">
        <v>46222</v>
      </c>
      <c r="F203" t="inlineStr">
        <is>
          <t>DALARNAS LÄN</t>
        </is>
      </c>
      <c r="G203" t="inlineStr">
        <is>
          <t>FALUN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46222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46222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37291-2021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44397</v>
      </c>
      <c r="E206" s="1" t="n">
        <v>46222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46222</v>
      </c>
      <c r="F207" t="inlineStr">
        <is>
          <t>DALARNAS LÄN</t>
        </is>
      </c>
      <c r="G207" t="inlineStr">
        <is>
          <t>FALUN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37314-2022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46222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44407</v>
      </c>
      <c r="E209" s="1" t="n">
        <v>46222</v>
      </c>
      <c r="F209" t="inlineStr">
        <is>
          <t>DALARNAS LÄN</t>
        </is>
      </c>
      <c r="G209" t="inlineStr">
        <is>
          <t>FALUN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46222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23626-2022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44721</v>
      </c>
      <c r="E211" s="1" t="n">
        <v>46222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46222</v>
      </c>
      <c r="F212" t="inlineStr">
        <is>
          <t>DALARNAS LÄN</t>
        </is>
      </c>
      <c r="G212" t="inlineStr">
        <is>
          <t>FALUN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39233-2021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46222</v>
      </c>
      <c r="F213" t="inlineStr">
        <is>
          <t>DALARNAS LÄN</t>
        </is>
      </c>
      <c r="G213" t="inlineStr">
        <is>
          <t>FALUN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44704</v>
      </c>
      <c r="E214" s="1" t="n">
        <v>46222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46222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69780-2021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44532</v>
      </c>
      <c r="E216" s="1" t="n">
        <v>46222</v>
      </c>
      <c r="F216" t="inlineStr">
        <is>
          <t>DALARNAS LÄN</t>
        </is>
      </c>
      <c r="G216" t="inlineStr">
        <is>
          <t>FALUN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40135-2021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44418</v>
      </c>
      <c r="E217" s="1" t="n">
        <v>46222</v>
      </c>
      <c r="F217" t="inlineStr">
        <is>
          <t>DALARNAS LÄN</t>
        </is>
      </c>
      <c r="G217" t="inlineStr">
        <is>
          <t>FALUN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66012-2021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44517</v>
      </c>
      <c r="E218" s="1" t="n">
        <v>46222</v>
      </c>
      <c r="F218" t="inlineStr">
        <is>
          <t>DALARNAS LÄN</t>
        </is>
      </c>
      <c r="G218" t="inlineStr">
        <is>
          <t>FALUN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46222</v>
      </c>
      <c r="F219" t="inlineStr">
        <is>
          <t>DALARNAS LÄN</t>
        </is>
      </c>
      <c r="G219" t="inlineStr">
        <is>
          <t>FALUN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46222</v>
      </c>
      <c r="F220" t="inlineStr">
        <is>
          <t>DALARNAS LÄN</t>
        </is>
      </c>
      <c r="G220" t="inlineStr">
        <is>
          <t>FALUN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46222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39824-2022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46222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46222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15999-2024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46222</v>
      </c>
      <c r="F224" t="inlineStr">
        <is>
          <t>DALARNAS LÄN</t>
        </is>
      </c>
      <c r="G224" t="inlineStr">
        <is>
          <t>FALUN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46222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43193-2024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45567</v>
      </c>
      <c r="E226" s="1" t="n">
        <v>46222</v>
      </c>
      <c r="F226" t="inlineStr">
        <is>
          <t>DALARNAS LÄN</t>
        </is>
      </c>
      <c r="G226" t="inlineStr">
        <is>
          <t>FALUN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33548-2022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44789</v>
      </c>
      <c r="E227" s="1" t="n">
        <v>46222</v>
      </c>
      <c r="F227" t="inlineStr">
        <is>
          <t>DALARNAS LÄN</t>
        </is>
      </c>
      <c r="G227" t="inlineStr">
        <is>
          <t>FALUN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46222</v>
      </c>
      <c r="F228" t="inlineStr">
        <is>
          <t>DALARNAS LÄN</t>
        </is>
      </c>
      <c r="G228" t="inlineStr">
        <is>
          <t>FALUN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13567-2024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45389</v>
      </c>
      <c r="E229" s="1" t="n">
        <v>46222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27506-2023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46222</v>
      </c>
      <c r="F230" t="inlineStr">
        <is>
          <t>DALARNAS LÄN</t>
        </is>
      </c>
      <c r="G230" t="inlineStr">
        <is>
          <t>FALUN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46222</v>
      </c>
      <c r="F231" t="inlineStr">
        <is>
          <t>DALARNAS LÄN</t>
        </is>
      </c>
      <c r="G231" t="inlineStr">
        <is>
          <t>FALUN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8757-2024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46222</v>
      </c>
      <c r="F232" t="inlineStr">
        <is>
          <t>DALARNAS LÄN</t>
        </is>
      </c>
      <c r="G232" t="inlineStr">
        <is>
          <t>FALUN</t>
        </is>
      </c>
      <c r="I232" t="n">
        <v>23.3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46222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9716-2024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46222</v>
      </c>
      <c r="F234" t="inlineStr">
        <is>
          <t>DALARNAS LÄN</t>
        </is>
      </c>
      <c r="G234" t="inlineStr">
        <is>
          <t>FALUN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46222</v>
      </c>
      <c r="F235" t="inlineStr">
        <is>
          <t>DALARNAS LÄN</t>
        </is>
      </c>
      <c r="G235" t="inlineStr">
        <is>
          <t>FALUN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46222</v>
      </c>
      <c r="F236" t="inlineStr">
        <is>
          <t>DALARNAS LÄN</t>
        </is>
      </c>
      <c r="G236" t="inlineStr">
        <is>
          <t>FALUN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41664-2022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46222</v>
      </c>
      <c r="F237" t="inlineStr">
        <is>
          <t>DALARNAS LÄN</t>
        </is>
      </c>
      <c r="G237" t="inlineStr">
        <is>
          <t>FALUN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52040-2023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46222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46222</v>
      </c>
      <c r="F239" t="inlineStr">
        <is>
          <t>DALARNAS LÄN</t>
        </is>
      </c>
      <c r="G239" t="inlineStr">
        <is>
          <t>FALUN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46222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46222</v>
      </c>
      <c r="F241" t="inlineStr">
        <is>
          <t>DALARNAS LÄN</t>
        </is>
      </c>
      <c r="G241" t="inlineStr">
        <is>
          <t>FALUN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61035-2021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46222</v>
      </c>
      <c r="F242" t="inlineStr">
        <is>
          <t>DALARNAS LÄN</t>
        </is>
      </c>
      <c r="G242" t="inlineStr">
        <is>
          <t>FALUN</t>
        </is>
      </c>
      <c r="H242" t="inlineStr">
        <is>
          <t>Kyrkan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21288-2024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45440</v>
      </c>
      <c r="E243" s="1" t="n">
        <v>46222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46222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46252-2022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44847</v>
      </c>
      <c r="E245" s="1" t="n">
        <v>46222</v>
      </c>
      <c r="F245" t="inlineStr">
        <is>
          <t>DALARNAS LÄN</t>
        </is>
      </c>
      <c r="G245" t="inlineStr">
        <is>
          <t>FALUN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46222</v>
      </c>
      <c r="F246" t="inlineStr">
        <is>
          <t>DALARNAS LÄN</t>
        </is>
      </c>
      <c r="G246" t="inlineStr">
        <is>
          <t>FALUN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44937</v>
      </c>
      <c r="E247" s="1" t="n">
        <v>46222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33611-2024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46222</v>
      </c>
      <c r="F248" t="inlineStr">
        <is>
          <t>DALARNAS LÄN</t>
        </is>
      </c>
      <c r="G248" t="inlineStr">
        <is>
          <t>FALUN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45323</v>
      </c>
      <c r="E249" s="1" t="n">
        <v>46222</v>
      </c>
      <c r="F249" t="inlineStr">
        <is>
          <t>DALARNAS LÄN</t>
        </is>
      </c>
      <c r="G249" t="inlineStr">
        <is>
          <t>FALUN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44957</v>
      </c>
      <c r="E250" s="1" t="n">
        <v>46222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56149-2022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46222</v>
      </c>
      <c r="F251" t="inlineStr">
        <is>
          <t>DALARNAS LÄN</t>
        </is>
      </c>
      <c r="G251" t="inlineStr">
        <is>
          <t>FALUN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46222</v>
      </c>
      <c r="F252" t="inlineStr">
        <is>
          <t>DALARNAS LÄN</t>
        </is>
      </c>
      <c r="G252" t="inlineStr">
        <is>
          <t>FALUN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35446-2024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45531</v>
      </c>
      <c r="E253" s="1" t="n">
        <v>46222</v>
      </c>
      <c r="F253" t="inlineStr">
        <is>
          <t>DALARNAS LÄN</t>
        </is>
      </c>
      <c r="G253" t="inlineStr">
        <is>
          <t>FALUN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11579-2024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45373</v>
      </c>
      <c r="E254" s="1" t="n">
        <v>46222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11584-2024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46222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44597-2023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45189</v>
      </c>
      <c r="E256" s="1" t="n">
        <v>46222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46222</v>
      </c>
      <c r="F257" t="inlineStr">
        <is>
          <t>DALARNAS LÄN</t>
        </is>
      </c>
      <c r="G257" t="inlineStr">
        <is>
          <t>FALUN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38143-2024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45545</v>
      </c>
      <c r="E258" s="1" t="n">
        <v>46222</v>
      </c>
      <c r="F258" t="inlineStr">
        <is>
          <t>DALARNAS LÄN</t>
        </is>
      </c>
      <c r="G258" t="inlineStr">
        <is>
          <t>FALUN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60088-2022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44909</v>
      </c>
      <c r="E259" s="1" t="n">
        <v>46222</v>
      </c>
      <c r="F259" t="inlineStr">
        <is>
          <t>DALARNAS LÄN</t>
        </is>
      </c>
      <c r="G259" t="inlineStr">
        <is>
          <t>FALUN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12224-2022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44637</v>
      </c>
      <c r="E260" s="1" t="n">
        <v>46222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46222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46222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46222</v>
      </c>
      <c r="F263" t="inlineStr">
        <is>
          <t>DALARNAS LÄN</t>
        </is>
      </c>
      <c r="G263" t="inlineStr">
        <is>
          <t>FALUN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46222</v>
      </c>
      <c r="F264" t="inlineStr">
        <is>
          <t>DALARNAS LÄN</t>
        </is>
      </c>
      <c r="G264" t="inlineStr">
        <is>
          <t>FALUN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46222</v>
      </c>
      <c r="F265" t="inlineStr">
        <is>
          <t>DALARNAS LÄN</t>
        </is>
      </c>
      <c r="G265" t="inlineStr">
        <is>
          <t>FALUN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46039</v>
      </c>
      <c r="E266" s="1" t="n">
        <v>46222</v>
      </c>
      <c r="F266" t="inlineStr">
        <is>
          <t>DALARNAS LÄN</t>
        </is>
      </c>
      <c r="G266" t="inlineStr">
        <is>
          <t>FALUN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46222</v>
      </c>
      <c r="F267" t="inlineStr">
        <is>
          <t>DALARNAS LÄN</t>
        </is>
      </c>
      <c r="G267" t="inlineStr">
        <is>
          <t>FALUN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15207-2025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46222</v>
      </c>
      <c r="F268" t="inlineStr">
        <is>
          <t>DALARNAS LÄN</t>
        </is>
      </c>
      <c r="G268" t="inlineStr">
        <is>
          <t>FALUN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46222</v>
      </c>
      <c r="F269" t="inlineStr">
        <is>
          <t>DALARNAS LÄN</t>
        </is>
      </c>
      <c r="G269" t="inlineStr">
        <is>
          <t>FALUN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46222</v>
      </c>
      <c r="F270" t="inlineStr">
        <is>
          <t>DALARNAS LÄN</t>
        </is>
      </c>
      <c r="G270" t="inlineStr">
        <is>
          <t>FALUN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46222</v>
      </c>
      <c r="F271" t="inlineStr">
        <is>
          <t>DALARNAS LÄN</t>
        </is>
      </c>
      <c r="G271" t="inlineStr">
        <is>
          <t>FALUN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46222</v>
      </c>
      <c r="F272" t="inlineStr">
        <is>
          <t>DALARNAS LÄN</t>
        </is>
      </c>
      <c r="G272" t="inlineStr">
        <is>
          <t>FALUN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46222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18463-2022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44686</v>
      </c>
      <c r="E274" s="1" t="n">
        <v>46222</v>
      </c>
      <c r="F274" t="inlineStr">
        <is>
          <t>DALARNAS LÄN</t>
        </is>
      </c>
      <c r="G274" t="inlineStr">
        <is>
          <t>FALUN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46040</v>
      </c>
      <c r="E275" s="1" t="n">
        <v>46222</v>
      </c>
      <c r="F275" t="inlineStr">
        <is>
          <t>DALARNAS LÄN</t>
        </is>
      </c>
      <c r="G275" t="inlineStr">
        <is>
          <t>FALUN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46222</v>
      </c>
      <c r="F276" t="inlineStr">
        <is>
          <t>DALARNAS LÄN</t>
        </is>
      </c>
      <c r="G276" t="inlineStr">
        <is>
          <t>FALUN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46222</v>
      </c>
      <c r="F277" t="inlineStr">
        <is>
          <t>DALARNAS LÄN</t>
        </is>
      </c>
      <c r="G277" t="inlineStr">
        <is>
          <t>FALUN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16004-2024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46222</v>
      </c>
      <c r="F278" t="inlineStr">
        <is>
          <t>DALARNAS LÄN</t>
        </is>
      </c>
      <c r="G278" t="inlineStr">
        <is>
          <t>FALUN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46222</v>
      </c>
      <c r="F279" t="inlineStr">
        <is>
          <t>DALARNAS LÄN</t>
        </is>
      </c>
      <c r="G279" t="inlineStr">
        <is>
          <t>FALUN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46222</v>
      </c>
      <c r="F280" t="inlineStr">
        <is>
          <t>DALARNAS LÄN</t>
        </is>
      </c>
      <c r="G280" t="inlineStr">
        <is>
          <t>FALUN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46222</v>
      </c>
      <c r="F281" t="inlineStr">
        <is>
          <t>DALARNAS LÄN</t>
        </is>
      </c>
      <c r="G281" t="inlineStr">
        <is>
          <t>FALUN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26800-2025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45810</v>
      </c>
      <c r="E282" s="1" t="n">
        <v>46222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46222</v>
      </c>
      <c r="F283" t="inlineStr">
        <is>
          <t>DALARNAS LÄN</t>
        </is>
      </c>
      <c r="G283" t="inlineStr">
        <is>
          <t>FALUN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46222</v>
      </c>
      <c r="F284" t="inlineStr">
        <is>
          <t>DALARNAS LÄN</t>
        </is>
      </c>
      <c r="G284" t="inlineStr">
        <is>
          <t>FALUN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46222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62334-2025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46005</v>
      </c>
      <c r="E286" s="1" t="n">
        <v>46222</v>
      </c>
      <c r="F286" t="inlineStr">
        <is>
          <t>DALARNAS LÄN</t>
        </is>
      </c>
      <c r="G286" t="inlineStr">
        <is>
          <t>FALUN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46222</v>
      </c>
      <c r="F287" t="inlineStr">
        <is>
          <t>DALARNAS LÄN</t>
        </is>
      </c>
      <c r="G287" t="inlineStr">
        <is>
          <t>FALUN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46222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46222</v>
      </c>
      <c r="F289" t="inlineStr">
        <is>
          <t>DALARNAS LÄN</t>
        </is>
      </c>
      <c r="G289" t="inlineStr">
        <is>
          <t>FALUN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44960</v>
      </c>
      <c r="E290" s="1" t="n">
        <v>46222</v>
      </c>
      <c r="F290" t="inlineStr">
        <is>
          <t>DALARNAS LÄN</t>
        </is>
      </c>
      <c r="G290" t="inlineStr">
        <is>
          <t>FALUN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46222</v>
      </c>
      <c r="F291" t="inlineStr">
        <is>
          <t>DALARNAS LÄN</t>
        </is>
      </c>
      <c r="G291" t="inlineStr">
        <is>
          <t>FALUN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49639-2024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46222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46222</v>
      </c>
      <c r="F293" t="inlineStr">
        <is>
          <t>DALARNAS LÄN</t>
        </is>
      </c>
      <c r="G293" t="inlineStr">
        <is>
          <t>FALUN</t>
        </is>
      </c>
      <c r="I293" t="n">
        <v>13.4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46222</v>
      </c>
      <c r="F294" t="inlineStr">
        <is>
          <t>DALARNAS LÄN</t>
        </is>
      </c>
      <c r="G294" t="inlineStr">
        <is>
          <t>FALUN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46222</v>
      </c>
      <c r="F295" t="inlineStr">
        <is>
          <t>DALARNAS LÄN</t>
        </is>
      </c>
      <c r="G295" t="inlineStr">
        <is>
          <t>FALUN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46222</v>
      </c>
      <c r="F296" t="inlineStr">
        <is>
          <t>DALARNAS LÄN</t>
        </is>
      </c>
      <c r="G296" t="inlineStr">
        <is>
          <t>FALUN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69306-2021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46222</v>
      </c>
      <c r="F297" t="inlineStr">
        <is>
          <t>DALARNAS LÄN</t>
        </is>
      </c>
      <c r="G297" t="inlineStr">
        <is>
          <t>FALUN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27469-2025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46222</v>
      </c>
      <c r="F298" t="inlineStr">
        <is>
          <t>DALARNAS LÄN</t>
        </is>
      </c>
      <c r="G298" t="inlineStr">
        <is>
          <t>FALUN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55390-2022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44887</v>
      </c>
      <c r="E299" s="1" t="n">
        <v>46222</v>
      </c>
      <c r="F299" t="inlineStr">
        <is>
          <t>DALARNAS LÄN</t>
        </is>
      </c>
      <c r="G299" t="inlineStr">
        <is>
          <t>FALUN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33912-2024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45523</v>
      </c>
      <c r="E300" s="1" t="n">
        <v>46222</v>
      </c>
      <c r="F300" t="inlineStr">
        <is>
          <t>DALARNAS LÄN</t>
        </is>
      </c>
      <c r="G300" t="inlineStr">
        <is>
          <t>FALUN</t>
        </is>
      </c>
      <c r="H300" t="inlineStr">
        <is>
          <t>Allmännings- och besparingsskogar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33408-2024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46222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46222</v>
      </c>
      <c r="F302" t="inlineStr">
        <is>
          <t>DALARNAS LÄN</t>
        </is>
      </c>
      <c r="G302" t="inlineStr">
        <is>
          <t>FALUN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46222</v>
      </c>
      <c r="F303" t="inlineStr">
        <is>
          <t>DALARNAS LÄN</t>
        </is>
      </c>
      <c r="G303" t="inlineStr">
        <is>
          <t>FALUN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46222</v>
      </c>
      <c r="F304" t="inlineStr">
        <is>
          <t>DALARNAS LÄN</t>
        </is>
      </c>
      <c r="G304" t="inlineStr">
        <is>
          <t>FALUN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46222</v>
      </c>
      <c r="F305" t="inlineStr">
        <is>
          <t>DALARNAS LÄN</t>
        </is>
      </c>
      <c r="G305" t="inlineStr">
        <is>
          <t>FALUN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46046</v>
      </c>
      <c r="E306" s="1" t="n">
        <v>46222</v>
      </c>
      <c r="F306" t="inlineStr">
        <is>
          <t>DALARNAS LÄN</t>
        </is>
      </c>
      <c r="G306" t="inlineStr">
        <is>
          <t>FALUN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46222</v>
      </c>
      <c r="F307" t="inlineStr">
        <is>
          <t>DALARNAS LÄN</t>
        </is>
      </c>
      <c r="G307" t="inlineStr">
        <is>
          <t>FALUN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46222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28730-2025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46222</v>
      </c>
      <c r="F309" t="inlineStr">
        <is>
          <t>DALARNAS LÄN</t>
        </is>
      </c>
      <c r="G309" t="inlineStr">
        <is>
          <t>FALUN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46222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46222</v>
      </c>
      <c r="F311" t="inlineStr">
        <is>
          <t>DALARNAS LÄN</t>
        </is>
      </c>
      <c r="G311" t="inlineStr">
        <is>
          <t>FALUN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46222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46222</v>
      </c>
      <c r="F313" t="inlineStr">
        <is>
          <t>DALARNAS LÄN</t>
        </is>
      </c>
      <c r="G313" t="inlineStr">
        <is>
          <t>FALUN</t>
        </is>
      </c>
      <c r="I313" t="n">
        <v>13.5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46222</v>
      </c>
      <c r="F314" t="inlineStr">
        <is>
          <t>DALARNAS LÄN</t>
        </is>
      </c>
      <c r="G314" t="inlineStr">
        <is>
          <t>FALUN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46222</v>
      </c>
      <c r="F315" t="inlineStr">
        <is>
          <t>DALARNAS LÄN</t>
        </is>
      </c>
      <c r="G315" t="inlineStr">
        <is>
          <t>FALUN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46222</v>
      </c>
      <c r="F316" t="inlineStr">
        <is>
          <t>DALARNAS LÄN</t>
        </is>
      </c>
      <c r="G316" t="inlineStr">
        <is>
          <t>FALUN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46222</v>
      </c>
      <c r="F317" t="inlineStr">
        <is>
          <t>DALARNAS LÄN</t>
        </is>
      </c>
      <c r="G317" t="inlineStr">
        <is>
          <t>FALUN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46222</v>
      </c>
      <c r="F318" t="inlineStr">
        <is>
          <t>DALARNAS LÄN</t>
        </is>
      </c>
      <c r="G318" t="inlineStr">
        <is>
          <t>FALUN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39639-2025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46222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46222</v>
      </c>
      <c r="F320" t="inlineStr">
        <is>
          <t>DALARNAS LÄN</t>
        </is>
      </c>
      <c r="G320" t="inlineStr">
        <is>
          <t>FALUN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46222</v>
      </c>
      <c r="F321" t="inlineStr">
        <is>
          <t>DALARNAS LÄN</t>
        </is>
      </c>
      <c r="G321" t="inlineStr">
        <is>
          <t>FALUN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46222</v>
      </c>
      <c r="F322" t="inlineStr">
        <is>
          <t>DALARNAS LÄN</t>
        </is>
      </c>
      <c r="G322" t="inlineStr">
        <is>
          <t>FALUN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29355-2025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46222</v>
      </c>
      <c r="F323" t="inlineStr">
        <is>
          <t>DALARNAS LÄN</t>
        </is>
      </c>
      <c r="G323" t="inlineStr">
        <is>
          <t>FALUN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46222</v>
      </c>
      <c r="F324" t="inlineStr">
        <is>
          <t>DALARNAS LÄN</t>
        </is>
      </c>
      <c r="G324" t="inlineStr">
        <is>
          <t>FALUN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46222</v>
      </c>
      <c r="F325" t="inlineStr">
        <is>
          <t>DALARNAS LÄN</t>
        </is>
      </c>
      <c r="G325" t="inlineStr">
        <is>
          <t>FALUN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52989-2024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46222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46222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46222</v>
      </c>
      <c r="F328" t="inlineStr">
        <is>
          <t>DALARNAS LÄN</t>
        </is>
      </c>
      <c r="G328" t="inlineStr">
        <is>
          <t>FALUN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46222</v>
      </c>
      <c r="F329" t="inlineStr">
        <is>
          <t>DALARNAS LÄN</t>
        </is>
      </c>
      <c r="G329" t="inlineStr">
        <is>
          <t>FALUN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46222</v>
      </c>
      <c r="F330" t="inlineStr">
        <is>
          <t>DALARNAS LÄN</t>
        </is>
      </c>
      <c r="G330" t="inlineStr">
        <is>
          <t>FALUN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46222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46222</v>
      </c>
      <c r="F332" t="inlineStr">
        <is>
          <t>DALARNAS LÄN</t>
        </is>
      </c>
      <c r="G332" t="inlineStr">
        <is>
          <t>FALUN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46222</v>
      </c>
      <c r="F333" t="inlineStr">
        <is>
          <t>DALARNAS LÄN</t>
        </is>
      </c>
      <c r="G333" t="inlineStr">
        <is>
          <t>FALUN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46222</v>
      </c>
      <c r="F334" t="inlineStr">
        <is>
          <t>DALARNAS LÄN</t>
        </is>
      </c>
      <c r="G334" t="inlineStr">
        <is>
          <t>FALUN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46222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46222</v>
      </c>
      <c r="F336" t="inlineStr">
        <is>
          <t>DALARNAS LÄN</t>
        </is>
      </c>
      <c r="G336" t="inlineStr">
        <is>
          <t>FALUN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9730-2026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46222</v>
      </c>
      <c r="F337" t="inlineStr">
        <is>
          <t>DALARNAS LÄN</t>
        </is>
      </c>
      <c r="G337" t="inlineStr">
        <is>
          <t>FALUN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40593-2025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46222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40582-2025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46222</v>
      </c>
      <c r="F339" t="inlineStr">
        <is>
          <t>DALARNAS LÄN</t>
        </is>
      </c>
      <c r="G339" t="inlineStr">
        <is>
          <t>FALUN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58412-2024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45634</v>
      </c>
      <c r="E340" s="1" t="n">
        <v>46222</v>
      </c>
      <c r="F340" t="inlineStr">
        <is>
          <t>DALARNAS LÄN</t>
        </is>
      </c>
      <c r="G340" t="inlineStr">
        <is>
          <t>FALUN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46222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45741</v>
      </c>
      <c r="E342" s="1" t="n">
        <v>46222</v>
      </c>
      <c r="F342" t="inlineStr">
        <is>
          <t>DALARNAS LÄN</t>
        </is>
      </c>
      <c r="G342" t="inlineStr">
        <is>
          <t>FALUN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22739-2022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44714</v>
      </c>
      <c r="E343" s="1" t="n">
        <v>46222</v>
      </c>
      <c r="F343" t="inlineStr">
        <is>
          <t>DALARNAS LÄN</t>
        </is>
      </c>
      <c r="G343" t="inlineStr">
        <is>
          <t>FALUN</t>
        </is>
      </c>
      <c r="H343" t="inlineStr">
        <is>
          <t>Kyrkan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58842-2023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46222</v>
      </c>
      <c r="F344" t="inlineStr">
        <is>
          <t>DALARNAS LÄN</t>
        </is>
      </c>
      <c r="G344" t="inlineStr">
        <is>
          <t>FALUN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58864-2023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46222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46222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40775-2025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46222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28.2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46222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46222</v>
      </c>
      <c r="F349" t="inlineStr">
        <is>
          <t>DALARNAS LÄN</t>
        </is>
      </c>
      <c r="G349" t="inlineStr">
        <is>
          <t>FALUN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46222</v>
      </c>
      <c r="F350" t="inlineStr">
        <is>
          <t>DALARNAS LÄN</t>
        </is>
      </c>
      <c r="G350" t="inlineStr">
        <is>
          <t>FALUN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46222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46222</v>
      </c>
      <c r="F352" t="inlineStr">
        <is>
          <t>DALARNAS LÄN</t>
        </is>
      </c>
      <c r="G352" t="inlineStr">
        <is>
          <t>FALUN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46222</v>
      </c>
      <c r="F353" t="inlineStr">
        <is>
          <t>DALARNAS LÄN</t>
        </is>
      </c>
      <c r="G353" t="inlineStr">
        <is>
          <t>FALUN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37293-2021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44397</v>
      </c>
      <c r="E354" s="1" t="n">
        <v>46222</v>
      </c>
      <c r="F354" t="inlineStr">
        <is>
          <t>DALARNAS LÄN</t>
        </is>
      </c>
      <c r="G354" t="inlineStr">
        <is>
          <t>FALUN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46222</v>
      </c>
      <c r="F355" t="inlineStr">
        <is>
          <t>DALARNAS LÄN</t>
        </is>
      </c>
      <c r="G355" t="inlineStr">
        <is>
          <t>FALUN</t>
        </is>
      </c>
      <c r="I355" t="n">
        <v>26.1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46222</v>
      </c>
      <c r="F356" t="inlineStr">
        <is>
          <t>DALARNAS LÄN</t>
        </is>
      </c>
      <c r="G356" t="inlineStr">
        <is>
          <t>FALUN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46222</v>
      </c>
      <c r="F357" t="inlineStr">
        <is>
          <t>DALARNAS LÄN</t>
        </is>
      </c>
      <c r="G357" t="inlineStr">
        <is>
          <t>FALUN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46222</v>
      </c>
      <c r="F358" t="inlineStr">
        <is>
          <t>DALARNAS LÄN</t>
        </is>
      </c>
      <c r="G358" t="inlineStr">
        <is>
          <t>FALUN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46222</v>
      </c>
      <c r="F359" t="inlineStr">
        <is>
          <t>DALARNAS LÄN</t>
        </is>
      </c>
      <c r="G359" t="inlineStr">
        <is>
          <t>FALUN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46222</v>
      </c>
      <c r="F360" t="inlineStr">
        <is>
          <t>DALARNAS LÄN</t>
        </is>
      </c>
      <c r="G360" t="inlineStr">
        <is>
          <t>FALUN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46222</v>
      </c>
      <c r="F361" t="inlineStr">
        <is>
          <t>DALARNAS LÄN</t>
        </is>
      </c>
      <c r="G361" t="inlineStr">
        <is>
          <t>FALUN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46222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46222</v>
      </c>
      <c r="F363" t="inlineStr">
        <is>
          <t>DALARNAS LÄN</t>
        </is>
      </c>
      <c r="G363" t="inlineStr">
        <is>
          <t>FALUN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30927-2025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46222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41371-2025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45900</v>
      </c>
      <c r="E365" s="1" t="n">
        <v>46222</v>
      </c>
      <c r="F365" t="inlineStr">
        <is>
          <t>DALARNAS LÄN</t>
        </is>
      </c>
      <c r="G365" t="inlineStr">
        <is>
          <t>FALUN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46222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46222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46222</v>
      </c>
      <c r="F368" t="inlineStr">
        <is>
          <t>DALARNAS LÄN</t>
        </is>
      </c>
      <c r="G368" t="inlineStr">
        <is>
          <t>FALUN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46222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46222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51914-2024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46222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46222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14538-2022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44655</v>
      </c>
      <c r="E373" s="1" t="n">
        <v>46222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46222</v>
      </c>
      <c r="F374" t="inlineStr">
        <is>
          <t>DALARNAS LÄN</t>
        </is>
      </c>
      <c r="G374" t="inlineStr">
        <is>
          <t>FALUN</t>
        </is>
      </c>
      <c r="H374" t="inlineStr">
        <is>
          <t>Kommuner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46222</v>
      </c>
      <c r="F375" t="inlineStr">
        <is>
          <t>DALARNAS LÄN</t>
        </is>
      </c>
      <c r="G375" t="inlineStr">
        <is>
          <t>FALUN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46222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46222</v>
      </c>
      <c r="F377" t="inlineStr">
        <is>
          <t>DALARNAS LÄN</t>
        </is>
      </c>
      <c r="G377" t="inlineStr">
        <is>
          <t>FALUN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46025</v>
      </c>
      <c r="E378" s="1" t="n">
        <v>46222</v>
      </c>
      <c r="F378" t="inlineStr">
        <is>
          <t>DALARNAS LÄN</t>
        </is>
      </c>
      <c r="G378" t="inlineStr">
        <is>
          <t>FALUN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46222</v>
      </c>
      <c r="F379" t="inlineStr">
        <is>
          <t>DALARNAS LÄN</t>
        </is>
      </c>
      <c r="G379" t="inlineStr">
        <is>
          <t>FALUN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48702-2022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44859</v>
      </c>
      <c r="E380" s="1" t="n">
        <v>46222</v>
      </c>
      <c r="F380" t="inlineStr">
        <is>
          <t>DALARNAS LÄN</t>
        </is>
      </c>
      <c r="G380" t="inlineStr">
        <is>
          <t>FALUN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43092-2025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46222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24.3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43257-2025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46222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46222</v>
      </c>
      <c r="F383" t="inlineStr">
        <is>
          <t>DALARNAS LÄN</t>
        </is>
      </c>
      <c r="G383" t="inlineStr">
        <is>
          <t>FALUN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46222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54537-2023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46222</v>
      </c>
      <c r="F385" t="inlineStr">
        <is>
          <t>DALARNAS LÄN</t>
        </is>
      </c>
      <c r="G385" t="inlineStr">
        <is>
          <t>FALUN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43202-2025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45910</v>
      </c>
      <c r="E386" s="1" t="n">
        <v>46222</v>
      </c>
      <c r="F386" t="inlineStr">
        <is>
          <t>DALARNAS LÄN</t>
        </is>
      </c>
      <c r="G386" t="inlineStr">
        <is>
          <t>FALUN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46222</v>
      </c>
      <c r="F387" t="inlineStr">
        <is>
          <t>DALARNAS LÄN</t>
        </is>
      </c>
      <c r="G387" t="inlineStr">
        <is>
          <t>FALUN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46222</v>
      </c>
      <c r="F388" t="inlineStr">
        <is>
          <t>DALARNAS LÄN</t>
        </is>
      </c>
      <c r="G388" t="inlineStr">
        <is>
          <t>FALUN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46222</v>
      </c>
      <c r="F389" t="inlineStr">
        <is>
          <t>DALARNAS LÄN</t>
        </is>
      </c>
      <c r="G389" t="inlineStr">
        <is>
          <t>FALUN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46222</v>
      </c>
      <c r="F390" t="inlineStr">
        <is>
          <t>DALARNAS LÄN</t>
        </is>
      </c>
      <c r="G390" t="inlineStr">
        <is>
          <t>FALUN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46222</v>
      </c>
      <c r="F391" t="inlineStr">
        <is>
          <t>DALARNAS LÄN</t>
        </is>
      </c>
      <c r="G391" t="inlineStr">
        <is>
          <t>FALUN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43545-2025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46222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43508-2025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46222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43576-2025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46222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13583-2022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44648</v>
      </c>
      <c r="E395" s="1" t="n">
        <v>46222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46222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46222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46222</v>
      </c>
      <c r="F398" t="inlineStr">
        <is>
          <t>DALARNAS LÄN</t>
        </is>
      </c>
      <c r="G398" t="inlineStr">
        <is>
          <t>FALUN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46222</v>
      </c>
      <c r="F399" t="inlineStr">
        <is>
          <t>DALARNAS LÄN</t>
        </is>
      </c>
      <c r="G399" t="inlineStr">
        <is>
          <t>FALUN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46222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50123-2024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46222</v>
      </c>
      <c r="F401" t="inlineStr">
        <is>
          <t>DALARNAS LÄN</t>
        </is>
      </c>
      <c r="G401" t="inlineStr">
        <is>
          <t>FALUN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46222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6607-2026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46222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46222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44863-2025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46222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46051</v>
      </c>
      <c r="E406" s="1" t="n">
        <v>46222</v>
      </c>
      <c r="F406" t="inlineStr">
        <is>
          <t>DALARNAS LÄN</t>
        </is>
      </c>
      <c r="G406" t="inlineStr">
        <is>
          <t>FALUN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33542-2025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46222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46222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46222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46222</v>
      </c>
      <c r="F410" t="inlineStr">
        <is>
          <t>DALARNAS LÄN</t>
        </is>
      </c>
      <c r="G410" t="inlineStr">
        <is>
          <t>FALUN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46222</v>
      </c>
      <c r="F411" t="inlineStr">
        <is>
          <t>DALARNAS LÄN</t>
        </is>
      </c>
      <c r="G411" t="inlineStr">
        <is>
          <t>FALUN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46222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46222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46222</v>
      </c>
      <c r="F414" t="inlineStr">
        <is>
          <t>DALARNAS LÄN</t>
        </is>
      </c>
      <c r="G414" t="inlineStr">
        <is>
          <t>FALUN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24782-2025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45799</v>
      </c>
      <c r="E415" s="1" t="n">
        <v>46222</v>
      </c>
      <c r="F415" t="inlineStr">
        <is>
          <t>DALARNAS LÄN</t>
        </is>
      </c>
      <c r="G415" t="inlineStr">
        <is>
          <t>FALUN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46222</v>
      </c>
      <c r="F416" t="inlineStr">
        <is>
          <t>DALARNAS LÄN</t>
        </is>
      </c>
      <c r="G416" t="inlineStr">
        <is>
          <t>FALUN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56136-2024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45624</v>
      </c>
      <c r="E417" s="1" t="n">
        <v>46222</v>
      </c>
      <c r="F417" t="inlineStr">
        <is>
          <t>DALARNAS LÄN</t>
        </is>
      </c>
      <c r="G417" t="inlineStr">
        <is>
          <t>FALUN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45584-2025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45922</v>
      </c>
      <c r="E418" s="1" t="n">
        <v>46222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34443-2025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46222</v>
      </c>
      <c r="F419" t="inlineStr">
        <is>
          <t>DALARNAS LÄN</t>
        </is>
      </c>
      <c r="G419" t="inlineStr">
        <is>
          <t>FALUN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23323-2024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45453</v>
      </c>
      <c r="E420" s="1" t="n">
        <v>46222</v>
      </c>
      <c r="F420" t="inlineStr">
        <is>
          <t>DALARNAS LÄN</t>
        </is>
      </c>
      <c r="G420" t="inlineStr">
        <is>
          <t>FALUN</t>
        </is>
      </c>
      <c r="H420" t="inlineStr">
        <is>
          <t>Övriga statliga verk och myndigheter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63312-2023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45274</v>
      </c>
      <c r="E421" s="1" t="n">
        <v>46222</v>
      </c>
      <c r="F421" t="inlineStr">
        <is>
          <t>DALARNAS LÄN</t>
        </is>
      </c>
      <c r="G421" t="inlineStr">
        <is>
          <t>FALUN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46222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46222</v>
      </c>
      <c r="F423" t="inlineStr">
        <is>
          <t>DALARNAS LÄN</t>
        </is>
      </c>
      <c r="G423" t="inlineStr">
        <is>
          <t>FALUN</t>
        </is>
      </c>
      <c r="I423" t="n">
        <v>27.4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46222</v>
      </c>
      <c r="F424" t="inlineStr">
        <is>
          <t>DALARNAS LÄN</t>
        </is>
      </c>
      <c r="G424" t="inlineStr">
        <is>
          <t>FALUN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6604-2026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46222</v>
      </c>
      <c r="F425" t="inlineStr">
        <is>
          <t>DALARNAS LÄN</t>
        </is>
      </c>
      <c r="G425" t="inlineStr">
        <is>
          <t>FALUN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46222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6736-2026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46222</v>
      </c>
      <c r="F427" t="inlineStr">
        <is>
          <t>DALARNAS LÄN</t>
        </is>
      </c>
      <c r="G427" t="inlineStr">
        <is>
          <t>FALUN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46222</v>
      </c>
      <c r="F428" t="inlineStr">
        <is>
          <t>DALARNAS LÄN</t>
        </is>
      </c>
      <c r="G428" t="inlineStr">
        <is>
          <t>FALUN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35323-2025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46222</v>
      </c>
      <c r="F429" t="inlineStr">
        <is>
          <t>DALARNAS LÄN</t>
        </is>
      </c>
      <c r="G429" t="inlineStr">
        <is>
          <t>FALUN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46222</v>
      </c>
      <c r="F430" t="inlineStr">
        <is>
          <t>DALARNAS LÄN</t>
        </is>
      </c>
      <c r="G430" t="inlineStr">
        <is>
          <t>FALUN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46222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10318-2024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45365</v>
      </c>
      <c r="E432" s="1" t="n">
        <v>46222</v>
      </c>
      <c r="F432" t="inlineStr">
        <is>
          <t>DALARNAS LÄN</t>
        </is>
      </c>
      <c r="G432" t="inlineStr">
        <is>
          <t>FALUN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46222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47407-2025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46222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6573-2026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46222</v>
      </c>
      <c r="F435" t="inlineStr">
        <is>
          <t>DALARNAS LÄN</t>
        </is>
      </c>
      <c r="G435" t="inlineStr">
        <is>
          <t>FALUN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46222</v>
      </c>
      <c r="F436" t="inlineStr">
        <is>
          <t>DALARNAS LÄN</t>
        </is>
      </c>
      <c r="G436" t="inlineStr">
        <is>
          <t>FALUN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44798</v>
      </c>
      <c r="E437" s="1" t="n">
        <v>46222</v>
      </c>
      <c r="F437" t="inlineStr">
        <is>
          <t>DALARNAS LÄN</t>
        </is>
      </c>
      <c r="G437" t="inlineStr">
        <is>
          <t>FALUN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6955-2026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46222</v>
      </c>
      <c r="F438" t="inlineStr">
        <is>
          <t>DALARNAS LÄN</t>
        </is>
      </c>
      <c r="G438" t="inlineStr">
        <is>
          <t>FALUN</t>
        </is>
      </c>
      <c r="H438" t="inlineStr">
        <is>
          <t>Allmännings- och besparingsskogar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58133-2024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46222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46222</v>
      </c>
      <c r="F440" t="inlineStr">
        <is>
          <t>DALARNAS LÄN</t>
        </is>
      </c>
      <c r="G440" t="inlineStr">
        <is>
          <t>FALUN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46222</v>
      </c>
      <c r="F441" t="inlineStr">
        <is>
          <t>DALARNAS LÄN</t>
        </is>
      </c>
      <c r="G441" t="inlineStr">
        <is>
          <t>FALUN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46222</v>
      </c>
      <c r="F442" t="inlineStr">
        <is>
          <t>DALARNAS LÄN</t>
        </is>
      </c>
      <c r="G442" t="inlineStr">
        <is>
          <t>FALUN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46222</v>
      </c>
      <c r="F443" t="inlineStr">
        <is>
          <t>DALARNAS LÄN</t>
        </is>
      </c>
      <c r="G443" t="inlineStr">
        <is>
          <t>FALUN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46222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47838-2025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46222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53008-2024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45611</v>
      </c>
      <c r="E446" s="1" t="n">
        <v>46222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46222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7293-2026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46222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6756-2026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46222</v>
      </c>
      <c r="F449" t="inlineStr">
        <is>
          <t>DALARNAS LÄN</t>
        </is>
      </c>
      <c r="G449" t="inlineStr">
        <is>
          <t>FALUN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46222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6754-2026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46222</v>
      </c>
      <c r="F451" t="inlineStr">
        <is>
          <t>DALARNAS LÄN</t>
        </is>
      </c>
      <c r="G451" t="inlineStr">
        <is>
          <t>FALUN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46222</v>
      </c>
      <c r="F452" t="inlineStr">
        <is>
          <t>DALARNAS LÄN</t>
        </is>
      </c>
      <c r="G452" t="inlineStr">
        <is>
          <t>FALUN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7218-2026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46222</v>
      </c>
      <c r="F453" t="inlineStr">
        <is>
          <t>DALARNAS LÄN</t>
        </is>
      </c>
      <c r="G453" t="inlineStr">
        <is>
          <t>FALUN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59673-2024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45639</v>
      </c>
      <c r="E454" s="1" t="n">
        <v>46222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46222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6974-2026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46222</v>
      </c>
      <c r="F456" t="inlineStr">
        <is>
          <t>DALARNAS LÄN</t>
        </is>
      </c>
      <c r="G456" t="inlineStr">
        <is>
          <t>FALUN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24297-2024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45457</v>
      </c>
      <c r="E457" s="1" t="n">
        <v>46222</v>
      </c>
      <c r="F457" t="inlineStr">
        <is>
          <t>DALARNAS LÄN</t>
        </is>
      </c>
      <c r="G457" t="inlineStr">
        <is>
          <t>FALUN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48866-2025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46222</v>
      </c>
      <c r="F458" t="inlineStr">
        <is>
          <t>DALARNAS LÄN</t>
        </is>
      </c>
      <c r="G458" t="inlineStr">
        <is>
          <t>FALUN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46222</v>
      </c>
      <c r="F459" t="inlineStr">
        <is>
          <t>DALARNAS LÄN</t>
        </is>
      </c>
      <c r="G459" t="inlineStr">
        <is>
          <t>FALUN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49150-2025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46222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6985-2026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46222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49877-2025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45940</v>
      </c>
      <c r="E462" s="1" t="n">
        <v>46222</v>
      </c>
      <c r="F462" t="inlineStr">
        <is>
          <t>DALARNAS LÄN</t>
        </is>
      </c>
      <c r="G462" t="inlineStr">
        <is>
          <t>FALUN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49891-2025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46222</v>
      </c>
      <c r="F463" t="inlineStr">
        <is>
          <t>DALARNAS LÄN</t>
        </is>
      </c>
      <c r="G463" t="inlineStr">
        <is>
          <t>FALUN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55917-2022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46222</v>
      </c>
      <c r="F464" t="inlineStr">
        <is>
          <t>DALARNAS LÄN</t>
        </is>
      </c>
      <c r="G464" t="inlineStr">
        <is>
          <t>FALUN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49905-2025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46222</v>
      </c>
      <c r="F465" t="inlineStr">
        <is>
          <t>DALARNAS LÄN</t>
        </is>
      </c>
      <c r="G465" t="inlineStr">
        <is>
          <t>FALUN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13973-2026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46222</v>
      </c>
      <c r="F466" t="inlineStr">
        <is>
          <t>DALARNAS LÄN</t>
        </is>
      </c>
      <c r="G466" t="inlineStr">
        <is>
          <t>FALUN</t>
        </is>
      </c>
      <c r="I466" t="n">
        <v>12.3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46222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45659</v>
      </c>
      <c r="E468" s="1" t="n">
        <v>46222</v>
      </c>
      <c r="F468" t="inlineStr">
        <is>
          <t>DALARNAS LÄN</t>
        </is>
      </c>
      <c r="G468" t="inlineStr">
        <is>
          <t>FALUN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50300-2025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46222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46222</v>
      </c>
      <c r="F470" t="inlineStr">
        <is>
          <t>DALARNAS LÄN</t>
        </is>
      </c>
      <c r="G470" t="inlineStr">
        <is>
          <t>FALUN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50630-2025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46222</v>
      </c>
      <c r="F471" t="inlineStr">
        <is>
          <t>DALARNAS LÄN</t>
        </is>
      </c>
      <c r="G471" t="inlineStr">
        <is>
          <t>FALUN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37049-2023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45155</v>
      </c>
      <c r="E472" s="1" t="n">
        <v>46222</v>
      </c>
      <c r="F472" t="inlineStr">
        <is>
          <t>DALARNAS LÄN</t>
        </is>
      </c>
      <c r="G472" t="inlineStr">
        <is>
          <t>FALUN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7696-2026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46222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22843-2022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46222</v>
      </c>
      <c r="F474" t="inlineStr">
        <is>
          <t>DALARNAS LÄN</t>
        </is>
      </c>
      <c r="G474" t="inlineStr">
        <is>
          <t>FALUN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45159</v>
      </c>
      <c r="E475" s="1" t="n">
        <v>46222</v>
      </c>
      <c r="F475" t="inlineStr">
        <is>
          <t>DALARNAS LÄN</t>
        </is>
      </c>
      <c r="G475" t="inlineStr">
        <is>
          <t>FALUN</t>
        </is>
      </c>
      <c r="I475" t="n">
        <v>20.2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21747-2024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45442</v>
      </c>
      <c r="E476" s="1" t="n">
        <v>46222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7493-2026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46222</v>
      </c>
      <c r="F477" t="inlineStr">
        <is>
          <t>DALARNAS LÄN</t>
        </is>
      </c>
      <c r="G477" t="inlineStr">
        <is>
          <t>FALUN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37998-2025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46222</v>
      </c>
      <c r="F478" t="inlineStr">
        <is>
          <t>DALARNAS LÄN</t>
        </is>
      </c>
      <c r="G478" t="inlineStr">
        <is>
          <t>FALUN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37999-2025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46222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50241-2024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45600</v>
      </c>
      <c r="E480" s="1" t="n">
        <v>46222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47685-2023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46222</v>
      </c>
      <c r="F481" t="inlineStr">
        <is>
          <t>DALARNAS LÄN</t>
        </is>
      </c>
      <c r="G481" t="inlineStr">
        <is>
          <t>FALUN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42954-2023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46222</v>
      </c>
      <c r="F482" t="inlineStr">
        <is>
          <t>DALARNAS LÄN</t>
        </is>
      </c>
      <c r="G482" t="inlineStr">
        <is>
          <t>FALUN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46222</v>
      </c>
      <c r="F483" t="inlineStr">
        <is>
          <t>DALARNAS LÄN</t>
        </is>
      </c>
      <c r="G483" t="inlineStr">
        <is>
          <t>FALUN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45705</v>
      </c>
      <c r="E484" s="1" t="n">
        <v>46222</v>
      </c>
      <c r="F484" t="inlineStr">
        <is>
          <t>DALARNAS LÄN</t>
        </is>
      </c>
      <c r="G484" t="inlineStr">
        <is>
          <t>FALUN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51306-2025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46222</v>
      </c>
      <c r="F485" t="inlineStr">
        <is>
          <t>DALARNAS LÄN</t>
        </is>
      </c>
      <c r="G485" t="inlineStr">
        <is>
          <t>FALUN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46222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43030-2023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46222</v>
      </c>
      <c r="F487" t="inlineStr">
        <is>
          <t>DALARNAS LÄN</t>
        </is>
      </c>
      <c r="G487" t="inlineStr">
        <is>
          <t>FALUN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7857-2026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46222</v>
      </c>
      <c r="F488" t="inlineStr">
        <is>
          <t>DALARNAS LÄN</t>
        </is>
      </c>
      <c r="G488" t="inlineStr">
        <is>
          <t>FALUN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7476-2026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46222</v>
      </c>
      <c r="F489" t="inlineStr">
        <is>
          <t>DALARNAS LÄN</t>
        </is>
      </c>
      <c r="G489" t="inlineStr">
        <is>
          <t>FALUN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61377-2021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44500</v>
      </c>
      <c r="E490" s="1" t="n">
        <v>46222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8161-2026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46222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46222</v>
      </c>
      <c r="F492" t="inlineStr">
        <is>
          <t>DALARNAS LÄN</t>
        </is>
      </c>
      <c r="G492" t="inlineStr">
        <is>
          <t>FALUN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43238-2024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45567</v>
      </c>
      <c r="E493" s="1" t="n">
        <v>46222</v>
      </c>
      <c r="F493" t="inlineStr">
        <is>
          <t>DALARNAS LÄN</t>
        </is>
      </c>
      <c r="G493" t="inlineStr">
        <is>
          <t>FALUN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46222</v>
      </c>
      <c r="F494" t="inlineStr">
        <is>
          <t>DALARNAS LÄN</t>
        </is>
      </c>
      <c r="G494" t="inlineStr">
        <is>
          <t>FALUN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7916-2023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44973</v>
      </c>
      <c r="E495" s="1" t="n">
        <v>46222</v>
      </c>
      <c r="F495" t="inlineStr">
        <is>
          <t>DALARNAS LÄN</t>
        </is>
      </c>
      <c r="G495" t="inlineStr">
        <is>
          <t>FALUN</t>
        </is>
      </c>
      <c r="I495" t="n">
        <v>22.8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51608-2024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46222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7965-2026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46222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7967-2026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46222</v>
      </c>
      <c r="F498" t="inlineStr">
        <is>
          <t>DALARNAS LÄN</t>
        </is>
      </c>
      <c r="G498" t="inlineStr">
        <is>
          <t>FALUN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8626-2026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46222</v>
      </c>
      <c r="F499" t="inlineStr">
        <is>
          <t>DALARNAS LÄN</t>
        </is>
      </c>
      <c r="G499" t="inlineStr">
        <is>
          <t>FALUN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8599-2026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46222</v>
      </c>
      <c r="F500" t="inlineStr">
        <is>
          <t>DALARNAS LÄN</t>
        </is>
      </c>
      <c r="G500" t="inlineStr">
        <is>
          <t>FALUN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8821-2026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46222</v>
      </c>
      <c r="F501" t="inlineStr">
        <is>
          <t>DALARNAS LÄN</t>
        </is>
      </c>
      <c r="G501" t="inlineStr">
        <is>
          <t>FALUN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52752-2025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46222</v>
      </c>
      <c r="F502" t="inlineStr">
        <is>
          <t>DALARNAS LÄN</t>
        </is>
      </c>
      <c r="G502" t="inlineStr">
        <is>
          <t>FALUN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8760-2026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46222</v>
      </c>
      <c r="F503" t="inlineStr">
        <is>
          <t>DALARNAS LÄN</t>
        </is>
      </c>
      <c r="G503" t="inlineStr">
        <is>
          <t>FALUN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8808-2026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46222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8797-2026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46222</v>
      </c>
      <c r="F505" t="inlineStr">
        <is>
          <t>DALARNAS LÄN</t>
        </is>
      </c>
      <c r="G505" t="inlineStr">
        <is>
          <t>FALUN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46222</v>
      </c>
      <c r="F506" t="inlineStr">
        <is>
          <t>DALARNAS LÄN</t>
        </is>
      </c>
      <c r="G506" t="inlineStr">
        <is>
          <t>FALUN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46222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46222</v>
      </c>
      <c r="F508" t="inlineStr">
        <is>
          <t>DALARNAS LÄN</t>
        </is>
      </c>
      <c r="G508" t="inlineStr">
        <is>
          <t>FALUN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53202-2025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45958</v>
      </c>
      <c r="E509" s="1" t="n">
        <v>46222</v>
      </c>
      <c r="F509" t="inlineStr">
        <is>
          <t>DALARNAS LÄN</t>
        </is>
      </c>
      <c r="G509" t="inlineStr">
        <is>
          <t>FALUN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8409-2026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46222</v>
      </c>
      <c r="F510" t="inlineStr">
        <is>
          <t>DALARNAS LÄN</t>
        </is>
      </c>
      <c r="G510" t="inlineStr">
        <is>
          <t>FALUN</t>
        </is>
      </c>
      <c r="I510" t="n">
        <v>11.1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46222</v>
      </c>
      <c r="F511" t="inlineStr">
        <is>
          <t>DALARNAS LÄN</t>
        </is>
      </c>
      <c r="G511" t="inlineStr">
        <is>
          <t>FALUN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46068</v>
      </c>
      <c r="E512" s="1" t="n">
        <v>46222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46222</v>
      </c>
      <c r="F513" t="inlineStr">
        <is>
          <t>DALARNAS LÄN</t>
        </is>
      </c>
      <c r="G513" t="inlineStr">
        <is>
          <t>FALUN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52836-2025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46222</v>
      </c>
      <c r="F514" t="inlineStr">
        <is>
          <t>DALARNAS LÄN</t>
        </is>
      </c>
      <c r="G514" t="inlineStr">
        <is>
          <t>FALUN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52605-2025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45954</v>
      </c>
      <c r="E515" s="1" t="n">
        <v>46222</v>
      </c>
      <c r="F515" t="inlineStr">
        <is>
          <t>DALARNAS LÄN</t>
        </is>
      </c>
      <c r="G515" t="inlineStr">
        <is>
          <t>FALUN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46222</v>
      </c>
      <c r="F516" t="inlineStr">
        <is>
          <t>DALARNAS LÄN</t>
        </is>
      </c>
      <c r="G516" t="inlineStr">
        <is>
          <t>FALUN</t>
        </is>
      </c>
      <c r="H516" t="inlineStr">
        <is>
          <t>Kyrkan</t>
        </is>
      </c>
      <c r="I516" t="n">
        <v>18.5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46222</v>
      </c>
      <c r="F517" t="inlineStr">
        <is>
          <t>DALARNAS LÄN</t>
        </is>
      </c>
      <c r="G517" t="inlineStr">
        <is>
          <t>FALUN</t>
        </is>
      </c>
      <c r="H517" t="inlineStr">
        <is>
          <t>Kyrkan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9337-2026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46222</v>
      </c>
      <c r="F518" t="inlineStr">
        <is>
          <t>DALARNAS LÄN</t>
        </is>
      </c>
      <c r="G518" t="inlineStr">
        <is>
          <t>FALUN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46222</v>
      </c>
      <c r="F519" t="inlineStr">
        <is>
          <t>DALARNAS LÄN</t>
        </is>
      </c>
      <c r="G519" t="inlineStr">
        <is>
          <t>FALUN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9102-2026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46222</v>
      </c>
      <c r="F520" t="inlineStr">
        <is>
          <t>DALARNAS LÄN</t>
        </is>
      </c>
      <c r="G520" t="inlineStr">
        <is>
          <t>FALUN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46222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46222</v>
      </c>
      <c r="F522" t="inlineStr">
        <is>
          <t>DALARNAS LÄN</t>
        </is>
      </c>
      <c r="G522" t="inlineStr">
        <is>
          <t>FALUN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46222</v>
      </c>
      <c r="F523" t="inlineStr">
        <is>
          <t>DALARNAS LÄN</t>
        </is>
      </c>
      <c r="G523" t="inlineStr">
        <is>
          <t>FALUN</t>
        </is>
      </c>
      <c r="I523" t="n">
        <v>11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37300-2021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44397</v>
      </c>
      <c r="E524" s="1" t="n">
        <v>46222</v>
      </c>
      <c r="F524" t="inlineStr">
        <is>
          <t>DALARNAS LÄN</t>
        </is>
      </c>
      <c r="G524" t="inlineStr">
        <is>
          <t>FALUN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9429-2026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46222</v>
      </c>
      <c r="F525" t="inlineStr">
        <is>
          <t>DALARNAS LÄN</t>
        </is>
      </c>
      <c r="G525" t="inlineStr">
        <is>
          <t>FALUN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45804</v>
      </c>
      <c r="E526" s="1" t="n">
        <v>46222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53996-2025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45961</v>
      </c>
      <c r="E527" s="1" t="n">
        <v>46222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42952-2023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45182</v>
      </c>
      <c r="E528" s="1" t="n">
        <v>46222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46222</v>
      </c>
      <c r="F529" t="inlineStr">
        <is>
          <t>DALARNAS LÄN</t>
        </is>
      </c>
      <c r="G529" t="inlineStr">
        <is>
          <t>FALUN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46222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9606-2026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46222</v>
      </c>
      <c r="F531" t="inlineStr">
        <is>
          <t>DALARNAS LÄN</t>
        </is>
      </c>
      <c r="G531" t="inlineStr">
        <is>
          <t>FALUN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46222</v>
      </c>
      <c r="F532" t="inlineStr">
        <is>
          <t>DALARNAS LÄN</t>
        </is>
      </c>
      <c r="G532" t="inlineStr">
        <is>
          <t>FALUN</t>
        </is>
      </c>
      <c r="H532" t="inlineStr">
        <is>
          <t>Allmännings- och besparingsskogar</t>
        </is>
      </c>
      <c r="I532" t="n">
        <v>17.5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9746-2026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46222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6456-2026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46222</v>
      </c>
      <c r="F534" t="inlineStr">
        <is>
          <t>DALARNAS LÄN</t>
        </is>
      </c>
      <c r="G534" t="inlineStr">
        <is>
          <t>FALUN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9696-2026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46222</v>
      </c>
      <c r="F535" t="inlineStr">
        <is>
          <t>DALARNAS LÄN</t>
        </is>
      </c>
      <c r="G535" t="inlineStr">
        <is>
          <t>FALUN</t>
        </is>
      </c>
      <c r="I535" t="n">
        <v>8.9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16334-2023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45028</v>
      </c>
      <c r="E536" s="1" t="n">
        <v>46222</v>
      </c>
      <c r="F536" t="inlineStr">
        <is>
          <t>DALARNAS LÄN</t>
        </is>
      </c>
      <c r="G536" t="inlineStr">
        <is>
          <t>FALUN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54335-2025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46222</v>
      </c>
      <c r="F537" t="inlineStr">
        <is>
          <t>DALARNAS LÄN</t>
        </is>
      </c>
      <c r="G537" t="inlineStr">
        <is>
          <t>FALUN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54566-2025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45965</v>
      </c>
      <c r="E538" s="1" t="n">
        <v>46222</v>
      </c>
      <c r="F538" t="inlineStr">
        <is>
          <t>DALARNAS LÄN</t>
        </is>
      </c>
      <c r="G538" t="inlineStr">
        <is>
          <t>FALUN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10047-2026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46222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59200-2025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45988</v>
      </c>
      <c r="E540" s="1" t="n">
        <v>46222</v>
      </c>
      <c r="F540" t="inlineStr">
        <is>
          <t>DALARNAS LÄN</t>
        </is>
      </c>
      <c r="G540" t="inlineStr">
        <is>
          <t>FALUN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10539-2026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46222</v>
      </c>
      <c r="F541" t="inlineStr">
        <is>
          <t>DALARNAS LÄN</t>
        </is>
      </c>
      <c r="G541" t="inlineStr">
        <is>
          <t>FALUN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10132-2026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46222</v>
      </c>
      <c r="F542" t="inlineStr">
        <is>
          <t>DALARNAS LÄN</t>
        </is>
      </c>
      <c r="G542" t="inlineStr">
        <is>
          <t>FALUN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47328-2023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45202</v>
      </c>
      <c r="E543" s="1" t="n">
        <v>46222</v>
      </c>
      <c r="F543" t="inlineStr">
        <is>
          <t>DALARNAS LÄN</t>
        </is>
      </c>
      <c r="G543" t="inlineStr">
        <is>
          <t>FALUN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41439-2022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44826</v>
      </c>
      <c r="E544" s="1" t="n">
        <v>46222</v>
      </c>
      <c r="F544" t="inlineStr">
        <is>
          <t>DALARNAS LÄN</t>
        </is>
      </c>
      <c r="G544" t="inlineStr">
        <is>
          <t>FALUN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55140-2025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46222</v>
      </c>
      <c r="F545" t="inlineStr">
        <is>
          <t>DALARNAS LÄN</t>
        </is>
      </c>
      <c r="G545" t="inlineStr">
        <is>
          <t>FALUN</t>
        </is>
      </c>
      <c r="I545" t="n">
        <v>14.8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55201-2025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46222</v>
      </c>
      <c r="F546" t="inlineStr">
        <is>
          <t>DALARNAS LÄN</t>
        </is>
      </c>
      <c r="G546" t="inlineStr">
        <is>
          <t>FALUN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10531-2026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46222</v>
      </c>
      <c r="F547" t="inlineStr">
        <is>
          <t>DALARNAS LÄN</t>
        </is>
      </c>
      <c r="G547" t="inlineStr">
        <is>
          <t>FALUN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55047-2025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46222</v>
      </c>
      <c r="F548" t="inlineStr">
        <is>
          <t>DALARNAS LÄN</t>
        </is>
      </c>
      <c r="G548" t="inlineStr">
        <is>
          <t>FALUN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10566-2026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46222</v>
      </c>
      <c r="F549" t="inlineStr">
        <is>
          <t>DALARNAS LÄN</t>
        </is>
      </c>
      <c r="G549" t="inlineStr">
        <is>
          <t>FALUN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46222</v>
      </c>
      <c r="F550" t="inlineStr">
        <is>
          <t>DALARNAS LÄN</t>
        </is>
      </c>
      <c r="G550" t="inlineStr">
        <is>
          <t>FALUN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46222</v>
      </c>
      <c r="F551" t="inlineStr">
        <is>
          <t>DALARNAS LÄN</t>
        </is>
      </c>
      <c r="G551" t="inlineStr">
        <is>
          <t>FALUN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7519-2024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45348</v>
      </c>
      <c r="E552" s="1" t="n">
        <v>46222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55516-2025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46222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46222</v>
      </c>
      <c r="F554" t="inlineStr">
        <is>
          <t>DALARNAS LÄN</t>
        </is>
      </c>
      <c r="G554" t="inlineStr">
        <is>
          <t>FALUN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2756-2025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45677</v>
      </c>
      <c r="E555" s="1" t="n">
        <v>46222</v>
      </c>
      <c r="F555" t="inlineStr">
        <is>
          <t>DALARNAS LÄN</t>
        </is>
      </c>
      <c r="G555" t="inlineStr">
        <is>
          <t>FALUN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11050-2026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46222</v>
      </c>
      <c r="F556" t="inlineStr">
        <is>
          <t>DALARNAS LÄN</t>
        </is>
      </c>
      <c r="G556" t="inlineStr">
        <is>
          <t>FALUN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46222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46222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10822-2026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46222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55989-2025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46222</v>
      </c>
      <c r="F560" t="inlineStr">
        <is>
          <t>DALARNAS LÄN</t>
        </is>
      </c>
      <c r="G560" t="inlineStr">
        <is>
          <t>FALUN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46222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15318-2025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46222</v>
      </c>
      <c r="F562" t="inlineStr">
        <is>
          <t>DALARNAS LÄN</t>
        </is>
      </c>
      <c r="G562" t="inlineStr">
        <is>
          <t>FALUN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11387-2026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46222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11481-2026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46222</v>
      </c>
      <c r="F564" t="inlineStr">
        <is>
          <t>DALARNAS LÄN</t>
        </is>
      </c>
      <c r="G564" t="inlineStr">
        <is>
          <t>FALUN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46222</v>
      </c>
      <c r="F565" t="inlineStr">
        <is>
          <t>DALARNAS LÄN</t>
        </is>
      </c>
      <c r="G565" t="inlineStr">
        <is>
          <t>FALUN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11265-2026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46222</v>
      </c>
      <c r="F566" t="inlineStr">
        <is>
          <t>DALARNAS LÄN</t>
        </is>
      </c>
      <c r="G566" t="inlineStr">
        <is>
          <t>FALUN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11275-2026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46080</v>
      </c>
      <c r="E567" s="1" t="n">
        <v>46222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56887-2025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45978</v>
      </c>
      <c r="E568" s="1" t="n">
        <v>46222</v>
      </c>
      <c r="F568" t="inlineStr">
        <is>
          <t>DALARNAS LÄN</t>
        </is>
      </c>
      <c r="G568" t="inlineStr">
        <is>
          <t>FALUN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56906-2025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45978</v>
      </c>
      <c r="E569" s="1" t="n">
        <v>46222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56962-2025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46222</v>
      </c>
      <c r="F570" t="inlineStr">
        <is>
          <t>DALARNAS LÄN</t>
        </is>
      </c>
      <c r="G570" t="inlineStr">
        <is>
          <t>FALUN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46222</v>
      </c>
      <c r="F571" t="inlineStr">
        <is>
          <t>DALARNAS LÄN</t>
        </is>
      </c>
      <c r="G571" t="inlineStr">
        <is>
          <t>FALUN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56913-2025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45978</v>
      </c>
      <c r="E572" s="1" t="n">
        <v>46222</v>
      </c>
      <c r="F572" t="inlineStr">
        <is>
          <t>DALARNAS LÄN</t>
        </is>
      </c>
      <c r="G572" t="inlineStr">
        <is>
          <t>FALUN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56924-2025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46222</v>
      </c>
      <c r="F573" t="inlineStr">
        <is>
          <t>DALARNAS LÄN</t>
        </is>
      </c>
      <c r="G573" t="inlineStr">
        <is>
          <t>FALUN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56931-2025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46222</v>
      </c>
      <c r="F574" t="inlineStr">
        <is>
          <t>DALARNAS LÄN</t>
        </is>
      </c>
      <c r="G574" t="inlineStr">
        <is>
          <t>FALUN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11330-2026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46081</v>
      </c>
      <c r="E575" s="1" t="n">
        <v>46222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11347-2026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46082</v>
      </c>
      <c r="E576" s="1" t="n">
        <v>46222</v>
      </c>
      <c r="F576" t="inlineStr">
        <is>
          <t>DALARNAS LÄN</t>
        </is>
      </c>
      <c r="G576" t="inlineStr">
        <is>
          <t>FALUN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57544-2025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46222</v>
      </c>
      <c r="F577" t="inlineStr">
        <is>
          <t>DALARNAS LÄN</t>
        </is>
      </c>
      <c r="G577" t="inlineStr">
        <is>
          <t>FALUN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57059-2025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46222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57305-2025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45979</v>
      </c>
      <c r="E579" s="1" t="n">
        <v>46222</v>
      </c>
      <c r="F579" t="inlineStr">
        <is>
          <t>DALARNAS LÄN</t>
        </is>
      </c>
      <c r="G579" t="inlineStr">
        <is>
          <t>FALUN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11455-2026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46222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40953-2023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46222</v>
      </c>
      <c r="F581" t="inlineStr">
        <is>
          <t>DALARNAS LÄN</t>
        </is>
      </c>
      <c r="G581" t="inlineStr">
        <is>
          <t>FALUN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11598-2026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46222</v>
      </c>
      <c r="F582" t="inlineStr">
        <is>
          <t>DALARNAS LÄN</t>
        </is>
      </c>
      <c r="G582" t="inlineStr">
        <is>
          <t>FALUN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57500-2025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46222</v>
      </c>
      <c r="F583" t="inlineStr">
        <is>
          <t>DALARNAS LÄN</t>
        </is>
      </c>
      <c r="G583" t="inlineStr">
        <is>
          <t>FALUN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11748-2025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46222</v>
      </c>
      <c r="F584" t="inlineStr">
        <is>
          <t>DALARNAS LÄN</t>
        </is>
      </c>
      <c r="G584" t="inlineStr">
        <is>
          <t>FALUN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11972-2026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46222</v>
      </c>
      <c r="F585" t="inlineStr">
        <is>
          <t>DALARNAS LÄN</t>
        </is>
      </c>
      <c r="G585" t="inlineStr">
        <is>
          <t>FALUN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46222</v>
      </c>
      <c r="F586" t="inlineStr">
        <is>
          <t>DALARNAS LÄN</t>
        </is>
      </c>
      <c r="G586" t="inlineStr">
        <is>
          <t>FALUN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11927-2026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46222</v>
      </c>
      <c r="F587" t="inlineStr">
        <is>
          <t>DALARNAS LÄN</t>
        </is>
      </c>
      <c r="G587" t="inlineStr">
        <is>
          <t>FALUN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58181-2025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46222</v>
      </c>
      <c r="F588" t="inlineStr">
        <is>
          <t>DALARNAS LÄN</t>
        </is>
      </c>
      <c r="G588" t="inlineStr">
        <is>
          <t>FALUN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11554-2026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46222</v>
      </c>
      <c r="F589" t="inlineStr">
        <is>
          <t>DALARNAS LÄN</t>
        </is>
      </c>
      <c r="G589" t="inlineStr">
        <is>
          <t>FALUN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11928-2026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46222</v>
      </c>
      <c r="F590" t="inlineStr">
        <is>
          <t>DALARNAS LÄN</t>
        </is>
      </c>
      <c r="G590" t="inlineStr">
        <is>
          <t>FALUN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11930-2026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46222</v>
      </c>
      <c r="F591" t="inlineStr">
        <is>
          <t>DALARNAS LÄN</t>
        </is>
      </c>
      <c r="G591" t="inlineStr">
        <is>
          <t>FALUN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46222</v>
      </c>
      <c r="F592" t="inlineStr">
        <is>
          <t>DALARNAS LÄN</t>
        </is>
      </c>
      <c r="G592" t="inlineStr">
        <is>
          <t>FALUN</t>
        </is>
      </c>
      <c r="H592" t="inlineStr">
        <is>
          <t>Allmännings- och besparingsskogar</t>
        </is>
      </c>
      <c r="I592" t="n">
        <v>44.4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12041-2026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46222</v>
      </c>
      <c r="F593" t="inlineStr">
        <is>
          <t>DALARNAS LÄN</t>
        </is>
      </c>
      <c r="G593" t="inlineStr">
        <is>
          <t>FALUN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33898-2024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45523</v>
      </c>
      <c r="E594" s="1" t="n">
        <v>46222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46222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34009-2024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45523</v>
      </c>
      <c r="E596" s="1" t="n">
        <v>46222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46222</v>
      </c>
      <c r="F597" t="inlineStr">
        <is>
          <t>DALARNAS LÄN</t>
        </is>
      </c>
      <c r="G597" t="inlineStr">
        <is>
          <t>FALUN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12847-2025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46222</v>
      </c>
      <c r="F598" t="inlineStr">
        <is>
          <t>DALARNAS LÄN</t>
        </is>
      </c>
      <c r="G598" t="inlineStr">
        <is>
          <t>FALUN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53703-2023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45224</v>
      </c>
      <c r="E599" s="1" t="n">
        <v>46222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12094-2026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46222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46222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122.4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54609-2025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45966</v>
      </c>
      <c r="E602" s="1" t="n">
        <v>46222</v>
      </c>
      <c r="F602" t="inlineStr">
        <is>
          <t>DALARNAS LÄN</t>
        </is>
      </c>
      <c r="G602" t="inlineStr">
        <is>
          <t>FALUN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12466-2026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46222</v>
      </c>
      <c r="F603" t="inlineStr">
        <is>
          <t>DALARNAS LÄN</t>
        </is>
      </c>
      <c r="G603" t="inlineStr">
        <is>
          <t>FALUN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59190-2025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46222</v>
      </c>
      <c r="F604" t="inlineStr">
        <is>
          <t>DALARNAS LÄN</t>
        </is>
      </c>
      <c r="G604" t="inlineStr">
        <is>
          <t>FALUN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59223-2025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46222</v>
      </c>
      <c r="F605" t="inlineStr">
        <is>
          <t>DALARNAS LÄN</t>
        </is>
      </c>
      <c r="G605" t="inlineStr">
        <is>
          <t>FALUN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12504-2026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46222</v>
      </c>
      <c r="F606" t="inlineStr">
        <is>
          <t>DALARNAS LÄN</t>
        </is>
      </c>
      <c r="G606" t="inlineStr">
        <is>
          <t>FALUN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12542-2026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46222</v>
      </c>
      <c r="F607" t="inlineStr">
        <is>
          <t>DALARNAS LÄN</t>
        </is>
      </c>
      <c r="G607" t="inlineStr">
        <is>
          <t>FALUN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58914-2025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45987</v>
      </c>
      <c r="E608" s="1" t="n">
        <v>46222</v>
      </c>
      <c r="F608" t="inlineStr">
        <is>
          <t>DALARNAS LÄN</t>
        </is>
      </c>
      <c r="G608" t="inlineStr">
        <is>
          <t>FALUN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59229-2025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46222</v>
      </c>
      <c r="F609" t="inlineStr">
        <is>
          <t>DALARNAS LÄN</t>
        </is>
      </c>
      <c r="G609" t="inlineStr">
        <is>
          <t>FALUN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12685-2026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46222</v>
      </c>
      <c r="F610" t="inlineStr">
        <is>
          <t>DALARNAS LÄN</t>
        </is>
      </c>
      <c r="G610" t="inlineStr">
        <is>
          <t>FALUN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12695-2026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46222</v>
      </c>
      <c r="F611" t="inlineStr">
        <is>
          <t>DALARNAS LÄN</t>
        </is>
      </c>
      <c r="G611" t="inlineStr">
        <is>
          <t>FALUN</t>
        </is>
      </c>
      <c r="H611" t="inlineStr">
        <is>
          <t>Allmännings- och besparingsskogar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59483-2025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45989</v>
      </c>
      <c r="E612" s="1" t="n">
        <v>46222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59571-2025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46222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12501-2026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46222</v>
      </c>
      <c r="F614" t="inlineStr">
        <is>
          <t>DALARNAS LÄN</t>
        </is>
      </c>
      <c r="G614" t="inlineStr">
        <is>
          <t>FALUN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46222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33972-2023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45134</v>
      </c>
      <c r="E616" s="1" t="n">
        <v>46222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12483-2026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46222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38.7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59832-2025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46222</v>
      </c>
      <c r="F618" t="inlineStr">
        <is>
          <t>DALARNAS LÄN</t>
        </is>
      </c>
      <c r="G618" t="inlineStr">
        <is>
          <t>FALUN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12512-2026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46222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12775-2026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46091</v>
      </c>
      <c r="E620" s="1" t="n">
        <v>46222</v>
      </c>
      <c r="F620" t="inlineStr">
        <is>
          <t>DALARNAS LÄN</t>
        </is>
      </c>
      <c r="G620" t="inlineStr">
        <is>
          <t>FALUN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59748-2025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46222</v>
      </c>
      <c r="F621" t="inlineStr">
        <is>
          <t>DALARNAS LÄN</t>
        </is>
      </c>
      <c r="G621" t="inlineStr">
        <is>
          <t>FALUN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10219-2026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46222</v>
      </c>
      <c r="F622" t="inlineStr">
        <is>
          <t>DALARNAS LÄN</t>
        </is>
      </c>
      <c r="G622" t="inlineStr">
        <is>
          <t>FALUN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46222</v>
      </c>
      <c r="F623" t="inlineStr">
        <is>
          <t>DALARNAS LÄN</t>
        </is>
      </c>
      <c r="G623" t="inlineStr">
        <is>
          <t>FALUN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13219-2026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46222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78.3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12814-2026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46222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3209-2022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44582</v>
      </c>
      <c r="E626" s="1" t="n">
        <v>46222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46222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13078-2026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46222</v>
      </c>
      <c r="F628" t="inlineStr">
        <is>
          <t>DALARNAS LÄN</t>
        </is>
      </c>
      <c r="G628" t="inlineStr">
        <is>
          <t>FALUN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60085-2025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46222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60086-2025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45993</v>
      </c>
      <c r="E630" s="1" t="n">
        <v>46222</v>
      </c>
      <c r="F630" t="inlineStr">
        <is>
          <t>DALARNAS LÄN</t>
        </is>
      </c>
      <c r="G630" t="inlineStr">
        <is>
          <t>FALUN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45994</v>
      </c>
      <c r="E631" s="1" t="n">
        <v>46222</v>
      </c>
      <c r="F631" t="inlineStr">
        <is>
          <t>DALARNAS LÄN</t>
        </is>
      </c>
      <c r="G631" t="inlineStr">
        <is>
          <t>FALUN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12950-2026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46222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12885-2026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46222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13209-2026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46222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46222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46222</v>
      </c>
      <c r="F636" t="inlineStr">
        <is>
          <t>DALARNAS LÄN</t>
        </is>
      </c>
      <c r="G636" t="inlineStr">
        <is>
          <t>FALUN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13262-2026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46222</v>
      </c>
      <c r="F637" t="inlineStr">
        <is>
          <t>DALARNAS LÄN</t>
        </is>
      </c>
      <c r="G637" t="inlineStr">
        <is>
          <t>FALUN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12855-2026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46222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30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46222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13541-2026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46222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8.5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46222</v>
      </c>
      <c r="F641" t="inlineStr">
        <is>
          <t>DALARNAS LÄN</t>
        </is>
      </c>
      <c r="G641" t="inlineStr">
        <is>
          <t>FALUN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13786-2026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46222</v>
      </c>
      <c r="F642" t="inlineStr">
        <is>
          <t>DALARNAS LÄN</t>
        </is>
      </c>
      <c r="G642" t="inlineStr">
        <is>
          <t>FALUN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13592-2026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46096</v>
      </c>
      <c r="E643" s="1" t="n">
        <v>46222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30.3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13711-2026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46222</v>
      </c>
      <c r="F644" t="inlineStr">
        <is>
          <t>DALARNAS LÄN</t>
        </is>
      </c>
      <c r="G644" t="inlineStr">
        <is>
          <t>FALUN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13782-2026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46222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46222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13634-2026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46222</v>
      </c>
      <c r="F647" t="inlineStr">
        <is>
          <t>DALARNAS LÄN</t>
        </is>
      </c>
      <c r="G647" t="inlineStr">
        <is>
          <t>FALUN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46222</v>
      </c>
      <c r="F648" t="inlineStr">
        <is>
          <t>DALARNAS LÄN</t>
        </is>
      </c>
      <c r="G648" t="inlineStr">
        <is>
          <t>FALUN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61059-2025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46222</v>
      </c>
      <c r="F649" t="inlineStr">
        <is>
          <t>DALARNAS LÄN</t>
        </is>
      </c>
      <c r="G649" t="inlineStr">
        <is>
          <t>FALUN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60683-2025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45996</v>
      </c>
      <c r="E650" s="1" t="n">
        <v>46222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46222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14214-2026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46222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46222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46222</v>
      </c>
      <c r="F654" t="inlineStr">
        <is>
          <t>DALARNAS LÄN</t>
        </is>
      </c>
      <c r="G654" t="inlineStr">
        <is>
          <t>FALUN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46222</v>
      </c>
      <c r="F655" t="inlineStr">
        <is>
          <t>DALARNAS LÄN</t>
        </is>
      </c>
      <c r="G655" t="inlineStr">
        <is>
          <t>FALUN</t>
        </is>
      </c>
      <c r="I655" t="n">
        <v>19.6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14310-2026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46222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29.8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14040-2026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46222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14199-2026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46222</v>
      </c>
      <c r="F658" t="inlineStr">
        <is>
          <t>DALARNAS LÄN</t>
        </is>
      </c>
      <c r="G658" t="inlineStr">
        <is>
          <t>FALUN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14209-2026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46222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14042-2026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46222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13896-2026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46222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46222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14215-2026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46222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46222</v>
      </c>
      <c r="F664" t="inlineStr">
        <is>
          <t>DALARNAS LÄN</t>
        </is>
      </c>
      <c r="G664" t="inlineStr">
        <is>
          <t>FALUN</t>
        </is>
      </c>
      <c r="I664" t="n">
        <v>13.1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14217-2026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46222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55290-2022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44887</v>
      </c>
      <c r="E666" s="1" t="n">
        <v>46222</v>
      </c>
      <c r="F666" t="inlineStr">
        <is>
          <t>DALARNAS LÄN</t>
        </is>
      </c>
      <c r="G666" t="inlineStr">
        <is>
          <t>FALUN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14311-2026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46222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63.9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14122-2026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46222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14022-2026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46222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26598-2023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46222</v>
      </c>
      <c r="F670" t="inlineStr">
        <is>
          <t>DALARNAS LÄN</t>
        </is>
      </c>
      <c r="G670" t="inlineStr">
        <is>
          <t>FALUN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14023-2026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46222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38.2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13816-2026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46222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14558-2026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46100</v>
      </c>
      <c r="E673" s="1" t="n">
        <v>46222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9.800000000000001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14657-2026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46222</v>
      </c>
      <c r="F674" t="inlineStr">
        <is>
          <t>DALARNAS LÄN</t>
        </is>
      </c>
      <c r="G674" t="inlineStr">
        <is>
          <t>FALUN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14409-2026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46222</v>
      </c>
      <c r="F675" t="inlineStr">
        <is>
          <t>DALARNAS LÄN</t>
        </is>
      </c>
      <c r="G675" t="inlineStr">
        <is>
          <t>FALUN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29084-2023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45105</v>
      </c>
      <c r="E676" s="1" t="n">
        <v>46222</v>
      </c>
      <c r="F676" t="inlineStr">
        <is>
          <t>DALARNAS LÄN</t>
        </is>
      </c>
      <c r="G676" t="inlineStr">
        <is>
          <t>FALUN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46222</v>
      </c>
      <c r="F677" t="inlineStr">
        <is>
          <t>DALARNAS LÄN</t>
        </is>
      </c>
      <c r="G677" t="inlineStr">
        <is>
          <t>FALUN</t>
        </is>
      </c>
      <c r="I677" t="n">
        <v>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14559-2026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46222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14571-2026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46222</v>
      </c>
      <c r="F679" t="inlineStr">
        <is>
          <t>DALARNAS LÄN</t>
        </is>
      </c>
      <c r="G679" t="inlineStr">
        <is>
          <t>FALUN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14373-2026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46222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7.2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62358-2025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46222</v>
      </c>
      <c r="F681" t="inlineStr">
        <is>
          <t>DALARNAS LÄN</t>
        </is>
      </c>
      <c r="G681" t="inlineStr">
        <is>
          <t>FALUN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39096-2021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44412</v>
      </c>
      <c r="E682" s="1" t="n">
        <v>46222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45690-2025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46222</v>
      </c>
      <c r="F683" t="inlineStr">
        <is>
          <t>DALARNAS LÄN</t>
        </is>
      </c>
      <c r="G683" t="inlineStr">
        <is>
          <t>FALUN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18050-2023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45040</v>
      </c>
      <c r="E684" s="1" t="n">
        <v>46222</v>
      </c>
      <c r="F684" t="inlineStr">
        <is>
          <t>DALARNAS LÄN</t>
        </is>
      </c>
      <c r="G684" t="inlineStr">
        <is>
          <t>FALUN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52116-2022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44873</v>
      </c>
      <c r="E685" s="1" t="n">
        <v>46222</v>
      </c>
      <c r="F685" t="inlineStr">
        <is>
          <t>DALARNAS LÄN</t>
        </is>
      </c>
      <c r="G685" t="inlineStr">
        <is>
          <t>FALUN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62362-2025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46007</v>
      </c>
      <c r="E686" s="1" t="n">
        <v>46222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52026-2023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46222</v>
      </c>
      <c r="F687" t="inlineStr">
        <is>
          <t>DALARNAS LÄN</t>
        </is>
      </c>
      <c r="G687" t="inlineStr">
        <is>
          <t>FALUN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14679-2026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46222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17336-2025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45756</v>
      </c>
      <c r="E689" s="1" t="n">
        <v>46222</v>
      </c>
      <c r="F689" t="inlineStr">
        <is>
          <t>DALARNAS LÄN</t>
        </is>
      </c>
      <c r="G689" t="inlineStr">
        <is>
          <t>FALUN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63291-2025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46010</v>
      </c>
      <c r="E690" s="1" t="n">
        <v>46222</v>
      </c>
      <c r="F690" t="inlineStr">
        <is>
          <t>DALARNAS LÄN</t>
        </is>
      </c>
      <c r="G690" t="inlineStr">
        <is>
          <t>FALUN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63307-2025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46222</v>
      </c>
      <c r="F691" t="inlineStr">
        <is>
          <t>DALARNAS LÄN</t>
        </is>
      </c>
      <c r="G691" t="inlineStr">
        <is>
          <t>FALUN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63303-2025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46010</v>
      </c>
      <c r="E692" s="1" t="n">
        <v>46222</v>
      </c>
      <c r="F692" t="inlineStr">
        <is>
          <t>DALARNAS LÄN</t>
        </is>
      </c>
      <c r="G692" t="inlineStr">
        <is>
          <t>FALUN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63178-2025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46222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41933-2024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46222</v>
      </c>
      <c r="F694" t="inlineStr">
        <is>
          <t>DALARNAS LÄN</t>
        </is>
      </c>
      <c r="G694" t="inlineStr">
        <is>
          <t>FALUN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20006-2023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45054</v>
      </c>
      <c r="E695" s="1" t="n">
        <v>46222</v>
      </c>
      <c r="F695" t="inlineStr">
        <is>
          <t>DALARNAS LÄN</t>
        </is>
      </c>
      <c r="G695" t="inlineStr">
        <is>
          <t>FALUN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45677</v>
      </c>
      <c r="E696" s="1" t="n">
        <v>46222</v>
      </c>
      <c r="F696" t="inlineStr">
        <is>
          <t>DALARNAS LÄN</t>
        </is>
      </c>
      <c r="G696" t="inlineStr">
        <is>
          <t>FALUN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16491-2025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46222</v>
      </c>
      <c r="F697" t="inlineStr">
        <is>
          <t>DALARNAS LÄN</t>
        </is>
      </c>
      <c r="G697" t="inlineStr">
        <is>
          <t>FALUN</t>
        </is>
      </c>
      <c r="H697" t="inlineStr">
        <is>
          <t>Övriga statliga verk och myndigheter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34003-2024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45523</v>
      </c>
      <c r="E698" s="1" t="n">
        <v>46222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6301-2026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46222</v>
      </c>
      <c r="F699" t="inlineStr">
        <is>
          <t>DALARNAS LÄN</t>
        </is>
      </c>
      <c r="G699" t="inlineStr">
        <is>
          <t>FALUN</t>
        </is>
      </c>
      <c r="I699" t="n">
        <v>12.4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46222</v>
      </c>
      <c r="F700" t="inlineStr">
        <is>
          <t>DALARNAS LÄN</t>
        </is>
      </c>
      <c r="G700" t="inlineStr">
        <is>
          <t>FALUN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15208-2026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46105</v>
      </c>
      <c r="E701" s="1" t="n">
        <v>46222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15086-2026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46222</v>
      </c>
      <c r="F702" t="inlineStr">
        <is>
          <t>DALARNAS LÄN</t>
        </is>
      </c>
      <c r="G702" t="inlineStr">
        <is>
          <t>FALUN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14841-2026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46104</v>
      </c>
      <c r="E703" s="1" t="n">
        <v>46222</v>
      </c>
      <c r="F703" t="inlineStr">
        <is>
          <t>DALARNAS LÄN</t>
        </is>
      </c>
      <c r="G703" t="inlineStr">
        <is>
          <t>FALUN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14932-2026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46222</v>
      </c>
      <c r="F704" t="inlineStr">
        <is>
          <t>DALARNAS LÄN</t>
        </is>
      </c>
      <c r="G704" t="inlineStr">
        <is>
          <t>FALUN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14961-2026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46222</v>
      </c>
      <c r="F705" t="inlineStr">
        <is>
          <t>DALARNAS LÄN</t>
        </is>
      </c>
      <c r="G705" t="inlineStr">
        <is>
          <t>FALUN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46222</v>
      </c>
      <c r="F706" t="inlineStr">
        <is>
          <t>DALARNAS LÄN</t>
        </is>
      </c>
      <c r="G706" t="inlineStr">
        <is>
          <t>FALUN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14806-2026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46103</v>
      </c>
      <c r="E707" s="1" t="n">
        <v>46222</v>
      </c>
      <c r="F707" t="inlineStr">
        <is>
          <t>DALARNAS LÄN</t>
        </is>
      </c>
      <c r="G707" t="inlineStr">
        <is>
          <t>FALUN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47633-2022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44854</v>
      </c>
      <c r="E708" s="1" t="n">
        <v>46222</v>
      </c>
      <c r="F708" t="inlineStr">
        <is>
          <t>DALARNAS LÄN</t>
        </is>
      </c>
      <c r="G708" t="inlineStr">
        <is>
          <t>FALUN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14847-2026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46222</v>
      </c>
      <c r="F709" t="inlineStr">
        <is>
          <t>DALARNAS LÄN</t>
        </is>
      </c>
      <c r="G709" t="inlineStr">
        <is>
          <t>FALUN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15169-2026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46105</v>
      </c>
      <c r="E710" s="1" t="n">
        <v>46222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33.4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15333-2026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46222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15085-2026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46222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15139-2026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46104</v>
      </c>
      <c r="E713" s="1" t="n">
        <v>46222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63960-2025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46020</v>
      </c>
      <c r="E714" s="1" t="n">
        <v>46222</v>
      </c>
      <c r="F714" t="inlineStr">
        <is>
          <t>DALARNAS LÄN</t>
        </is>
      </c>
      <c r="G714" t="inlineStr">
        <is>
          <t>FALUN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15209-2026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46222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14907-2026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46222</v>
      </c>
      <c r="F716" t="inlineStr">
        <is>
          <t>DALARNAS LÄN</t>
        </is>
      </c>
      <c r="G716" t="inlineStr">
        <is>
          <t>FALUN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46021</v>
      </c>
      <c r="E717" s="1" t="n">
        <v>46222</v>
      </c>
      <c r="F717" t="inlineStr">
        <is>
          <t>DALARNAS LÄN</t>
        </is>
      </c>
      <c r="G717" t="inlineStr">
        <is>
          <t>FALUN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15366-2026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46105</v>
      </c>
      <c r="E718" s="1" t="n">
        <v>46222</v>
      </c>
      <c r="F718" t="inlineStr">
        <is>
          <t>DALARNAS LÄN</t>
        </is>
      </c>
      <c r="G718" t="inlineStr">
        <is>
          <t>FALUN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17202-2023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46222</v>
      </c>
      <c r="F719" t="inlineStr">
        <is>
          <t>DALARNAS LÄN</t>
        </is>
      </c>
      <c r="G719" t="inlineStr">
        <is>
          <t>FALUN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46024</v>
      </c>
      <c r="E720" s="1" t="n">
        <v>46222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46024</v>
      </c>
      <c r="E721" s="1" t="n">
        <v>46222</v>
      </c>
      <c r="F721" t="inlineStr">
        <is>
          <t>DALARNAS LÄN</t>
        </is>
      </c>
      <c r="G721" t="inlineStr">
        <is>
          <t>FALUN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14964-2026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46222</v>
      </c>
      <c r="F722" t="inlineStr">
        <is>
          <t>DALARNAS LÄN</t>
        </is>
      </c>
      <c r="G722" t="inlineStr">
        <is>
          <t>FALUN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46028</v>
      </c>
      <c r="E723" s="1" t="n">
        <v>46222</v>
      </c>
      <c r="F723" t="inlineStr">
        <is>
          <t>DALARNAS LÄN</t>
        </is>
      </c>
      <c r="G723" t="inlineStr">
        <is>
          <t>FALUN</t>
        </is>
      </c>
      <c r="I723" t="n">
        <v>34.8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46025</v>
      </c>
      <c r="E724" s="1" t="n">
        <v>46222</v>
      </c>
      <c r="F724" t="inlineStr">
        <is>
          <t>DALARNAS LÄN</t>
        </is>
      </c>
      <c r="G724" t="inlineStr">
        <is>
          <t>FALUN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46025</v>
      </c>
      <c r="E725" s="1" t="n">
        <v>46222</v>
      </c>
      <c r="F725" t="inlineStr">
        <is>
          <t>DALARNAS LÄN</t>
        </is>
      </c>
      <c r="G725" t="inlineStr">
        <is>
          <t>FALUN</t>
        </is>
      </c>
      <c r="I725" t="n">
        <v>46.9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15123-2026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46222</v>
      </c>
      <c r="F726" t="inlineStr">
        <is>
          <t>DALARNAS LÄN</t>
        </is>
      </c>
      <c r="G726" t="inlineStr">
        <is>
          <t>FALUN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15133-2026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46222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46222</v>
      </c>
      <c r="F728" t="inlineStr">
        <is>
          <t>DALARNAS LÄN</t>
        </is>
      </c>
      <c r="G728" t="inlineStr">
        <is>
          <t>FALUN</t>
        </is>
      </c>
      <c r="I728" t="n">
        <v>13.7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46027</v>
      </c>
      <c r="E729" s="1" t="n">
        <v>46222</v>
      </c>
      <c r="F729" t="inlineStr">
        <is>
          <t>DALARNAS LÄN</t>
        </is>
      </c>
      <c r="G729" t="inlineStr">
        <is>
          <t>FALUN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46027</v>
      </c>
      <c r="E730" s="1" t="n">
        <v>46222</v>
      </c>
      <c r="F730" t="inlineStr">
        <is>
          <t>DALARNAS LÄN</t>
        </is>
      </c>
      <c r="G730" t="inlineStr">
        <is>
          <t>FALUN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46027</v>
      </c>
      <c r="E731" s="1" t="n">
        <v>46222</v>
      </c>
      <c r="F731" t="inlineStr">
        <is>
          <t>DALARNAS LÄN</t>
        </is>
      </c>
      <c r="G731" t="inlineStr">
        <is>
          <t>FALUN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46028</v>
      </c>
      <c r="E732" s="1" t="n">
        <v>46222</v>
      </c>
      <c r="F732" t="inlineStr">
        <is>
          <t>DALARNAS LÄN</t>
        </is>
      </c>
      <c r="G732" t="inlineStr">
        <is>
          <t>FALUN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46026</v>
      </c>
      <c r="E733" s="1" t="n">
        <v>46222</v>
      </c>
      <c r="F733" t="inlineStr">
        <is>
          <t>DALARNAS LÄN</t>
        </is>
      </c>
      <c r="G733" t="inlineStr">
        <is>
          <t>FALUN</t>
        </is>
      </c>
      <c r="I733" t="n">
        <v>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58343-2023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45250</v>
      </c>
      <c r="E734" s="1" t="n">
        <v>46222</v>
      </c>
      <c r="F734" t="inlineStr">
        <is>
          <t>DALARNAS LÄN</t>
        </is>
      </c>
      <c r="G734" t="inlineStr">
        <is>
          <t>FALUN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58388-2023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46222</v>
      </c>
      <c r="F735" t="inlineStr">
        <is>
          <t>DALARNAS LÄN</t>
        </is>
      </c>
      <c r="G735" t="inlineStr">
        <is>
          <t>FALUN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1036-2026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46222</v>
      </c>
      <c r="F736" t="inlineStr">
        <is>
          <t>DALARNAS LÄN</t>
        </is>
      </c>
      <c r="G736" t="inlineStr">
        <is>
          <t>FALUN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46029</v>
      </c>
      <c r="E737" s="1" t="n">
        <v>46222</v>
      </c>
      <c r="F737" t="inlineStr">
        <is>
          <t>DALARNAS LÄN</t>
        </is>
      </c>
      <c r="G737" t="inlineStr">
        <is>
          <t>FALUN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46222</v>
      </c>
      <c r="F738" t="inlineStr">
        <is>
          <t>DALARNAS LÄN</t>
        </is>
      </c>
      <c r="G738" t="inlineStr">
        <is>
          <t>FALUN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46222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46222</v>
      </c>
      <c r="F740" t="inlineStr">
        <is>
          <t>DALARNAS LÄN</t>
        </is>
      </c>
      <c r="G740" t="inlineStr">
        <is>
          <t>FALUN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15670-2026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46222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789-2026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46222</v>
      </c>
      <c r="F742" t="inlineStr">
        <is>
          <t>DALARNAS LÄN</t>
        </is>
      </c>
      <c r="G742" t="inlineStr">
        <is>
          <t>FALUN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46222</v>
      </c>
      <c r="F743" t="inlineStr">
        <is>
          <t>DALARNAS LÄN</t>
        </is>
      </c>
      <c r="G743" t="inlineStr">
        <is>
          <t>FALUN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1447-2026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46032</v>
      </c>
      <c r="E744" s="1" t="n">
        <v>46222</v>
      </c>
      <c r="F744" t="inlineStr">
        <is>
          <t>DALARNAS LÄN</t>
        </is>
      </c>
      <c r="G744" t="inlineStr">
        <is>
          <t>FALUN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9837-2024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45363</v>
      </c>
      <c r="E745" s="1" t="n">
        <v>46222</v>
      </c>
      <c r="F745" t="inlineStr">
        <is>
          <t>DALARNAS LÄN</t>
        </is>
      </c>
      <c r="G745" t="inlineStr">
        <is>
          <t>FALUN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46032</v>
      </c>
      <c r="E746" s="1" t="n">
        <v>46222</v>
      </c>
      <c r="F746" t="inlineStr">
        <is>
          <t>DALARNAS LÄN</t>
        </is>
      </c>
      <c r="G746" t="inlineStr">
        <is>
          <t>FALUN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1321-2026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46222</v>
      </c>
      <c r="F747" t="inlineStr">
        <is>
          <t>DALARNAS LÄN</t>
        </is>
      </c>
      <c r="G747" t="inlineStr">
        <is>
          <t>FALUN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1314-2026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46222</v>
      </c>
      <c r="F748" t="inlineStr">
        <is>
          <t>DALARNAS LÄN</t>
        </is>
      </c>
      <c r="G748" t="inlineStr">
        <is>
          <t>FALUN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31084-2023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46222</v>
      </c>
      <c r="F749" t="inlineStr">
        <is>
          <t>DALARNAS LÄN</t>
        </is>
      </c>
      <c r="G749" t="inlineStr">
        <is>
          <t>FALUN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1448-2026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46032</v>
      </c>
      <c r="E750" s="1" t="n">
        <v>46222</v>
      </c>
      <c r="F750" t="inlineStr">
        <is>
          <t>DALARNAS LÄN</t>
        </is>
      </c>
      <c r="G750" t="inlineStr">
        <is>
          <t>FALUN</t>
        </is>
      </c>
      <c r="I750" t="n">
        <v>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46033</v>
      </c>
      <c r="E751" s="1" t="n">
        <v>46222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46222</v>
      </c>
      <c r="F752" t="inlineStr">
        <is>
          <t>DALARNAS LÄN</t>
        </is>
      </c>
      <c r="G752" t="inlineStr">
        <is>
          <t>FALUN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46032</v>
      </c>
      <c r="E753" s="1" t="n">
        <v>46222</v>
      </c>
      <c r="F753" t="inlineStr">
        <is>
          <t>DALARNAS LÄN</t>
        </is>
      </c>
      <c r="G753" t="inlineStr">
        <is>
          <t>FALUN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46222</v>
      </c>
      <c r="F754" t="inlineStr">
        <is>
          <t>DALARNAS LÄN</t>
        </is>
      </c>
      <c r="G754" t="inlineStr">
        <is>
          <t>FALUN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1609-2026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46222</v>
      </c>
      <c r="F755" t="inlineStr">
        <is>
          <t>DALARNAS LÄN</t>
        </is>
      </c>
      <c r="G755" t="inlineStr">
        <is>
          <t>FALUN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1702-2026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46034</v>
      </c>
      <c r="E756" s="1" t="n">
        <v>46222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  <c r="X756">
        <f>HYPERLINK("https://klasma.github.io/Logging_2080/knärot/A 1702-2026 karta knärot.png", "A 1702-2026")</f>
        <v/>
      </c>
      <c r="Y756">
        <f>HYPERLINK("https://klasma.github.io/Logging_2080/klagomål/A 1702-2026 FSC-klagomål.docx", "A 1702-2026")</f>
        <v/>
      </c>
      <c r="Z756">
        <f>HYPERLINK("https://klasma.github.io/Logging_2080/klagomålsmail/A 1702-2026 FSC-klagomål mail.docx", "A 1702-2026")</f>
        <v/>
      </c>
      <c r="AA756">
        <f>HYPERLINK("https://klasma.github.io/Logging_2080/tillsyn/A 1702-2026 tillsynsbegäran.docx", "A 1702-2026")</f>
        <v/>
      </c>
      <c r="AB756">
        <f>HYPERLINK("https://klasma.github.io/Logging_2080/tillsynsmail/A 1702-2026 tillsynsbegäran mail.docx", "A 1702-2026")</f>
        <v/>
      </c>
    </row>
    <row r="757" ht="15" customHeight="1">
      <c r="A757" t="inlineStr">
        <is>
          <t>A 1362-2026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46031</v>
      </c>
      <c r="E757" s="1" t="n">
        <v>46222</v>
      </c>
      <c r="F757" t="inlineStr">
        <is>
          <t>DALARNAS LÄN</t>
        </is>
      </c>
      <c r="G757" t="inlineStr">
        <is>
          <t>FALUN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46222</v>
      </c>
      <c r="F758" t="inlineStr">
        <is>
          <t>DALARNAS LÄN</t>
        </is>
      </c>
      <c r="G758" t="inlineStr">
        <is>
          <t>FALUN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46222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46031</v>
      </c>
      <c r="E760" s="1" t="n">
        <v>46222</v>
      </c>
      <c r="F760" t="inlineStr">
        <is>
          <t>DALARNAS LÄN</t>
        </is>
      </c>
      <c r="G760" t="inlineStr">
        <is>
          <t>FALUN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46222</v>
      </c>
      <c r="F761" t="inlineStr">
        <is>
          <t>DALARNAS LÄN</t>
        </is>
      </c>
      <c r="G761" t="inlineStr">
        <is>
          <t>FALUN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46055</v>
      </c>
      <c r="E762" s="1" t="n">
        <v>46222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1791-2026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46222</v>
      </c>
      <c r="F763" t="inlineStr">
        <is>
          <t>DALARNAS LÄN</t>
        </is>
      </c>
      <c r="G763" t="inlineStr">
        <is>
          <t>FALUN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46222</v>
      </c>
      <c r="F764" t="inlineStr">
        <is>
          <t>DALARNAS LÄN</t>
        </is>
      </c>
      <c r="G764" t="inlineStr">
        <is>
          <t>FALUN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2017-2026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46222</v>
      </c>
      <c r="F765" t="inlineStr">
        <is>
          <t>DALARNAS LÄN</t>
        </is>
      </c>
      <c r="G765" t="inlineStr">
        <is>
          <t>FALUN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46035</v>
      </c>
      <c r="E766" s="1" t="n">
        <v>46222</v>
      </c>
      <c r="F766" t="inlineStr">
        <is>
          <t>DALARNAS LÄN</t>
        </is>
      </c>
      <c r="G766" t="inlineStr">
        <is>
          <t>FALUN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46222</v>
      </c>
      <c r="F767" t="inlineStr">
        <is>
          <t>DALARNAS LÄN</t>
        </is>
      </c>
      <c r="G767" t="inlineStr">
        <is>
          <t>FALUN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15642-2026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46222</v>
      </c>
      <c r="F768" t="inlineStr">
        <is>
          <t>DALARNAS LÄN</t>
        </is>
      </c>
      <c r="G768" t="inlineStr">
        <is>
          <t>FALUN</t>
        </is>
      </c>
      <c r="I768" t="n">
        <v>15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46222</v>
      </c>
      <c r="F769" t="inlineStr">
        <is>
          <t>DALARNAS LÄN</t>
        </is>
      </c>
      <c r="G769" t="inlineStr">
        <is>
          <t>FALUN</t>
        </is>
      </c>
      <c r="I769" t="n">
        <v>11.5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46036</v>
      </c>
      <c r="E770" s="1" t="n">
        <v>46222</v>
      </c>
      <c r="F770" t="inlineStr">
        <is>
          <t>DALARNAS LÄN</t>
        </is>
      </c>
      <c r="G770" t="inlineStr">
        <is>
          <t>FALUN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52506-2021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44466</v>
      </c>
      <c r="E771" s="1" t="n">
        <v>46222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46222</v>
      </c>
      <c r="F772" t="inlineStr">
        <is>
          <t>DALARNAS LÄN</t>
        </is>
      </c>
      <c r="G772" t="inlineStr">
        <is>
          <t>FALUN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2021-2026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46222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46036</v>
      </c>
      <c r="E774" s="1" t="n">
        <v>46222</v>
      </c>
      <c r="F774" t="inlineStr">
        <is>
          <t>DALARNAS LÄN</t>
        </is>
      </c>
      <c r="G774" t="inlineStr">
        <is>
          <t>FALUN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46222</v>
      </c>
      <c r="F775" t="inlineStr">
        <is>
          <t>DALARNAS LÄN</t>
        </is>
      </c>
      <c r="G775" t="inlineStr">
        <is>
          <t>FALUN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1803-2026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46222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46222</v>
      </c>
      <c r="F777" t="inlineStr">
        <is>
          <t>DALARNAS LÄN</t>
        </is>
      </c>
      <c r="G777" t="inlineStr">
        <is>
          <t>FALUN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2018-2026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46035</v>
      </c>
      <c r="E778" s="1" t="n">
        <v>46222</v>
      </c>
      <c r="F778" t="inlineStr">
        <is>
          <t>DALARNAS LÄN</t>
        </is>
      </c>
      <c r="G778" t="inlineStr">
        <is>
          <t>FALUN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2020-2026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46035</v>
      </c>
      <c r="E779" s="1" t="n">
        <v>46222</v>
      </c>
      <c r="F779" t="inlineStr">
        <is>
          <t>DALARNAS LÄN</t>
        </is>
      </c>
      <c r="G779" t="inlineStr">
        <is>
          <t>FALUN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2022-2026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46035</v>
      </c>
      <c r="E780" s="1" t="n">
        <v>46222</v>
      </c>
      <c r="F780" t="inlineStr">
        <is>
          <t>DALARNAS LÄN</t>
        </is>
      </c>
      <c r="G780" t="inlineStr">
        <is>
          <t>FALUN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15637-2026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46106</v>
      </c>
      <c r="E781" s="1" t="n">
        <v>46222</v>
      </c>
      <c r="F781" t="inlineStr">
        <is>
          <t>DALARNAS LÄN</t>
        </is>
      </c>
      <c r="G781" t="inlineStr">
        <is>
          <t>FALUN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46035</v>
      </c>
      <c r="E782" s="1" t="n">
        <v>46222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46035</v>
      </c>
      <c r="E783" s="1" t="n">
        <v>46222</v>
      </c>
      <c r="F783" t="inlineStr">
        <is>
          <t>DALARNAS LÄN</t>
        </is>
      </c>
      <c r="G783" t="inlineStr">
        <is>
          <t>FALUN</t>
        </is>
      </c>
      <c r="I783" t="n">
        <v>26.7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46222</v>
      </c>
      <c r="F784" t="inlineStr">
        <is>
          <t>DALARNAS LÄN</t>
        </is>
      </c>
      <c r="G784" t="inlineStr">
        <is>
          <t>FALUN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46222</v>
      </c>
      <c r="F785" t="inlineStr">
        <is>
          <t>DALARNAS LÄN</t>
        </is>
      </c>
      <c r="G785" t="inlineStr">
        <is>
          <t>FALUN</t>
        </is>
      </c>
      <c r="I785" t="n">
        <v>10.7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63499-2023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45274</v>
      </c>
      <c r="E786" s="1" t="n">
        <v>46222</v>
      </c>
      <c r="F786" t="inlineStr">
        <is>
          <t>DALARNAS LÄN</t>
        </is>
      </c>
      <c r="G786" t="inlineStr">
        <is>
          <t>FALUN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65056-2023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45287</v>
      </c>
      <c r="E787" s="1" t="n">
        <v>46222</v>
      </c>
      <c r="F787" t="inlineStr">
        <is>
          <t>DALARNAS LÄN</t>
        </is>
      </c>
      <c r="G787" t="inlineStr">
        <is>
          <t>FALUN</t>
        </is>
      </c>
      <c r="I787" t="n">
        <v>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46055</v>
      </c>
      <c r="E788" s="1" t="n">
        <v>46222</v>
      </c>
      <c r="F788" t="inlineStr">
        <is>
          <t>DALARNAS LÄN</t>
        </is>
      </c>
      <c r="G788" t="inlineStr">
        <is>
          <t>FALUN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2381-2026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46036</v>
      </c>
      <c r="E789" s="1" t="n">
        <v>46222</v>
      </c>
      <c r="F789" t="inlineStr">
        <is>
          <t>DALARNAS LÄN</t>
        </is>
      </c>
      <c r="G789" t="inlineStr">
        <is>
          <t>FALUN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46036</v>
      </c>
      <c r="E790" s="1" t="n">
        <v>46222</v>
      </c>
      <c r="F790" t="inlineStr">
        <is>
          <t>DALARNAS LÄN</t>
        </is>
      </c>
      <c r="G790" t="inlineStr">
        <is>
          <t>FALUN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15550-2026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46222</v>
      </c>
      <c r="F791" t="inlineStr">
        <is>
          <t>DALARNAS LÄN</t>
        </is>
      </c>
      <c r="G791" t="inlineStr">
        <is>
          <t>FALUN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46222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46036</v>
      </c>
      <c r="E793" s="1" t="n">
        <v>46222</v>
      </c>
      <c r="F793" t="inlineStr">
        <is>
          <t>DALARNAS LÄN</t>
        </is>
      </c>
      <c r="G793" t="inlineStr">
        <is>
          <t>FALUN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46023</v>
      </c>
      <c r="E794" s="1" t="n">
        <v>46222</v>
      </c>
      <c r="F794" t="inlineStr">
        <is>
          <t>DALARNAS LÄN</t>
        </is>
      </c>
      <c r="G794" t="inlineStr">
        <is>
          <t>FALUN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36652-2024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45537</v>
      </c>
      <c r="E795" s="1" t="n">
        <v>46222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46222</v>
      </c>
      <c r="F796" t="inlineStr">
        <is>
          <t>DALARNAS LÄN</t>
        </is>
      </c>
      <c r="G796" t="inlineStr">
        <is>
          <t>FALUN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2015-2026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46222</v>
      </c>
      <c r="F797" t="inlineStr">
        <is>
          <t>DALARNAS LÄN</t>
        </is>
      </c>
      <c r="G797" t="inlineStr">
        <is>
          <t>FALUN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46222</v>
      </c>
      <c r="F798" t="inlineStr">
        <is>
          <t>DALARNAS LÄN</t>
        </is>
      </c>
      <c r="G798" t="inlineStr">
        <is>
          <t>FALUN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46023</v>
      </c>
      <c r="E799" s="1" t="n">
        <v>46222</v>
      </c>
      <c r="F799" t="inlineStr">
        <is>
          <t>DALARNAS LÄN</t>
        </is>
      </c>
      <c r="G799" t="inlineStr">
        <is>
          <t>FALUN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46222</v>
      </c>
      <c r="F800" t="inlineStr">
        <is>
          <t>DALARNAS LÄN</t>
        </is>
      </c>
      <c r="G800" t="inlineStr">
        <is>
          <t>FALUN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46222</v>
      </c>
      <c r="F801" t="inlineStr">
        <is>
          <t>DALARNAS LÄN</t>
        </is>
      </c>
      <c r="G801" t="inlineStr">
        <is>
          <t>FALUN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16303-2026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46111</v>
      </c>
      <c r="E802" s="1" t="n">
        <v>46222</v>
      </c>
      <c r="F802" t="inlineStr">
        <is>
          <t>DALARNAS LÄN</t>
        </is>
      </c>
      <c r="G802" t="inlineStr">
        <is>
          <t>FALUN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46037</v>
      </c>
      <c r="E803" s="1" t="n">
        <v>46222</v>
      </c>
      <c r="F803" t="inlineStr">
        <is>
          <t>DALARNAS LÄN</t>
        </is>
      </c>
      <c r="G803" t="inlineStr">
        <is>
          <t>FALUN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15954-2026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46108</v>
      </c>
      <c r="E804" s="1" t="n">
        <v>46222</v>
      </c>
      <c r="F804" t="inlineStr">
        <is>
          <t>DALARNAS LÄN</t>
        </is>
      </c>
      <c r="G804" t="inlineStr">
        <is>
          <t>FALUN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2676-2026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46037</v>
      </c>
      <c r="E805" s="1" t="n">
        <v>46222</v>
      </c>
      <c r="F805" t="inlineStr">
        <is>
          <t>DALARNAS LÄN</t>
        </is>
      </c>
      <c r="G805" t="inlineStr">
        <is>
          <t>FALUN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2967-2026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46222</v>
      </c>
      <c r="F806" t="inlineStr">
        <is>
          <t>DALARNAS LÄN</t>
        </is>
      </c>
      <c r="G806" t="inlineStr">
        <is>
          <t>FALUN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46037</v>
      </c>
      <c r="E807" s="1" t="n">
        <v>46222</v>
      </c>
      <c r="F807" t="inlineStr">
        <is>
          <t>DALARNAS LÄN</t>
        </is>
      </c>
      <c r="G807" t="inlineStr">
        <is>
          <t>FALUN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46222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46222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2683-2026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46037</v>
      </c>
      <c r="E810" s="1" t="n">
        <v>46222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46037</v>
      </c>
      <c r="E811" s="1" t="n">
        <v>46222</v>
      </c>
      <c r="F811" t="inlineStr">
        <is>
          <t>DALARNAS LÄN</t>
        </is>
      </c>
      <c r="G811" t="inlineStr">
        <is>
          <t>FALUN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46037</v>
      </c>
      <c r="E812" s="1" t="n">
        <v>46222</v>
      </c>
      <c r="F812" t="inlineStr">
        <is>
          <t>DALARNAS LÄN</t>
        </is>
      </c>
      <c r="G812" t="inlineStr">
        <is>
          <t>FALUN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16377-2026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46222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40832-2024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45558</v>
      </c>
      <c r="E814" s="1" t="n">
        <v>46222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16415-2026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46111</v>
      </c>
      <c r="E815" s="1" t="n">
        <v>46222</v>
      </c>
      <c r="F815" t="inlineStr">
        <is>
          <t>DALARNAS LÄN</t>
        </is>
      </c>
      <c r="G815" t="inlineStr">
        <is>
          <t>FALUN</t>
        </is>
      </c>
      <c r="H815" t="inlineStr">
        <is>
          <t>Allmännings- och besparingsskogar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16378-2026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46222</v>
      </c>
      <c r="F816" t="inlineStr">
        <is>
          <t>DALARNAS LÄN</t>
        </is>
      </c>
      <c r="G816" t="inlineStr">
        <is>
          <t>FALUN</t>
        </is>
      </c>
      <c r="H816" t="inlineStr">
        <is>
          <t>Allmännings- och besparingsskogar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16379-2026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46222</v>
      </c>
      <c r="F817" t="inlineStr">
        <is>
          <t>DALARNAS LÄN</t>
        </is>
      </c>
      <c r="G817" t="inlineStr">
        <is>
          <t>FALUN</t>
        </is>
      </c>
      <c r="H817" t="inlineStr">
        <is>
          <t>Allmännings- och besparingsskogar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15278-2026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46105</v>
      </c>
      <c r="E818" s="1" t="n">
        <v>46222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16073-2026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46108</v>
      </c>
      <c r="E819" s="1" t="n">
        <v>46222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16327-2026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46222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24732-2023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45084</v>
      </c>
      <c r="E821" s="1" t="n">
        <v>46222</v>
      </c>
      <c r="F821" t="inlineStr">
        <is>
          <t>DALARNAS LÄN</t>
        </is>
      </c>
      <c r="G821" t="inlineStr">
        <is>
          <t>FALUN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41611-2024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45560</v>
      </c>
      <c r="E822" s="1" t="n">
        <v>46222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16274-2026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46222</v>
      </c>
      <c r="F823" t="inlineStr">
        <is>
          <t>DALARNAS LÄN</t>
        </is>
      </c>
      <c r="G823" t="inlineStr">
        <is>
          <t>FALUN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16256-2026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46222</v>
      </c>
      <c r="F824" t="inlineStr">
        <is>
          <t>DALARNAS LÄN</t>
        </is>
      </c>
      <c r="G824" t="inlineStr">
        <is>
          <t>FALUN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16846-2026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46222</v>
      </c>
      <c r="F825" t="inlineStr">
        <is>
          <t>DALARNAS LÄN</t>
        </is>
      </c>
      <c r="G825" t="inlineStr">
        <is>
          <t>FALUN</t>
        </is>
      </c>
      <c r="I825" t="n">
        <v>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16934-2026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46222</v>
      </c>
      <c r="F826" t="inlineStr">
        <is>
          <t>DALARNAS LÄN</t>
        </is>
      </c>
      <c r="G826" t="inlineStr">
        <is>
          <t>FALUN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41538-2024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45560</v>
      </c>
      <c r="E827" s="1" t="n">
        <v>46222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17055-2026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46114</v>
      </c>
      <c r="E828" s="1" t="n">
        <v>46222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17134-2026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46114</v>
      </c>
      <c r="E829" s="1" t="n">
        <v>46222</v>
      </c>
      <c r="F829" t="inlineStr">
        <is>
          <t>DALARNAS LÄN</t>
        </is>
      </c>
      <c r="G829" t="inlineStr">
        <is>
          <t>FALUN</t>
        </is>
      </c>
      <c r="I829" t="n">
        <v>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17137-2026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46114</v>
      </c>
      <c r="E830" s="1" t="n">
        <v>46222</v>
      </c>
      <c r="F830" t="inlineStr">
        <is>
          <t>DALARNAS LÄN</t>
        </is>
      </c>
      <c r="G830" t="inlineStr">
        <is>
          <t>FALUN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17138-2026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46222</v>
      </c>
      <c r="F831" t="inlineStr">
        <is>
          <t>DALARNAS LÄN</t>
        </is>
      </c>
      <c r="G831" t="inlineStr">
        <is>
          <t>FALUN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46222</v>
      </c>
      <c r="F832" t="inlineStr">
        <is>
          <t>DALARNAS LÄN</t>
        </is>
      </c>
      <c r="G832" t="inlineStr">
        <is>
          <t>FALUN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17051-2026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46222</v>
      </c>
      <c r="F833" t="inlineStr">
        <is>
          <t>DALARNAS LÄN</t>
        </is>
      </c>
      <c r="G833" t="inlineStr">
        <is>
          <t>FALUN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17067-2026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46222</v>
      </c>
      <c r="F834" t="inlineStr">
        <is>
          <t>DALARNAS LÄN</t>
        </is>
      </c>
      <c r="G834" t="inlineStr">
        <is>
          <t>FALUN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17041-2026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46114</v>
      </c>
      <c r="E835" s="1" t="n">
        <v>46222</v>
      </c>
      <c r="F835" t="inlineStr">
        <is>
          <t>DALARNAS LÄN</t>
        </is>
      </c>
      <c r="G835" t="inlineStr">
        <is>
          <t>FALUN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17135-2026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46222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17310-2026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46222</v>
      </c>
      <c r="F837" t="inlineStr">
        <is>
          <t>DALARNAS LÄN</t>
        </is>
      </c>
      <c r="G837" t="inlineStr">
        <is>
          <t>FALUN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13064-2026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46222</v>
      </c>
      <c r="F838" t="inlineStr">
        <is>
          <t>DALARNAS LÄN</t>
        </is>
      </c>
      <c r="G838" t="inlineStr">
        <is>
          <t>FALUN</t>
        </is>
      </c>
      <c r="H838" t="inlineStr">
        <is>
          <t>Allmännings- och besparingsskogar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16235-2026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46222</v>
      </c>
      <c r="F839" t="inlineStr">
        <is>
          <t>DALARNAS LÄN</t>
        </is>
      </c>
      <c r="G839" t="inlineStr">
        <is>
          <t>FALUN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13116-2026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46222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36398-2024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45535</v>
      </c>
      <c r="E841" s="1" t="n">
        <v>46222</v>
      </c>
      <c r="F841" t="inlineStr">
        <is>
          <t>DALARNAS LÄN</t>
        </is>
      </c>
      <c r="G841" t="inlineStr">
        <is>
          <t>FALUN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17356-2026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46119</v>
      </c>
      <c r="E842" s="1" t="n">
        <v>46222</v>
      </c>
      <c r="F842" t="inlineStr">
        <is>
          <t>DALARNAS LÄN</t>
        </is>
      </c>
      <c r="G842" t="inlineStr">
        <is>
          <t>FALUN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17372-2026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46222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17212-2026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46222</v>
      </c>
      <c r="F844" t="inlineStr">
        <is>
          <t>DALARNAS LÄN</t>
        </is>
      </c>
      <c r="G844" t="inlineStr">
        <is>
          <t>FALUN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17296-2026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46119</v>
      </c>
      <c r="E845" s="1" t="n">
        <v>46222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17284-2026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46222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17371-2026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46119</v>
      </c>
      <c r="E847" s="1" t="n">
        <v>46222</v>
      </c>
      <c r="F847" t="inlineStr">
        <is>
          <t>DALARNAS LÄN</t>
        </is>
      </c>
      <c r="G847" t="inlineStr">
        <is>
          <t>FALUN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17406-2026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46120</v>
      </c>
      <c r="E848" s="1" t="n">
        <v>46222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17625-2026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46121</v>
      </c>
      <c r="E849" s="1" t="n">
        <v>46222</v>
      </c>
      <c r="F849" t="inlineStr">
        <is>
          <t>DALARNAS LÄN</t>
        </is>
      </c>
      <c r="G849" t="inlineStr">
        <is>
          <t>FALUN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17630-2026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46121</v>
      </c>
      <c r="E850" s="1" t="n">
        <v>46222</v>
      </c>
      <c r="F850" t="inlineStr">
        <is>
          <t>DALARNAS LÄN</t>
        </is>
      </c>
      <c r="G850" t="inlineStr">
        <is>
          <t>FALUN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17629-2026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46121</v>
      </c>
      <c r="E851" s="1" t="n">
        <v>46222</v>
      </c>
      <c r="F851" t="inlineStr">
        <is>
          <t>DALARNAS LÄN</t>
        </is>
      </c>
      <c r="G851" t="inlineStr">
        <is>
          <t>FALUN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17403-2026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46120</v>
      </c>
      <c r="E852" s="1" t="n">
        <v>46222</v>
      </c>
      <c r="F852" t="inlineStr">
        <is>
          <t>DALARNAS LÄN</t>
        </is>
      </c>
      <c r="G852" t="inlineStr">
        <is>
          <t>FALUN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46121</v>
      </c>
      <c r="E853" s="1" t="n">
        <v>46222</v>
      </c>
      <c r="F853" t="inlineStr">
        <is>
          <t>DALARNAS LÄN</t>
        </is>
      </c>
      <c r="G853" t="inlineStr">
        <is>
          <t>FALUN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17593-2026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46121</v>
      </c>
      <c r="E854" s="1" t="n">
        <v>46222</v>
      </c>
      <c r="F854" t="inlineStr">
        <is>
          <t>DALARNAS LÄN</t>
        </is>
      </c>
      <c r="G854" t="inlineStr">
        <is>
          <t>FALUN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17619-2026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46121</v>
      </c>
      <c r="E855" s="1" t="n">
        <v>46222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27679-2024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46222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17881-2026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46122</v>
      </c>
      <c r="E857" s="1" t="n">
        <v>46222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17883-2026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46122</v>
      </c>
      <c r="E858" s="1" t="n">
        <v>46222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36.7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18115-2026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46125</v>
      </c>
      <c r="E859" s="1" t="n">
        <v>46222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46222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18012-2026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46125</v>
      </c>
      <c r="E861" s="1" t="n">
        <v>46222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39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48589-2024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46222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17904-2026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46122</v>
      </c>
      <c r="E863" s="1" t="n">
        <v>46222</v>
      </c>
      <c r="F863" t="inlineStr">
        <is>
          <t>DALARNAS LÄN</t>
        </is>
      </c>
      <c r="G863" t="inlineStr">
        <is>
          <t>FALUN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17923-2026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46122</v>
      </c>
      <c r="E864" s="1" t="n">
        <v>46222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18295-2026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46222</v>
      </c>
      <c r="F865" t="inlineStr">
        <is>
          <t>DALARNAS LÄN</t>
        </is>
      </c>
      <c r="G865" t="inlineStr">
        <is>
          <t>FALUN</t>
        </is>
      </c>
      <c r="H865" t="inlineStr">
        <is>
          <t>Allmännings- och besparingsskogar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17890-2026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46222</v>
      </c>
      <c r="F866" t="inlineStr">
        <is>
          <t>DALARNAS LÄN</t>
        </is>
      </c>
      <c r="G866" t="inlineStr">
        <is>
          <t>FALUN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17911-2026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46122</v>
      </c>
      <c r="E867" s="1" t="n">
        <v>46222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57.2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39918-2024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45553</v>
      </c>
      <c r="E868" s="1" t="n">
        <v>46222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39924-2024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45553</v>
      </c>
      <c r="E869" s="1" t="n">
        <v>46222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17795-2026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46122</v>
      </c>
      <c r="E870" s="1" t="n">
        <v>46222</v>
      </c>
      <c r="F870" t="inlineStr">
        <is>
          <t>DALARNAS LÄN</t>
        </is>
      </c>
      <c r="G870" t="inlineStr">
        <is>
          <t>FALUN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18057-2026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46125</v>
      </c>
      <c r="E871" s="1" t="n">
        <v>46222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17855-2026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46122</v>
      </c>
      <c r="E872" s="1" t="n">
        <v>46222</v>
      </c>
      <c r="F872" t="inlineStr">
        <is>
          <t>DALARNAS LÄN</t>
        </is>
      </c>
      <c r="G872" t="inlineStr">
        <is>
          <t>FALUN</t>
        </is>
      </c>
      <c r="I872" t="n">
        <v>8.800000000000001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18023-2026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46125</v>
      </c>
      <c r="E873" s="1" t="n">
        <v>46222</v>
      </c>
      <c r="F873" t="inlineStr">
        <is>
          <t>DALARNAS LÄN</t>
        </is>
      </c>
      <c r="G873" t="inlineStr">
        <is>
          <t>FALUN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18215-2026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46126</v>
      </c>
      <c r="E874" s="1" t="n">
        <v>46222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18336-2026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46222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41275-2023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45174</v>
      </c>
      <c r="E876" s="1" t="n">
        <v>46222</v>
      </c>
      <c r="F876" t="inlineStr">
        <is>
          <t>DALARNAS LÄN</t>
        </is>
      </c>
      <c r="G876" t="inlineStr">
        <is>
          <t>FALUN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18338-2026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46126</v>
      </c>
      <c r="E877" s="1" t="n">
        <v>46222</v>
      </c>
      <c r="F877" t="inlineStr">
        <is>
          <t>DALARNAS LÄN</t>
        </is>
      </c>
      <c r="G877" t="inlineStr">
        <is>
          <t>FALUN</t>
        </is>
      </c>
      <c r="I877" t="n">
        <v>16.6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15174-2024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45400</v>
      </c>
      <c r="E878" s="1" t="n">
        <v>46222</v>
      </c>
      <c r="F878" t="inlineStr">
        <is>
          <t>DALARNAS LÄN</t>
        </is>
      </c>
      <c r="G878" t="inlineStr">
        <is>
          <t>FALUN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18467-2026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46127</v>
      </c>
      <c r="E879" s="1" t="n">
        <v>46222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41604-2023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45175</v>
      </c>
      <c r="E880" s="1" t="n">
        <v>46222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18502-2026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46127</v>
      </c>
      <c r="E881" s="1" t="n">
        <v>46222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18247-2026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46222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24.2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46127</v>
      </c>
      <c r="E883" s="1" t="n">
        <v>46222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18511-2026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46127</v>
      </c>
      <c r="E884" s="1" t="n">
        <v>46222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18970-2026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46222</v>
      </c>
      <c r="F885" t="inlineStr">
        <is>
          <t>DALARNAS LÄN</t>
        </is>
      </c>
      <c r="G885" t="inlineStr">
        <is>
          <t>FALUN</t>
        </is>
      </c>
      <c r="H885" t="inlineStr">
        <is>
          <t>Allmännings- och besparingsskogar</t>
        </is>
      </c>
      <c r="I885" t="n">
        <v>8.5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41144-2023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46222</v>
      </c>
      <c r="F886" t="inlineStr">
        <is>
          <t>DALARNAS LÄN</t>
        </is>
      </c>
      <c r="G886" t="inlineStr">
        <is>
          <t>FALUN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18720-2026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46222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6.1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49969-2024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45597</v>
      </c>
      <c r="E888" s="1" t="n">
        <v>46222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53640-2024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45614</v>
      </c>
      <c r="E889" s="1" t="n">
        <v>46222</v>
      </c>
      <c r="F889" t="inlineStr">
        <is>
          <t>DALARNAS LÄN</t>
        </is>
      </c>
      <c r="G889" t="inlineStr">
        <is>
          <t>FALUN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18653-2026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46128</v>
      </c>
      <c r="E890" s="1" t="n">
        <v>46222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11266-2026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46080</v>
      </c>
      <c r="E891" s="1" t="n">
        <v>46222</v>
      </c>
      <c r="F891" t="inlineStr">
        <is>
          <t>DALARNAS LÄN</t>
        </is>
      </c>
      <c r="G891" t="inlineStr">
        <is>
          <t>FALUN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17333-2026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46119</v>
      </c>
      <c r="E892" s="1" t="n">
        <v>46222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18716-2026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46222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19041-2026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46132</v>
      </c>
      <c r="E894" s="1" t="n">
        <v>46222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19073-2026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46132</v>
      </c>
      <c r="E895" s="1" t="n">
        <v>46222</v>
      </c>
      <c r="F895" t="inlineStr">
        <is>
          <t>DALARNAS LÄN</t>
        </is>
      </c>
      <c r="G895" t="inlineStr">
        <is>
          <t>FALUN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11236-2026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46222</v>
      </c>
      <c r="F896" t="inlineStr">
        <is>
          <t>DALARNAS LÄN</t>
        </is>
      </c>
      <c r="G896" t="inlineStr">
        <is>
          <t>FALUN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18950-2026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46129</v>
      </c>
      <c r="E897" s="1" t="n">
        <v>46222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18983-2026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46128</v>
      </c>
      <c r="E898" s="1" t="n">
        <v>46222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8.199999999999999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18869-2026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46222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19033-2026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46131</v>
      </c>
      <c r="E900" s="1" t="n">
        <v>46222</v>
      </c>
      <c r="F900" t="inlineStr">
        <is>
          <t>DALARNAS LÄN</t>
        </is>
      </c>
      <c r="G900" t="inlineStr">
        <is>
          <t>FALUN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19176-2026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46222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19032-2026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46131</v>
      </c>
      <c r="E902" s="1" t="n">
        <v>46222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19001-2026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46129</v>
      </c>
      <c r="E903" s="1" t="n">
        <v>46222</v>
      </c>
      <c r="F903" t="inlineStr">
        <is>
          <t>DALARNAS LÄN</t>
        </is>
      </c>
      <c r="G903" t="inlineStr">
        <is>
          <t>FALUN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18765-2026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46222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18998-2026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46222</v>
      </c>
      <c r="F905" t="inlineStr">
        <is>
          <t>DALARNAS LÄN</t>
        </is>
      </c>
      <c r="G905" t="inlineStr">
        <is>
          <t>FALUN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19508-2026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46222</v>
      </c>
      <c r="F906" t="inlineStr">
        <is>
          <t>DALARNAS LÄN</t>
        </is>
      </c>
      <c r="G906" t="inlineStr">
        <is>
          <t>FALUN</t>
        </is>
      </c>
      <c r="H906" t="inlineStr">
        <is>
          <t>Kyrkan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19267-2026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46222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19871-2026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46222</v>
      </c>
      <c r="F908" t="inlineStr">
        <is>
          <t>DALARNAS LÄN</t>
        </is>
      </c>
      <c r="G908" t="inlineStr">
        <is>
          <t>FALUN</t>
        </is>
      </c>
      <c r="I908" t="n">
        <v>5.1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19583-2026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46134</v>
      </c>
      <c r="E909" s="1" t="n">
        <v>46222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19586-2026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46222</v>
      </c>
      <c r="F910" t="inlineStr">
        <is>
          <t>DALARNAS LÄN</t>
        </is>
      </c>
      <c r="G910" t="inlineStr">
        <is>
          <t>FALUN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19460-2026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46222</v>
      </c>
      <c r="F911" t="inlineStr">
        <is>
          <t>DALARNAS LÄN</t>
        </is>
      </c>
      <c r="G911" t="inlineStr">
        <is>
          <t>FALUN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19466-2026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46222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15610-2024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45401</v>
      </c>
      <c r="E913" s="1" t="n">
        <v>46222</v>
      </c>
      <c r="F913" t="inlineStr">
        <is>
          <t>DALARNAS LÄN</t>
        </is>
      </c>
      <c r="G913" t="inlineStr">
        <is>
          <t>FALUN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17011-2026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46114</v>
      </c>
      <c r="E914" s="1" t="n">
        <v>46222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11299-2026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46080</v>
      </c>
      <c r="E915" s="1" t="n">
        <v>46222</v>
      </c>
      <c r="F915" t="inlineStr">
        <is>
          <t>DALARNAS LÄN</t>
        </is>
      </c>
      <c r="G915" t="inlineStr">
        <is>
          <t>FALUN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19283-2026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46133</v>
      </c>
      <c r="E916" s="1" t="n">
        <v>46222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11897-2023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44995</v>
      </c>
      <c r="E917" s="1" t="n">
        <v>46222</v>
      </c>
      <c r="F917" t="inlineStr">
        <is>
          <t>DALARNAS LÄN</t>
        </is>
      </c>
      <c r="G917" t="inlineStr">
        <is>
          <t>FALUN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19448-2026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46222</v>
      </c>
      <c r="F918" t="inlineStr">
        <is>
          <t>DALARNAS LÄN</t>
        </is>
      </c>
      <c r="G918" t="inlineStr">
        <is>
          <t>FALUN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19450-2026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46222</v>
      </c>
      <c r="F919" t="inlineStr">
        <is>
          <t>DALARNAS LÄN</t>
        </is>
      </c>
      <c r="G919" t="inlineStr">
        <is>
          <t>FALUN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19533-2026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46222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16043-2026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46222</v>
      </c>
      <c r="F921" t="inlineStr">
        <is>
          <t>DALARNAS LÄN</t>
        </is>
      </c>
      <c r="G921" t="inlineStr">
        <is>
          <t>FALUN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19422-2026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46133</v>
      </c>
      <c r="E922" s="1" t="n">
        <v>46222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7.5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19266-2026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46222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13.6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19281-2026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46222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18.3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46105</v>
      </c>
      <c r="E925" s="1" t="n">
        <v>46222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74196-2021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44558</v>
      </c>
      <c r="E926" s="1" t="n">
        <v>46222</v>
      </c>
      <c r="F926" t="inlineStr">
        <is>
          <t>DALARNAS LÄN</t>
        </is>
      </c>
      <c r="G926" t="inlineStr">
        <is>
          <t>FALUN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45659</v>
      </c>
      <c r="E927" s="1" t="n">
        <v>46222</v>
      </c>
      <c r="F927" t="inlineStr">
        <is>
          <t>DALARNAS LÄN</t>
        </is>
      </c>
      <c r="G927" t="inlineStr">
        <is>
          <t>FALUN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19451-2026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46222</v>
      </c>
      <c r="F928" t="inlineStr">
        <is>
          <t>DALARNAS LÄN</t>
        </is>
      </c>
      <c r="G928" t="inlineStr">
        <is>
          <t>FALUN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19456-2026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46133</v>
      </c>
      <c r="E929" s="1" t="n">
        <v>46222</v>
      </c>
      <c r="F929" t="inlineStr">
        <is>
          <t>DALARNAS LÄN</t>
        </is>
      </c>
      <c r="G929" t="inlineStr">
        <is>
          <t>FALUN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46014</v>
      </c>
      <c r="E930" s="1" t="n">
        <v>46222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2595-2026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46222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19917-2026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46136</v>
      </c>
      <c r="E932" s="1" t="n">
        <v>46222</v>
      </c>
      <c r="F932" t="inlineStr">
        <is>
          <t>DALARNAS LÄN</t>
        </is>
      </c>
      <c r="G932" t="inlineStr">
        <is>
          <t>FALUN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19923-2026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46136</v>
      </c>
      <c r="E933" s="1" t="n">
        <v>46222</v>
      </c>
      <c r="F933" t="inlineStr">
        <is>
          <t>DALARNAS LÄN</t>
        </is>
      </c>
      <c r="G933" t="inlineStr">
        <is>
          <t>FALUN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16888-2024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45411</v>
      </c>
      <c r="E934" s="1" t="n">
        <v>46222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17309-2026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46222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17349-2026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46119</v>
      </c>
      <c r="E936" s="1" t="n">
        <v>46222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16677-2026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46222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19723-2026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46135</v>
      </c>
      <c r="E938" s="1" t="n">
        <v>46222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5085-2024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45330</v>
      </c>
      <c r="E939" s="1" t="n">
        <v>46222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4928-2024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45329</v>
      </c>
      <c r="E940" s="1" t="n">
        <v>46222</v>
      </c>
      <c r="F940" t="inlineStr">
        <is>
          <t>DALARNAS LÄN</t>
        </is>
      </c>
      <c r="G940" t="inlineStr">
        <is>
          <t>FALUN</t>
        </is>
      </c>
      <c r="I940" t="n">
        <v>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19728-2026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46222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46222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18771-2026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46128</v>
      </c>
      <c r="E943" s="1" t="n">
        <v>46222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19892-2026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46222</v>
      </c>
      <c r="F944" t="inlineStr">
        <is>
          <t>DALARNAS LÄN</t>
        </is>
      </c>
      <c r="G944" t="inlineStr">
        <is>
          <t>FALUN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17282-2026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46222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19916-2026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46222</v>
      </c>
      <c r="F946" t="inlineStr">
        <is>
          <t>DALARNAS LÄN</t>
        </is>
      </c>
      <c r="G946" t="inlineStr">
        <is>
          <t>FALUN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19579-2026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46222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16236-2026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46111</v>
      </c>
      <c r="E948" s="1" t="n">
        <v>46222</v>
      </c>
      <c r="F948" t="inlineStr">
        <is>
          <t>DALARNAS LÄN</t>
        </is>
      </c>
      <c r="G948" t="inlineStr">
        <is>
          <t>FALUN</t>
        </is>
      </c>
      <c r="I948" t="n">
        <v>14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19897-2026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46135</v>
      </c>
      <c r="E949" s="1" t="n">
        <v>46222</v>
      </c>
      <c r="F949" t="inlineStr">
        <is>
          <t>DALARNAS LÄN</t>
        </is>
      </c>
      <c r="G949" t="inlineStr">
        <is>
          <t>FALUN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15346-2026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46105</v>
      </c>
      <c r="E950" s="1" t="n">
        <v>46222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16933-2026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46113</v>
      </c>
      <c r="E951" s="1" t="n">
        <v>46222</v>
      </c>
      <c r="F951" t="inlineStr">
        <is>
          <t>DALARNAS LÄN</t>
        </is>
      </c>
      <c r="G951" t="inlineStr">
        <is>
          <t>FALUN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2906-2022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44581</v>
      </c>
      <c r="E952" s="1" t="n">
        <v>46222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19896-2026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46222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19995-2026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46136</v>
      </c>
      <c r="E954" s="1" t="n">
        <v>46222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22938-2023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45072</v>
      </c>
      <c r="E955" s="1" t="n">
        <v>46222</v>
      </c>
      <c r="F955" t="inlineStr">
        <is>
          <t>DALARNAS LÄN</t>
        </is>
      </c>
      <c r="G955" t="inlineStr">
        <is>
          <t>FALUN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22663-2023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45071</v>
      </c>
      <c r="E956" s="1" t="n">
        <v>46222</v>
      </c>
      <c r="F956" t="inlineStr">
        <is>
          <t>DALARNAS LÄN</t>
        </is>
      </c>
      <c r="G956" t="inlineStr">
        <is>
          <t>FALUN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52271-2025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45953</v>
      </c>
      <c r="E957" s="1" t="n">
        <v>46222</v>
      </c>
      <c r="F957" t="inlineStr">
        <is>
          <t>DALARNAS LÄN</t>
        </is>
      </c>
      <c r="G957" t="inlineStr">
        <is>
          <t>FALUN</t>
        </is>
      </c>
      <c r="I957" t="n">
        <v>7.9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37709-2024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45541</v>
      </c>
      <c r="E958" s="1" t="n">
        <v>46222</v>
      </c>
      <c r="F958" t="inlineStr">
        <is>
          <t>DALARNAS LÄN</t>
        </is>
      </c>
      <c r="G958" t="inlineStr">
        <is>
          <t>FALUN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17142-2026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46222</v>
      </c>
      <c r="F959" t="inlineStr">
        <is>
          <t>DALARNAS LÄN</t>
        </is>
      </c>
      <c r="G959" t="inlineStr">
        <is>
          <t>FALUN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19976-2026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46222</v>
      </c>
      <c r="F960" t="inlineStr">
        <is>
          <t>DALARNAS LÄN</t>
        </is>
      </c>
      <c r="G960" t="inlineStr">
        <is>
          <t>FALUN</t>
        </is>
      </c>
      <c r="I960" t="n">
        <v>40.2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43236-2024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45567</v>
      </c>
      <c r="E961" s="1" t="n">
        <v>46222</v>
      </c>
      <c r="F961" t="inlineStr">
        <is>
          <t>DALARNAS LÄN</t>
        </is>
      </c>
      <c r="G961" t="inlineStr">
        <is>
          <t>FALUN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56642-2024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45625</v>
      </c>
      <c r="E962" s="1" t="n">
        <v>46222</v>
      </c>
      <c r="F962" t="inlineStr">
        <is>
          <t>DALARNAS LÄN</t>
        </is>
      </c>
      <c r="G962" t="inlineStr">
        <is>
          <t>FALUN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32753-2025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45838</v>
      </c>
      <c r="E963" s="1" t="n">
        <v>46222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35943-2023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45148</v>
      </c>
      <c r="E964" s="1" t="n">
        <v>46222</v>
      </c>
      <c r="F964" t="inlineStr">
        <is>
          <t>DALARNAS LÄN</t>
        </is>
      </c>
      <c r="G964" t="inlineStr">
        <is>
          <t>FALUN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56587-2024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46222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46025</v>
      </c>
      <c r="E966" s="1" t="n">
        <v>46222</v>
      </c>
      <c r="F966" t="inlineStr">
        <is>
          <t>DALARNAS LÄN</t>
        </is>
      </c>
      <c r="G966" t="inlineStr">
        <is>
          <t>FALUN</t>
        </is>
      </c>
      <c r="I966" t="n">
        <v>13.4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8435-2025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45709</v>
      </c>
      <c r="E967" s="1" t="n">
        <v>46222</v>
      </c>
      <c r="F967" t="inlineStr">
        <is>
          <t>DALARNAS LÄN</t>
        </is>
      </c>
      <c r="G967" t="inlineStr">
        <is>
          <t>FALUN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13073-2026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46093</v>
      </c>
      <c r="E968" s="1" t="n">
        <v>46222</v>
      </c>
      <c r="F968" t="inlineStr">
        <is>
          <t>DALARNAS LÄN</t>
        </is>
      </c>
      <c r="G968" t="inlineStr">
        <is>
          <t>FALUN</t>
        </is>
      </c>
      <c r="H968" t="inlineStr">
        <is>
          <t>Allmännings- och besparingsskogar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9611-2026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46072</v>
      </c>
      <c r="E969" s="1" t="n">
        <v>46222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24.9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7948-2026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46063</v>
      </c>
      <c r="E970" s="1" t="n">
        <v>46222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24729-2023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45084</v>
      </c>
      <c r="E971" s="1" t="n">
        <v>46222</v>
      </c>
      <c r="F971" t="inlineStr">
        <is>
          <t>DALARNAS LÄN</t>
        </is>
      </c>
      <c r="G971" t="inlineStr">
        <is>
          <t>FALUN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23512-2025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46222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7.1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46222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9587-2026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46222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20197-2026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46222</v>
      </c>
      <c r="F975" t="inlineStr">
        <is>
          <t>DALARNAS LÄN</t>
        </is>
      </c>
      <c r="G975" t="inlineStr">
        <is>
          <t>FALUN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20201-2026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46139</v>
      </c>
      <c r="E976" s="1" t="n">
        <v>46222</v>
      </c>
      <c r="F976" t="inlineStr">
        <is>
          <t>DALARNAS LÄN</t>
        </is>
      </c>
      <c r="G976" t="inlineStr">
        <is>
          <t>FALUN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53029-2024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45611</v>
      </c>
      <c r="E977" s="1" t="n">
        <v>46222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46037</v>
      </c>
      <c r="E978" s="1" t="n">
        <v>46222</v>
      </c>
      <c r="F978" t="inlineStr">
        <is>
          <t>DALARNAS LÄN</t>
        </is>
      </c>
      <c r="G978" t="inlineStr">
        <is>
          <t>FALUN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14009-2026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46098</v>
      </c>
      <c r="E979" s="1" t="n">
        <v>46222</v>
      </c>
      <c r="F979" t="inlineStr">
        <is>
          <t>DALARNAS LÄN</t>
        </is>
      </c>
      <c r="G979" t="inlineStr">
        <is>
          <t>FALUN</t>
        </is>
      </c>
      <c r="I979" t="n">
        <v>5.4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43300-2025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45910</v>
      </c>
      <c r="E980" s="1" t="n">
        <v>46222</v>
      </c>
      <c r="F980" t="inlineStr">
        <is>
          <t>DALARNAS LÄN</t>
        </is>
      </c>
      <c r="G980" t="inlineStr">
        <is>
          <t>FALUN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58411-2024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45634</v>
      </c>
      <c r="E981" s="1" t="n">
        <v>46222</v>
      </c>
      <c r="F981" t="inlineStr">
        <is>
          <t>DALARNAS LÄN</t>
        </is>
      </c>
      <c r="G981" t="inlineStr">
        <is>
          <t>FALUN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51135-2024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45603</v>
      </c>
      <c r="E982" s="1" t="n">
        <v>46222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59319-2024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45637</v>
      </c>
      <c r="E983" s="1" t="n">
        <v>46222</v>
      </c>
      <c r="F983" t="inlineStr">
        <is>
          <t>DALARNAS LÄN</t>
        </is>
      </c>
      <c r="G983" t="inlineStr">
        <is>
          <t>FALUN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46959-2023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45201</v>
      </c>
      <c r="E984" s="1" t="n">
        <v>46222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64521-2023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45281</v>
      </c>
      <c r="E985" s="1" t="n">
        <v>46222</v>
      </c>
      <c r="F985" t="inlineStr">
        <is>
          <t>DALARNAS LÄN</t>
        </is>
      </c>
      <c r="G985" t="inlineStr">
        <is>
          <t>FALUN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9439-2026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46071</v>
      </c>
      <c r="E986" s="1" t="n">
        <v>46222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20198-2026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46222</v>
      </c>
      <c r="F987" t="inlineStr">
        <is>
          <t>DALARNAS LÄN</t>
        </is>
      </c>
      <c r="G987" t="inlineStr">
        <is>
          <t>FALUN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13103-2026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46093</v>
      </c>
      <c r="E988" s="1" t="n">
        <v>46222</v>
      </c>
      <c r="F988" t="inlineStr">
        <is>
          <t>DALARNAS LÄN</t>
        </is>
      </c>
      <c r="G988" t="inlineStr">
        <is>
          <t>FALUN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4887-2024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45329</v>
      </c>
      <c r="E989" s="1" t="n">
        <v>46222</v>
      </c>
      <c r="F989" t="inlineStr">
        <is>
          <t>DALARNAS LÄN</t>
        </is>
      </c>
      <c r="G989" t="inlineStr">
        <is>
          <t>FALUN</t>
        </is>
      </c>
      <c r="I989" t="n">
        <v>9.699999999999999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5311-2025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45692</v>
      </c>
      <c r="E990" s="1" t="n">
        <v>46222</v>
      </c>
      <c r="F990" t="inlineStr">
        <is>
          <t>DALARNAS LÄN</t>
        </is>
      </c>
      <c r="G990" t="inlineStr">
        <is>
          <t>FALUN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51958-2024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45607</v>
      </c>
      <c r="E991" s="1" t="n">
        <v>46222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56481-2024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45625</v>
      </c>
      <c r="E992" s="1" t="n">
        <v>46222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8.199999999999999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8557-2026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46222</v>
      </c>
      <c r="F993" t="inlineStr">
        <is>
          <t>DALARNAS LÄN</t>
        </is>
      </c>
      <c r="G993" t="inlineStr">
        <is>
          <t>FALUN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8368-2026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46064</v>
      </c>
      <c r="E994" s="1" t="n">
        <v>46222</v>
      </c>
      <c r="F994" t="inlineStr">
        <is>
          <t>DALARNAS LÄN</t>
        </is>
      </c>
      <c r="G994" t="inlineStr">
        <is>
          <t>FALUN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6539-2026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46222</v>
      </c>
      <c r="F995" t="inlineStr">
        <is>
          <t>DALARNAS LÄN</t>
        </is>
      </c>
      <c r="G995" t="inlineStr">
        <is>
          <t>FALUN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25149-2025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45800</v>
      </c>
      <c r="E996" s="1" t="n">
        <v>46222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20356-2026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46222</v>
      </c>
      <c r="F997" t="inlineStr">
        <is>
          <t>DALARNAS LÄN</t>
        </is>
      </c>
      <c r="G997" t="inlineStr">
        <is>
          <t>FALUN</t>
        </is>
      </c>
      <c r="I997" t="n">
        <v>11.8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20384-2026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46222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20402-2026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46140</v>
      </c>
      <c r="E999" s="1" t="n">
        <v>46222</v>
      </c>
      <c r="F999" t="inlineStr">
        <is>
          <t>DALARNAS LÄN</t>
        </is>
      </c>
      <c r="G999" t="inlineStr">
        <is>
          <t>FALUN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20403-2026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46222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9659-2025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45716</v>
      </c>
      <c r="E1001" s="1" t="n">
        <v>46222</v>
      </c>
      <c r="F1001" t="inlineStr">
        <is>
          <t>DALARNAS LÄN</t>
        </is>
      </c>
      <c r="G1001" t="inlineStr">
        <is>
          <t>FALUN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54082-2023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45232</v>
      </c>
      <c r="E1002" s="1" t="n">
        <v>46222</v>
      </c>
      <c r="F1002" t="inlineStr">
        <is>
          <t>DALARNAS LÄN</t>
        </is>
      </c>
      <c r="G1002" t="inlineStr">
        <is>
          <t>FALUN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20431-2026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46140</v>
      </c>
      <c r="E1003" s="1" t="n">
        <v>46222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20435-2026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46140</v>
      </c>
      <c r="E1004" s="1" t="n">
        <v>46222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46140</v>
      </c>
      <c r="E1005" s="1" t="n">
        <v>46222</v>
      </c>
      <c r="F1005" t="inlineStr">
        <is>
          <t>DALARNAS LÄN</t>
        </is>
      </c>
      <c r="G1005" t="inlineStr">
        <is>
          <t>FALUN</t>
        </is>
      </c>
      <c r="I1005" t="n">
        <v>11.8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20029-2026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46222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37061-2025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45874</v>
      </c>
      <c r="E1007" s="1" t="n">
        <v>46222</v>
      </c>
      <c r="F1007" t="inlineStr">
        <is>
          <t>DALARNAS LÄN</t>
        </is>
      </c>
      <c r="G1007" t="inlineStr">
        <is>
          <t>FALUN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1307-2025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45667</v>
      </c>
      <c r="E1008" s="1" t="n">
        <v>46222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43736-2024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45569</v>
      </c>
      <c r="E1009" s="1" t="n">
        <v>46222</v>
      </c>
      <c r="F1009" t="inlineStr">
        <is>
          <t>DALARNAS LÄN</t>
        </is>
      </c>
      <c r="G1009" t="inlineStr">
        <is>
          <t>FALUN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56768-2024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46222</v>
      </c>
      <c r="F1010" t="inlineStr">
        <is>
          <t>DALARNAS LÄN</t>
        </is>
      </c>
      <c r="G1010" t="inlineStr">
        <is>
          <t>FALUN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25967-2026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46181</v>
      </c>
      <c r="E1011" s="1" t="n">
        <v>46222</v>
      </c>
      <c r="F1011" t="inlineStr">
        <is>
          <t>DALARNAS LÄN</t>
        </is>
      </c>
      <c r="G1011" t="inlineStr">
        <is>
          <t>FALUN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46561-2023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45198</v>
      </c>
      <c r="E1012" s="1" t="n">
        <v>46222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8033-2026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46063</v>
      </c>
      <c r="E1013" s="1" t="n">
        <v>46222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11316-2026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46080</v>
      </c>
      <c r="E1014" s="1" t="n">
        <v>46222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46037</v>
      </c>
      <c r="E1015" s="1" t="n">
        <v>46222</v>
      </c>
      <c r="F1015" t="inlineStr">
        <is>
          <t>DALARNAS LÄN</t>
        </is>
      </c>
      <c r="G1015" t="inlineStr">
        <is>
          <t>FALUN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46037</v>
      </c>
      <c r="E1016" s="1" t="n">
        <v>46222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6.3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13514-2026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46094</v>
      </c>
      <c r="E1017" s="1" t="n">
        <v>46222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17.2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43187-2024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45567</v>
      </c>
      <c r="E1018" s="1" t="n">
        <v>46222</v>
      </c>
      <c r="F1018" t="inlineStr">
        <is>
          <t>DALARNAS LÄN</t>
        </is>
      </c>
      <c r="G1018" t="inlineStr">
        <is>
          <t>FALUN</t>
        </is>
      </c>
      <c r="I1018" t="n">
        <v>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3132-2025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45678</v>
      </c>
      <c r="E1019" s="1" t="n">
        <v>46222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8122-2026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46063</v>
      </c>
      <c r="E1020" s="1" t="n">
        <v>46222</v>
      </c>
      <c r="F1020" t="inlineStr">
        <is>
          <t>DALARNAS LÄN</t>
        </is>
      </c>
      <c r="G1020" t="inlineStr">
        <is>
          <t>FALUN</t>
        </is>
      </c>
      <c r="I1020" t="n">
        <v>6.4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53090-2024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45611</v>
      </c>
      <c r="E1021" s="1" t="n">
        <v>46222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8.300000000000001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27885-2023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45098</v>
      </c>
      <c r="E1022" s="1" t="n">
        <v>46222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7962-2026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46063</v>
      </c>
      <c r="E1023" s="1" t="n">
        <v>46222</v>
      </c>
      <c r="F1023" t="inlineStr">
        <is>
          <t>DALARNAS LÄN</t>
        </is>
      </c>
      <c r="G1023" t="inlineStr">
        <is>
          <t>FALUN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1781-2026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46222</v>
      </c>
      <c r="F1024" t="inlineStr">
        <is>
          <t>DALARNAS LÄN</t>
        </is>
      </c>
      <c r="G1024" t="inlineStr">
        <is>
          <t>FALUN</t>
        </is>
      </c>
      <c r="I1024" t="n">
        <v>8.9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2742-2026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46038</v>
      </c>
      <c r="E1025" s="1" t="n">
        <v>46222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2213-2026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46222</v>
      </c>
      <c r="F1026" t="inlineStr">
        <is>
          <t>DALARNAS LÄN</t>
        </is>
      </c>
      <c r="G1026" t="inlineStr">
        <is>
          <t>FALUN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26120-2026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46181</v>
      </c>
      <c r="E1027" s="1" t="n">
        <v>46222</v>
      </c>
      <c r="F1027" t="inlineStr">
        <is>
          <t>DALARNAS LÄN</t>
        </is>
      </c>
      <c r="G1027" t="inlineStr">
        <is>
          <t>FALUN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46222</v>
      </c>
      <c r="F1028" t="inlineStr">
        <is>
          <t>DALARNAS LÄN</t>
        </is>
      </c>
      <c r="G1028" t="inlineStr">
        <is>
          <t>FALUN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6943-2026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46222</v>
      </c>
      <c r="F1029" t="inlineStr">
        <is>
          <t>DALARNAS LÄN</t>
        </is>
      </c>
      <c r="G1029" t="inlineStr">
        <is>
          <t>FALUN</t>
        </is>
      </c>
      <c r="H1029" t="inlineStr">
        <is>
          <t>Allmännings- och besparingsskogar</t>
        </is>
      </c>
      <c r="I1029" t="n">
        <v>22.5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19903-2022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44697</v>
      </c>
      <c r="E1030" s="1" t="n">
        <v>46222</v>
      </c>
      <c r="F1030" t="inlineStr">
        <is>
          <t>DALARNAS LÄN</t>
        </is>
      </c>
      <c r="G1030" t="inlineStr">
        <is>
          <t>FALUN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45040-2025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45918</v>
      </c>
      <c r="E1031" s="1" t="n">
        <v>46222</v>
      </c>
      <c r="F1031" t="inlineStr">
        <is>
          <t>DALARNAS LÄN</t>
        </is>
      </c>
      <c r="G1031" t="inlineStr">
        <is>
          <t>FALUN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42953-2022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44833</v>
      </c>
      <c r="E1032" s="1" t="n">
        <v>46222</v>
      </c>
      <c r="F1032" t="inlineStr">
        <is>
          <t>DALARNAS LÄN</t>
        </is>
      </c>
      <c r="G1032" t="inlineStr">
        <is>
          <t>FALUN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30804-2025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45831</v>
      </c>
      <c r="E1033" s="1" t="n">
        <v>46222</v>
      </c>
      <c r="F1033" t="inlineStr">
        <is>
          <t>DALARNAS LÄN</t>
        </is>
      </c>
      <c r="G1033" t="inlineStr">
        <is>
          <t>FALUN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3444-2026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46222</v>
      </c>
      <c r="F1034" t="inlineStr">
        <is>
          <t>DALARNAS LÄN</t>
        </is>
      </c>
      <c r="G1034" t="inlineStr">
        <is>
          <t>FALUN</t>
        </is>
      </c>
      <c r="I1034" t="n">
        <v>6.6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1303-2026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46031</v>
      </c>
      <c r="E1035" s="1" t="n">
        <v>46222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12100-2026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46086</v>
      </c>
      <c r="E1036" s="1" t="n">
        <v>46222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35903-2023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45148</v>
      </c>
      <c r="E1037" s="1" t="n">
        <v>46222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40585-2025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45896</v>
      </c>
      <c r="E1038" s="1" t="n">
        <v>46222</v>
      </c>
      <c r="F1038" t="inlineStr">
        <is>
          <t>DALARNAS LÄN</t>
        </is>
      </c>
      <c r="G1038" t="inlineStr">
        <is>
          <t>FALUN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63723-2023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45276</v>
      </c>
      <c r="E1039" s="1" t="n">
        <v>46222</v>
      </c>
      <c r="F1039" t="inlineStr">
        <is>
          <t>DALARNAS LÄN</t>
        </is>
      </c>
      <c r="G1039" t="inlineStr">
        <is>
          <t>FALUN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5550-2026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46050</v>
      </c>
      <c r="E1040" s="1" t="n">
        <v>46222</v>
      </c>
      <c r="F1040" t="inlineStr">
        <is>
          <t>DALARNAS LÄN</t>
        </is>
      </c>
      <c r="G1040" t="inlineStr">
        <is>
          <t>FALUN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2600-2026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46222</v>
      </c>
      <c r="F1041" t="inlineStr">
        <is>
          <t>DALARNAS LÄN</t>
        </is>
      </c>
      <c r="G1041" t="inlineStr">
        <is>
          <t>FALUN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4915-2026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46045</v>
      </c>
      <c r="E1042" s="1" t="n">
        <v>46222</v>
      </c>
      <c r="F1042" t="inlineStr">
        <is>
          <t>DALARNAS LÄN</t>
        </is>
      </c>
      <c r="G1042" t="inlineStr">
        <is>
          <t>FALUN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46055</v>
      </c>
      <c r="E1043" s="1" t="n">
        <v>46222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20517-2026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46222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5300-2026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46222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19.4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12366-2026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46089</v>
      </c>
      <c r="E1046" s="1" t="n">
        <v>46222</v>
      </c>
      <c r="F1046" t="inlineStr">
        <is>
          <t>DALARNAS LÄN</t>
        </is>
      </c>
      <c r="G1046" t="inlineStr">
        <is>
          <t>FALUN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55542-2023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45238</v>
      </c>
      <c r="E1047" s="1" t="n">
        <v>46222</v>
      </c>
      <c r="F1047" t="inlineStr">
        <is>
          <t>DALARNAS LÄN</t>
        </is>
      </c>
      <c r="G1047" t="inlineStr">
        <is>
          <t>FALUN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56557-2024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46222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15.8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5767-2026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46222</v>
      </c>
      <c r="F1049" t="inlineStr">
        <is>
          <t>DALARNAS LÄN</t>
        </is>
      </c>
      <c r="G1049" t="inlineStr">
        <is>
          <t>FALUN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53067-2024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45611</v>
      </c>
      <c r="E1050" s="1" t="n">
        <v>46222</v>
      </c>
      <c r="F1050" t="inlineStr">
        <is>
          <t>DALARNAS LÄN</t>
        </is>
      </c>
      <c r="G1050" t="inlineStr">
        <is>
          <t>FALUN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20511-2026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46222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47.3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2284-2026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46222</v>
      </c>
      <c r="F1052" t="inlineStr">
        <is>
          <t>DALARNAS LÄN</t>
        </is>
      </c>
      <c r="G1052" t="inlineStr">
        <is>
          <t>FALUN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10084-2026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46073</v>
      </c>
      <c r="E1053" s="1" t="n">
        <v>46222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19031-2026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46131</v>
      </c>
      <c r="E1054" s="1" t="n">
        <v>46222</v>
      </c>
      <c r="F1054" t="inlineStr">
        <is>
          <t>DALARNAS LÄN</t>
        </is>
      </c>
      <c r="G1054" t="inlineStr">
        <is>
          <t>FALUN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105-2026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46024</v>
      </c>
      <c r="E1055" s="1" t="n">
        <v>46222</v>
      </c>
      <c r="F1055" t="inlineStr">
        <is>
          <t>DALARNAS LÄN</t>
        </is>
      </c>
      <c r="G1055" t="inlineStr">
        <is>
          <t>FALUN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48246-2023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46222</v>
      </c>
      <c r="F1056" t="inlineStr">
        <is>
          <t>DALARNAS LÄN</t>
        </is>
      </c>
      <c r="G1056" t="inlineStr">
        <is>
          <t>FALUN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26346-2026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46182</v>
      </c>
      <c r="E1057" s="1" t="n">
        <v>46222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20358-2026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46222</v>
      </c>
      <c r="F1058" t="inlineStr">
        <is>
          <t>DALARNAS LÄN</t>
        </is>
      </c>
      <c r="G1058" t="inlineStr">
        <is>
          <t>FALUN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16542-2026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46222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1422-2026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46031</v>
      </c>
      <c r="E1060" s="1" t="n">
        <v>46222</v>
      </c>
      <c r="F1060" t="inlineStr">
        <is>
          <t>DALARNAS LÄN</t>
        </is>
      </c>
      <c r="G1060" t="inlineStr">
        <is>
          <t>FALUN</t>
        </is>
      </c>
      <c r="I1060" t="n">
        <v>25.5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34103-2024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45523</v>
      </c>
      <c r="E1061" s="1" t="n">
        <v>46222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30593-2025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46222</v>
      </c>
      <c r="F1062" t="inlineStr">
        <is>
          <t>DALARNAS LÄN</t>
        </is>
      </c>
      <c r="G1062" t="inlineStr">
        <is>
          <t>FALUN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3345-2026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46222</v>
      </c>
      <c r="F1063" t="inlineStr">
        <is>
          <t>DALARNAS LÄN</t>
        </is>
      </c>
      <c r="G1063" t="inlineStr">
        <is>
          <t>FALUN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24640-2024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45460</v>
      </c>
      <c r="E1064" s="1" t="n">
        <v>46222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12231-2026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46087</v>
      </c>
      <c r="E1065" s="1" t="n">
        <v>46222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16375-2026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46111</v>
      </c>
      <c r="E1066" s="1" t="n">
        <v>46222</v>
      </c>
      <c r="F1066" t="inlineStr">
        <is>
          <t>DALARNAS LÄN</t>
        </is>
      </c>
      <c r="G1066" t="inlineStr">
        <is>
          <t>FALUN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4012-2026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46044</v>
      </c>
      <c r="E1067" s="1" t="n">
        <v>46222</v>
      </c>
      <c r="F1067" t="inlineStr">
        <is>
          <t>DALARNAS LÄN</t>
        </is>
      </c>
      <c r="G1067" t="inlineStr">
        <is>
          <t>FALUN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425-2026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46222</v>
      </c>
      <c r="F1068" t="inlineStr">
        <is>
          <t>DALARNAS LÄN</t>
        </is>
      </c>
      <c r="G1068" t="inlineStr">
        <is>
          <t>FALUN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46027</v>
      </c>
      <c r="E1069" s="1" t="n">
        <v>46222</v>
      </c>
      <c r="F1069" t="inlineStr">
        <is>
          <t>DALARNAS LÄN</t>
        </is>
      </c>
      <c r="G1069" t="inlineStr">
        <is>
          <t>FALUN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46027</v>
      </c>
      <c r="E1070" s="1" t="n">
        <v>46222</v>
      </c>
      <c r="F1070" t="inlineStr">
        <is>
          <t>DALARNAS LÄN</t>
        </is>
      </c>
      <c r="G1070" t="inlineStr">
        <is>
          <t>FALUN</t>
        </is>
      </c>
      <c r="I1070" t="n">
        <v>9.1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46024</v>
      </c>
      <c r="E1071" s="1" t="n">
        <v>46222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46032</v>
      </c>
      <c r="E1072" s="1" t="n">
        <v>46222</v>
      </c>
      <c r="F1072" t="inlineStr">
        <is>
          <t>DALARNAS LÄN</t>
        </is>
      </c>
      <c r="G1072" t="inlineStr">
        <is>
          <t>FALUN</t>
        </is>
      </c>
      <c r="I1072" t="n">
        <v>7.3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11681-2026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46222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7454-2026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46058</v>
      </c>
      <c r="E1074" s="1" t="n">
        <v>46222</v>
      </c>
      <c r="F1074" t="inlineStr">
        <is>
          <t>DALARNAS LÄN</t>
        </is>
      </c>
      <c r="G1074" t="inlineStr">
        <is>
          <t>FALUN</t>
        </is>
      </c>
      <c r="H1074" t="inlineStr">
        <is>
          <t>Allmännings- och besparingsskogar</t>
        </is>
      </c>
      <c r="I1074" t="n">
        <v>9.6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27495-2022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44742</v>
      </c>
      <c r="E1075" s="1" t="n">
        <v>46222</v>
      </c>
      <c r="F1075" t="inlineStr">
        <is>
          <t>DALARNAS LÄN</t>
        </is>
      </c>
      <c r="G1075" t="inlineStr">
        <is>
          <t>FALUN</t>
        </is>
      </c>
      <c r="H1075" t="inlineStr">
        <is>
          <t>Kyrkan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20196-2026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46139</v>
      </c>
      <c r="E1076" s="1" t="n">
        <v>46222</v>
      </c>
      <c r="F1076" t="inlineStr">
        <is>
          <t>DALARNAS LÄN</t>
        </is>
      </c>
      <c r="G1076" t="inlineStr">
        <is>
          <t>FALUN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14484-2024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45394</v>
      </c>
      <c r="E1077" s="1" t="n">
        <v>46222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20830-2026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46142</v>
      </c>
      <c r="E1078" s="1" t="n">
        <v>46222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20890-2026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46142</v>
      </c>
      <c r="E1079" s="1" t="n">
        <v>46222</v>
      </c>
      <c r="F1079" t="inlineStr">
        <is>
          <t>DALARNAS LÄN</t>
        </is>
      </c>
      <c r="G1079" t="inlineStr">
        <is>
          <t>FALUN</t>
        </is>
      </c>
      <c r="I1079" t="n">
        <v>15.7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46142</v>
      </c>
      <c r="E1080" s="1" t="n">
        <v>46222</v>
      </c>
      <c r="F1080" t="inlineStr">
        <is>
          <t>DALARNAS LÄN</t>
        </is>
      </c>
      <c r="G1080" t="inlineStr">
        <is>
          <t>FALUN</t>
        </is>
      </c>
      <c r="I1080" t="n">
        <v>45.9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64077-2025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46021</v>
      </c>
      <c r="E1081" s="1" t="n">
        <v>46222</v>
      </c>
      <c r="F1081" t="inlineStr">
        <is>
          <t>DALARNAS LÄN</t>
        </is>
      </c>
      <c r="G1081" t="inlineStr">
        <is>
          <t>FALUN</t>
        </is>
      </c>
      <c r="I1081" t="n">
        <v>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5871-2026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46222</v>
      </c>
      <c r="F1082" t="inlineStr">
        <is>
          <t>DALARNAS LÄN</t>
        </is>
      </c>
      <c r="G1082" t="inlineStr">
        <is>
          <t>FALUN</t>
        </is>
      </c>
      <c r="I1082" t="n">
        <v>12.2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8590-2026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46065</v>
      </c>
      <c r="E1083" s="1" t="n">
        <v>46222</v>
      </c>
      <c r="F1083" t="inlineStr">
        <is>
          <t>DALARNAS LÄN</t>
        </is>
      </c>
      <c r="G1083" t="inlineStr">
        <is>
          <t>FALUN</t>
        </is>
      </c>
      <c r="I1083" t="n">
        <v>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13232-2026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46222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20765-2026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46141</v>
      </c>
      <c r="E1085" s="1" t="n">
        <v>46222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46222</v>
      </c>
      <c r="F1086" t="inlineStr">
        <is>
          <t>DALARNAS LÄN</t>
        </is>
      </c>
      <c r="G1086" t="inlineStr">
        <is>
          <t>FALUN</t>
        </is>
      </c>
      <c r="I1086" t="n">
        <v>5.9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1627-2026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46034</v>
      </c>
      <c r="E1087" s="1" t="n">
        <v>46222</v>
      </c>
      <c r="F1087" t="inlineStr">
        <is>
          <t>DALARNAS LÄN</t>
        </is>
      </c>
      <c r="G1087" t="inlineStr">
        <is>
          <t>FALUN</t>
        </is>
      </c>
      <c r="I1087" t="n">
        <v>11.6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10717-2026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46078</v>
      </c>
      <c r="E1088" s="1" t="n">
        <v>46222</v>
      </c>
      <c r="F1088" t="inlineStr">
        <is>
          <t>DALARNAS LÄN</t>
        </is>
      </c>
      <c r="G1088" t="inlineStr">
        <is>
          <t>FALUN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5501-2026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46050</v>
      </c>
      <c r="E1089" s="1" t="n">
        <v>46222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20633-2026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46141</v>
      </c>
      <c r="E1090" s="1" t="n">
        <v>46222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20775-2026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46222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18666-2026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46128</v>
      </c>
      <c r="E1092" s="1" t="n">
        <v>46222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46183</v>
      </c>
      <c r="E1093" s="1" t="n">
        <v>46222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17313-2026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46119</v>
      </c>
      <c r="E1094" s="1" t="n">
        <v>46222</v>
      </c>
      <c r="F1094" t="inlineStr">
        <is>
          <t>DALARNAS LÄN</t>
        </is>
      </c>
      <c r="G1094" t="inlineStr">
        <is>
          <t>FALUN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12740-2026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46091</v>
      </c>
      <c r="E1095" s="1" t="n">
        <v>46222</v>
      </c>
      <c r="F1095" t="inlineStr">
        <is>
          <t>DALARNAS LÄN</t>
        </is>
      </c>
      <c r="G1095" t="inlineStr">
        <is>
          <t>FALUN</t>
        </is>
      </c>
      <c r="I1095" t="n">
        <v>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5762-2026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46222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15330-2026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46105</v>
      </c>
      <c r="E1097" s="1" t="n">
        <v>46222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6667-2026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46222</v>
      </c>
      <c r="F1098" t="inlineStr">
        <is>
          <t>DALARNAS LÄN</t>
        </is>
      </c>
      <c r="G1098" t="inlineStr">
        <is>
          <t>FALUN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15816-2025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45748</v>
      </c>
      <c r="E1099" s="1" t="n">
        <v>46222</v>
      </c>
      <c r="F1099" t="inlineStr">
        <is>
          <t>DALARNAS LÄN</t>
        </is>
      </c>
      <c r="G1099" t="inlineStr">
        <is>
          <t>FALUN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10462-2026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46077</v>
      </c>
      <c r="E1100" s="1" t="n">
        <v>46222</v>
      </c>
      <c r="F1100" t="inlineStr">
        <is>
          <t>DALARNAS LÄN</t>
        </is>
      </c>
      <c r="G1100" t="inlineStr">
        <is>
          <t>FALUN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46027</v>
      </c>
      <c r="E1101" s="1" t="n">
        <v>46222</v>
      </c>
      <c r="F1101" t="inlineStr">
        <is>
          <t>DALARNAS LÄN</t>
        </is>
      </c>
      <c r="G1101" t="inlineStr">
        <is>
          <t>FALUN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3100-2026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46222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46034</v>
      </c>
      <c r="E1103" s="1" t="n">
        <v>46222</v>
      </c>
      <c r="F1103" t="inlineStr">
        <is>
          <t>DALARNAS LÄN</t>
        </is>
      </c>
      <c r="G1103" t="inlineStr">
        <is>
          <t>FALUN</t>
        </is>
      </c>
      <c r="I1103" t="n">
        <v>11.6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20831-2026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46142</v>
      </c>
      <c r="E1104" s="1" t="n">
        <v>46222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2557-2026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46037</v>
      </c>
      <c r="E1105" s="1" t="n">
        <v>46222</v>
      </c>
      <c r="F1105" t="inlineStr">
        <is>
          <t>DALARNAS LÄN</t>
        </is>
      </c>
      <c r="G1105" t="inlineStr">
        <is>
          <t>FALUN</t>
        </is>
      </c>
      <c r="I1105" t="n">
        <v>17.4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2588-2026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46037</v>
      </c>
      <c r="E1106" s="1" t="n">
        <v>46222</v>
      </c>
      <c r="F1106" t="inlineStr">
        <is>
          <t>DALARNAS LÄN</t>
        </is>
      </c>
      <c r="G1106" t="inlineStr">
        <is>
          <t>FALUN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2288-2026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46036</v>
      </c>
      <c r="E1107" s="1" t="n">
        <v>46222</v>
      </c>
      <c r="F1107" t="inlineStr">
        <is>
          <t>DALARNAS LÄN</t>
        </is>
      </c>
      <c r="G1107" t="inlineStr">
        <is>
          <t>FALUN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13568-2024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45389</v>
      </c>
      <c r="E1108" s="1" t="n">
        <v>46222</v>
      </c>
      <c r="F1108" t="inlineStr">
        <is>
          <t>DALARNAS LÄN</t>
        </is>
      </c>
      <c r="G1108" t="inlineStr">
        <is>
          <t>FALUN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15672-2026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46106</v>
      </c>
      <c r="E1109" s="1" t="n">
        <v>46222</v>
      </c>
      <c r="F1109" t="inlineStr">
        <is>
          <t>DALARNAS LÄN</t>
        </is>
      </c>
      <c r="G1109" t="inlineStr">
        <is>
          <t>FALUN</t>
        </is>
      </c>
      <c r="I1109" t="n">
        <v>5.7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20960-2026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46142</v>
      </c>
      <c r="E1110" s="1" t="n">
        <v>46222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20961-2026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46142</v>
      </c>
      <c r="E1111" s="1" t="n">
        <v>46222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26380-2026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46183</v>
      </c>
      <c r="E1112" s="1" t="n">
        <v>46222</v>
      </c>
      <c r="F1112" t="inlineStr">
        <is>
          <t>DALARNAS LÄN</t>
        </is>
      </c>
      <c r="G1112" t="inlineStr">
        <is>
          <t>FALUN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20223-2026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46222</v>
      </c>
      <c r="F1113" t="inlineStr">
        <is>
          <t>DALARNAS LÄN</t>
        </is>
      </c>
      <c r="G1113" t="inlineStr">
        <is>
          <t>FALUN</t>
        </is>
      </c>
      <c r="I1113" t="n">
        <v>58.1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18708-2026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46128</v>
      </c>
      <c r="E1114" s="1" t="n">
        <v>46222</v>
      </c>
      <c r="F1114" t="inlineStr">
        <is>
          <t>DALARNAS LÄN</t>
        </is>
      </c>
      <c r="G1114" t="inlineStr">
        <is>
          <t>FALUN</t>
        </is>
      </c>
      <c r="I1114" t="n">
        <v>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12232-2026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46087</v>
      </c>
      <c r="E1115" s="1" t="n">
        <v>46222</v>
      </c>
      <c r="F1115" t="inlineStr">
        <is>
          <t>DALARNAS LÄN</t>
        </is>
      </c>
      <c r="G1115" t="inlineStr">
        <is>
          <t>FALUN</t>
        </is>
      </c>
      <c r="I1115" t="n">
        <v>7.5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15059-2026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46104</v>
      </c>
      <c r="E1116" s="1" t="n">
        <v>46222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9.6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15535-2023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45020</v>
      </c>
      <c r="E1117" s="1" t="n">
        <v>46222</v>
      </c>
      <c r="F1117" t="inlineStr">
        <is>
          <t>DALARNAS LÄN</t>
        </is>
      </c>
      <c r="G1117" t="inlineStr">
        <is>
          <t>FALUN</t>
        </is>
      </c>
      <c r="I1117" t="n">
        <v>3.6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20889-2026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46142</v>
      </c>
      <c r="E1118" s="1" t="n">
        <v>46222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20891-2026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46142</v>
      </c>
      <c r="E1119" s="1" t="n">
        <v>46222</v>
      </c>
      <c r="F1119" t="inlineStr">
        <is>
          <t>DALARNAS LÄN</t>
        </is>
      </c>
      <c r="G1119" t="inlineStr">
        <is>
          <t>FALUN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64103-2025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46021</v>
      </c>
      <c r="E1120" s="1" t="n">
        <v>46222</v>
      </c>
      <c r="F1120" t="inlineStr">
        <is>
          <t>DALARNAS LÄN</t>
        </is>
      </c>
      <c r="G1120" t="inlineStr">
        <is>
          <t>FALUN</t>
        </is>
      </c>
      <c r="I1120" t="n">
        <v>4.9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4739-2026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46048</v>
      </c>
      <c r="E1121" s="1" t="n">
        <v>46222</v>
      </c>
      <c r="F1121" t="inlineStr">
        <is>
          <t>DALARNAS LÄN</t>
        </is>
      </c>
      <c r="G1121" t="inlineStr">
        <is>
          <t>FALUN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5546-2026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46050</v>
      </c>
      <c r="E1122" s="1" t="n">
        <v>46222</v>
      </c>
      <c r="F1122" t="inlineStr">
        <is>
          <t>DALARNAS LÄN</t>
        </is>
      </c>
      <c r="G1122" t="inlineStr">
        <is>
          <t>FALUN</t>
        </is>
      </c>
      <c r="I1122" t="n">
        <v>7.7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6541-2026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46222</v>
      </c>
      <c r="F1123" t="inlineStr">
        <is>
          <t>DALARNAS LÄN</t>
        </is>
      </c>
      <c r="G1123" t="inlineStr">
        <is>
          <t>FALUN</t>
        </is>
      </c>
      <c r="I1123" t="n">
        <v>7.8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15147-2026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46104</v>
      </c>
      <c r="E1124" s="1" t="n">
        <v>46222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4932-2026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46045</v>
      </c>
      <c r="E1125" s="1" t="n">
        <v>46222</v>
      </c>
      <c r="F1125" t="inlineStr">
        <is>
          <t>DALARNAS LÄN</t>
        </is>
      </c>
      <c r="G1125" t="inlineStr">
        <is>
          <t>FALUN</t>
        </is>
      </c>
      <c r="I1125" t="n">
        <v>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6889-2026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46222</v>
      </c>
      <c r="F1126" t="inlineStr">
        <is>
          <t>DALARNAS LÄN</t>
        </is>
      </c>
      <c r="G1126" t="inlineStr">
        <is>
          <t>FALUN</t>
        </is>
      </c>
      <c r="I1126" t="n">
        <v>5.9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3589-2026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46042</v>
      </c>
      <c r="E1127" s="1" t="n">
        <v>46222</v>
      </c>
      <c r="F1127" t="inlineStr">
        <is>
          <t>DALARNAS LÄN</t>
        </is>
      </c>
      <c r="G1127" t="inlineStr">
        <is>
          <t>FALUN</t>
        </is>
      </c>
      <c r="I1127" t="n">
        <v>8.6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6794-2026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46222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2611-2026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46222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15100-2026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46105</v>
      </c>
      <c r="E1130" s="1" t="n">
        <v>46222</v>
      </c>
      <c r="F1130" t="inlineStr">
        <is>
          <t>DALARNAS LÄN</t>
        </is>
      </c>
      <c r="G1130" t="inlineStr">
        <is>
          <t>FALUN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20215-2026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46139</v>
      </c>
      <c r="E1131" s="1" t="n">
        <v>46222</v>
      </c>
      <c r="F1131" t="inlineStr">
        <is>
          <t>DALARNAS LÄN</t>
        </is>
      </c>
      <c r="G1131" t="inlineStr">
        <is>
          <t>FALUN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9037-2026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46222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27.8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2367-2026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46036</v>
      </c>
      <c r="E1133" s="1" t="n">
        <v>46222</v>
      </c>
      <c r="F1133" t="inlineStr">
        <is>
          <t>DALARNAS LÄN</t>
        </is>
      </c>
      <c r="G1133" t="inlineStr">
        <is>
          <t>FALUN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9131-2026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46222</v>
      </c>
      <c r="F1134" t="inlineStr">
        <is>
          <t>DALARNAS LÄN</t>
        </is>
      </c>
      <c r="G1134" t="inlineStr">
        <is>
          <t>FALUN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34507-2022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44792</v>
      </c>
      <c r="E1135" s="1" t="n">
        <v>46222</v>
      </c>
      <c r="F1135" t="inlineStr">
        <is>
          <t>DALARNAS LÄN</t>
        </is>
      </c>
      <c r="G1135" t="inlineStr">
        <is>
          <t>FALUN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53864-2023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45231</v>
      </c>
      <c r="E1136" s="1" t="n">
        <v>46222</v>
      </c>
      <c r="F1136" t="inlineStr">
        <is>
          <t>DALARNAS LÄN</t>
        </is>
      </c>
      <c r="G1136" t="inlineStr">
        <is>
          <t>FALUN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46037</v>
      </c>
      <c r="E1137" s="1" t="n">
        <v>46222</v>
      </c>
      <c r="F1137" t="inlineStr">
        <is>
          <t>DALARNAS LÄN</t>
        </is>
      </c>
      <c r="G1137" t="inlineStr">
        <is>
          <t>FALUN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4508-2026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46222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4904-2026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46222</v>
      </c>
      <c r="F1139" t="inlineStr">
        <is>
          <t>DALARNAS LÄN</t>
        </is>
      </c>
      <c r="G1139" t="inlineStr">
        <is>
          <t>FALUN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20657-2026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46222</v>
      </c>
      <c r="F1140" t="inlineStr">
        <is>
          <t>DALARNAS LÄN</t>
        </is>
      </c>
      <c r="G1140" t="inlineStr">
        <is>
          <t>FALUN</t>
        </is>
      </c>
      <c r="I1140" t="n">
        <v>5.9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18042-2025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45761</v>
      </c>
      <c r="E1141" s="1" t="n">
        <v>46222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5.1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39187-2025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45888</v>
      </c>
      <c r="E1142" s="1" t="n">
        <v>46222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46222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13220-2025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45735</v>
      </c>
      <c r="E1144" s="1" t="n">
        <v>46222</v>
      </c>
      <c r="F1144" t="inlineStr">
        <is>
          <t>DALARNAS LÄN</t>
        </is>
      </c>
      <c r="G1144" t="inlineStr">
        <is>
          <t>FALUN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46222</v>
      </c>
      <c r="F1145" t="inlineStr">
        <is>
          <t>DALARNAS LÄN</t>
        </is>
      </c>
      <c r="G1145" t="inlineStr">
        <is>
          <t>FALUN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46222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21107-2026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46146</v>
      </c>
      <c r="E1147" s="1" t="n">
        <v>46222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57.6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21116-2026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46146</v>
      </c>
      <c r="E1148" s="1" t="n">
        <v>46222</v>
      </c>
      <c r="F1148" t="inlineStr">
        <is>
          <t>DALARNAS LÄN</t>
        </is>
      </c>
      <c r="G1148" t="inlineStr">
        <is>
          <t>FALUN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21121-2026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46146</v>
      </c>
      <c r="E1149" s="1" t="n">
        <v>46222</v>
      </c>
      <c r="F1149" t="inlineStr">
        <is>
          <t>DALARNAS LÄN</t>
        </is>
      </c>
      <c r="G1149" t="inlineStr">
        <is>
          <t>FALUN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21124-2026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46146</v>
      </c>
      <c r="E1150" s="1" t="n">
        <v>46222</v>
      </c>
      <c r="F1150" t="inlineStr">
        <is>
          <t>DALARNAS LÄN</t>
        </is>
      </c>
      <c r="G1150" t="inlineStr">
        <is>
          <t>FALUN</t>
        </is>
      </c>
      <c r="I1150" t="n">
        <v>11.6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21127-2026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46146</v>
      </c>
      <c r="E1151" s="1" t="n">
        <v>46222</v>
      </c>
      <c r="F1151" t="inlineStr">
        <is>
          <t>DALARNAS LÄN</t>
        </is>
      </c>
      <c r="G1151" t="inlineStr">
        <is>
          <t>FALUN</t>
        </is>
      </c>
      <c r="I1151" t="n">
        <v>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19783-2026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46222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26968-2026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46185</v>
      </c>
      <c r="E1153" s="1" t="n">
        <v>46222</v>
      </c>
      <c r="F1153" t="inlineStr">
        <is>
          <t>DALARNAS LÄN</t>
        </is>
      </c>
      <c r="G1153" t="inlineStr">
        <is>
          <t>FALUN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4980-2026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46049</v>
      </c>
      <c r="E1154" s="1" t="n">
        <v>46222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21155-2026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46146</v>
      </c>
      <c r="E1155" s="1" t="n">
        <v>46222</v>
      </c>
      <c r="F1155" t="inlineStr">
        <is>
          <t>DALARNAS LÄN</t>
        </is>
      </c>
      <c r="G1155" t="inlineStr">
        <is>
          <t>FALUN</t>
        </is>
      </c>
      <c r="I1155" t="n">
        <v>5.6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21174-2026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46146</v>
      </c>
      <c r="E1156" s="1" t="n">
        <v>46222</v>
      </c>
      <c r="F1156" t="inlineStr">
        <is>
          <t>DALARNAS LÄN</t>
        </is>
      </c>
      <c r="G1156" t="inlineStr">
        <is>
          <t>FALUN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1088-2024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45302</v>
      </c>
      <c r="E1157" s="1" t="n">
        <v>46222</v>
      </c>
      <c r="F1157" t="inlineStr">
        <is>
          <t>DALARNAS LÄN</t>
        </is>
      </c>
      <c r="G1157" t="inlineStr">
        <is>
          <t>FALUN</t>
        </is>
      </c>
      <c r="I1157" t="n">
        <v>9.699999999999999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21076-2026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46222</v>
      </c>
      <c r="F1158" t="inlineStr">
        <is>
          <t>DALARNAS LÄN</t>
        </is>
      </c>
      <c r="G1158" t="inlineStr">
        <is>
          <t>FALUN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27163-2026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46188</v>
      </c>
      <c r="E1159" s="1" t="n">
        <v>46222</v>
      </c>
      <c r="F1159" t="inlineStr">
        <is>
          <t>DALARNAS LÄN</t>
        </is>
      </c>
      <c r="G1159" t="inlineStr">
        <is>
          <t>FALUN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46023</v>
      </c>
      <c r="E1160" s="1" t="n">
        <v>46222</v>
      </c>
      <c r="F1160" t="inlineStr">
        <is>
          <t>DALARNAS LÄN</t>
        </is>
      </c>
      <c r="G1160" t="inlineStr">
        <is>
          <t>FALUN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26965-2026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46222</v>
      </c>
      <c r="F1161" t="inlineStr">
        <is>
          <t>DALARNAS LÄN</t>
        </is>
      </c>
      <c r="G1161" t="inlineStr">
        <is>
          <t>FALUN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21077-2026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46146</v>
      </c>
      <c r="E1162" s="1" t="n">
        <v>46222</v>
      </c>
      <c r="F1162" t="inlineStr">
        <is>
          <t>DALARNAS LÄN</t>
        </is>
      </c>
      <c r="G1162" t="inlineStr">
        <is>
          <t>FALUN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21083-2026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46146</v>
      </c>
      <c r="E1163" s="1" t="n">
        <v>46222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15085-2025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45744</v>
      </c>
      <c r="E1164" s="1" t="n">
        <v>46222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21110-2026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46146</v>
      </c>
      <c r="E1165" s="1" t="n">
        <v>46222</v>
      </c>
      <c r="F1165" t="inlineStr">
        <is>
          <t>DALARNAS LÄN</t>
        </is>
      </c>
      <c r="G1165" t="inlineStr">
        <is>
          <t>FALUN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2019-2026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46035</v>
      </c>
      <c r="E1166" s="1" t="n">
        <v>46222</v>
      </c>
      <c r="F1166" t="inlineStr">
        <is>
          <t>DALARNAS LÄN</t>
        </is>
      </c>
      <c r="G1166" t="inlineStr">
        <is>
          <t>FALUN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17932-2026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46222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19426-2025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45769</v>
      </c>
      <c r="E1168" s="1" t="n">
        <v>46222</v>
      </c>
      <c r="F1168" t="inlineStr">
        <is>
          <t>DALARNAS LÄN</t>
        </is>
      </c>
      <c r="G1168" t="inlineStr">
        <is>
          <t>FALUN</t>
        </is>
      </c>
      <c r="I1168" t="n">
        <v>0.1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21129-2026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46146</v>
      </c>
      <c r="E1169" s="1" t="n">
        <v>46222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27313-2026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46222</v>
      </c>
      <c r="F1170" t="inlineStr">
        <is>
          <t>DALARNAS LÄN</t>
        </is>
      </c>
      <c r="G1170" t="inlineStr">
        <is>
          <t>FALUN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27335-2026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46222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1839-2025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45671</v>
      </c>
      <c r="E1172" s="1" t="n">
        <v>46222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3083-2026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46040</v>
      </c>
      <c r="E1173" s="1" t="n">
        <v>46222</v>
      </c>
      <c r="F1173" t="inlineStr">
        <is>
          <t>DALARNAS LÄN</t>
        </is>
      </c>
      <c r="G1173" t="inlineStr">
        <is>
          <t>FALUN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26969-2026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46222</v>
      </c>
      <c r="F1174" t="inlineStr">
        <is>
          <t>DALARNAS LÄN</t>
        </is>
      </c>
      <c r="G1174" t="inlineStr">
        <is>
          <t>FALUN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8212-2026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46222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35981-2022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44802</v>
      </c>
      <c r="E1176" s="1" t="n">
        <v>46222</v>
      </c>
      <c r="F1176" t="inlineStr">
        <is>
          <t>DALARNAS LÄN</t>
        </is>
      </c>
      <c r="G1176" t="inlineStr">
        <is>
          <t>FALUN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26828-2026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46185</v>
      </c>
      <c r="E1177" s="1" t="n">
        <v>46222</v>
      </c>
      <c r="F1177" t="inlineStr">
        <is>
          <t>DALARNAS LÄN</t>
        </is>
      </c>
      <c r="G1177" t="inlineStr">
        <is>
          <t>FALUN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26830-2026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46185</v>
      </c>
      <c r="E1178" s="1" t="n">
        <v>46222</v>
      </c>
      <c r="F1178" t="inlineStr">
        <is>
          <t>DALARNAS LÄN</t>
        </is>
      </c>
      <c r="G1178" t="inlineStr">
        <is>
          <t>FALUN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21212-2026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46146</v>
      </c>
      <c r="E1179" s="1" t="n">
        <v>46222</v>
      </c>
      <c r="F1179" t="inlineStr">
        <is>
          <t>DALARNAS LÄN</t>
        </is>
      </c>
      <c r="G1179" t="inlineStr">
        <is>
          <t>FALUN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21130-2026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46146</v>
      </c>
      <c r="E1180" s="1" t="n">
        <v>46222</v>
      </c>
      <c r="F1180" t="inlineStr">
        <is>
          <t>DALARNAS LÄN</t>
        </is>
      </c>
      <c r="G1180" t="inlineStr">
        <is>
          <t>FALUN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27152-2026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46188</v>
      </c>
      <c r="E1181" s="1" t="n">
        <v>46222</v>
      </c>
      <c r="F1181" t="inlineStr">
        <is>
          <t>DALARNAS LÄN</t>
        </is>
      </c>
      <c r="G1181" t="inlineStr">
        <is>
          <t>FALUN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12616-2026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46222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27145-2026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46188</v>
      </c>
      <c r="E1183" s="1" t="n">
        <v>46222</v>
      </c>
      <c r="F1183" t="inlineStr">
        <is>
          <t>DALARNAS LÄN</t>
        </is>
      </c>
      <c r="G1183" t="inlineStr">
        <is>
          <t>FALUN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26832-2026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46222</v>
      </c>
      <c r="F1184" t="inlineStr">
        <is>
          <t>DALARNAS LÄN</t>
        </is>
      </c>
      <c r="G1184" t="inlineStr">
        <is>
          <t>FALUN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6613-2026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46222</v>
      </c>
      <c r="F1185" t="inlineStr">
        <is>
          <t>DALARNAS LÄN</t>
        </is>
      </c>
      <c r="G1185" t="inlineStr">
        <is>
          <t>FALUN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24131-2022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44725</v>
      </c>
      <c r="E1186" s="1" t="n">
        <v>46222</v>
      </c>
      <c r="F1186" t="inlineStr">
        <is>
          <t>DALARNAS LÄN</t>
        </is>
      </c>
      <c r="G1186" t="inlineStr">
        <is>
          <t>FALUN</t>
        </is>
      </c>
      <c r="H1186" t="inlineStr">
        <is>
          <t>Kyrkan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27267-2026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46188</v>
      </c>
      <c r="E1187" s="1" t="n">
        <v>46222</v>
      </c>
      <c r="F1187" t="inlineStr">
        <is>
          <t>DALARNAS LÄN</t>
        </is>
      </c>
      <c r="G1187" t="inlineStr">
        <is>
          <t>FALUN</t>
        </is>
      </c>
      <c r="I1187" t="n">
        <v>4.8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6455-2026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46222</v>
      </c>
      <c r="F1188" t="inlineStr">
        <is>
          <t>DALARNAS LÄN</t>
        </is>
      </c>
      <c r="G1188" t="inlineStr">
        <is>
          <t>FALUN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21414-2026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46148</v>
      </c>
      <c r="E1189" s="1" t="n">
        <v>46222</v>
      </c>
      <c r="F1189" t="inlineStr">
        <is>
          <t>DALARNAS LÄN</t>
        </is>
      </c>
      <c r="G1189" t="inlineStr">
        <is>
          <t>FALUN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21450-2026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46148</v>
      </c>
      <c r="E1190" s="1" t="n">
        <v>46222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21415-2026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46148</v>
      </c>
      <c r="E1191" s="1" t="n">
        <v>46222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21441-2026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46148</v>
      </c>
      <c r="E1192" s="1" t="n">
        <v>46222</v>
      </c>
      <c r="F1192" t="inlineStr">
        <is>
          <t>DALARNAS LÄN</t>
        </is>
      </c>
      <c r="G1192" t="inlineStr">
        <is>
          <t>FALUN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21346-2026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46147</v>
      </c>
      <c r="E1193" s="1" t="n">
        <v>46222</v>
      </c>
      <c r="F1193" t="inlineStr">
        <is>
          <t>DALARNAS LÄN</t>
        </is>
      </c>
      <c r="G1193" t="inlineStr">
        <is>
          <t>FALUN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27628-2026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46190</v>
      </c>
      <c r="E1194" s="1" t="n">
        <v>46222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7754-2024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45349</v>
      </c>
      <c r="E1195" s="1" t="n">
        <v>46222</v>
      </c>
      <c r="F1195" t="inlineStr">
        <is>
          <t>DALARNAS LÄN</t>
        </is>
      </c>
      <c r="G1195" t="inlineStr">
        <is>
          <t>FALUN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51233-2023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46222</v>
      </c>
      <c r="F1196" t="inlineStr">
        <is>
          <t>DALARNAS LÄN</t>
        </is>
      </c>
      <c r="G1196" t="inlineStr">
        <is>
          <t>FALUN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21410-2026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46148</v>
      </c>
      <c r="E1197" s="1" t="n">
        <v>46222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21460-2026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46148</v>
      </c>
      <c r="E1198" s="1" t="n">
        <v>46222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21516-2026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46148</v>
      </c>
      <c r="E1199" s="1" t="n">
        <v>46222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1509-2024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45306</v>
      </c>
      <c r="E1200" s="1" t="n">
        <v>46222</v>
      </c>
      <c r="F1200" t="inlineStr">
        <is>
          <t>DALARNAS LÄN</t>
        </is>
      </c>
      <c r="G1200" t="inlineStr">
        <is>
          <t>FALUN</t>
        </is>
      </c>
      <c r="I1200" t="n">
        <v>5.7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27626-2026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46222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2463-2024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45313</v>
      </c>
      <c r="E1202" s="1" t="n">
        <v>46222</v>
      </c>
      <c r="F1202" t="inlineStr">
        <is>
          <t>DALARNAS LÄN</t>
        </is>
      </c>
      <c r="G1202" t="inlineStr">
        <is>
          <t>FALUN</t>
        </is>
      </c>
      <c r="I1202" t="n">
        <v>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46190</v>
      </c>
      <c r="E1203" s="1" t="n">
        <v>46222</v>
      </c>
      <c r="F1203" t="inlineStr">
        <is>
          <t>DALARNAS LÄN</t>
        </is>
      </c>
      <c r="G1203" t="inlineStr">
        <is>
          <t>FALUN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21289-2026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46147</v>
      </c>
      <c r="E1204" s="1" t="n">
        <v>46222</v>
      </c>
      <c r="F1204" t="inlineStr">
        <is>
          <t>DALARNAS LÄN</t>
        </is>
      </c>
      <c r="G1204" t="inlineStr">
        <is>
          <t>FALUN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21561-2026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46148</v>
      </c>
      <c r="E1205" s="1" t="n">
        <v>46222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21306-2026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46147</v>
      </c>
      <c r="E1206" s="1" t="n">
        <v>46222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27847-2026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46191</v>
      </c>
      <c r="E1207" s="1" t="n">
        <v>46222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21829-2026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46150</v>
      </c>
      <c r="E1208" s="1" t="n">
        <v>46222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21830-2026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46150</v>
      </c>
      <c r="E1209" s="1" t="n">
        <v>46222</v>
      </c>
      <c r="F1209" t="inlineStr">
        <is>
          <t>DALARNAS LÄN</t>
        </is>
      </c>
      <c r="G1209" t="inlineStr">
        <is>
          <t>FALUN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21824-2026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46222</v>
      </c>
      <c r="F1210" t="inlineStr">
        <is>
          <t>DALARNAS LÄN</t>
        </is>
      </c>
      <c r="G1210" t="inlineStr">
        <is>
          <t>FALUN</t>
        </is>
      </c>
      <c r="I1210" t="n">
        <v>10.7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21831-2026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46150</v>
      </c>
      <c r="E1211" s="1" t="n">
        <v>46222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27821-2026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46222</v>
      </c>
      <c r="F1212" t="inlineStr">
        <is>
          <t>DALARNAS LÄN</t>
        </is>
      </c>
      <c r="G1212" t="inlineStr">
        <is>
          <t>FALUN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27822-2026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46222</v>
      </c>
      <c r="F1213" t="inlineStr">
        <is>
          <t>DALARNAS LÄN</t>
        </is>
      </c>
      <c r="G1213" t="inlineStr">
        <is>
          <t>FALUN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29844-2022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44755</v>
      </c>
      <c r="E1214" s="1" t="n">
        <v>46222</v>
      </c>
      <c r="F1214" t="inlineStr">
        <is>
          <t>DALARNAS LÄN</t>
        </is>
      </c>
      <c r="G1214" t="inlineStr">
        <is>
          <t>FALUN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29850-2022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44755</v>
      </c>
      <c r="E1215" s="1" t="n">
        <v>46222</v>
      </c>
      <c r="F1215" t="inlineStr">
        <is>
          <t>DALARNAS LÄN</t>
        </is>
      </c>
      <c r="G1215" t="inlineStr">
        <is>
          <t>FALUN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52856-2023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45226</v>
      </c>
      <c r="E1216" s="1" t="n">
        <v>46222</v>
      </c>
      <c r="F1216" t="inlineStr">
        <is>
          <t>DALARNAS LÄN</t>
        </is>
      </c>
      <c r="G1216" t="inlineStr">
        <is>
          <t>FALUN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21795-2026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46150</v>
      </c>
      <c r="E1217" s="1" t="n">
        <v>46222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21823-2026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46150</v>
      </c>
      <c r="E1218" s="1" t="n">
        <v>46222</v>
      </c>
      <c r="F1218" t="inlineStr">
        <is>
          <t>DALARNAS LÄN</t>
        </is>
      </c>
      <c r="G1218" t="inlineStr">
        <is>
          <t>FALUN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21834-2026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46150</v>
      </c>
      <c r="E1219" s="1" t="n">
        <v>46222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27924-2026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46222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7.5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27896-2026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46222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21895-2026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46150</v>
      </c>
      <c r="E1222" s="1" t="n">
        <v>46222</v>
      </c>
      <c r="F1222" t="inlineStr">
        <is>
          <t>DALARNAS LÄN</t>
        </is>
      </c>
      <c r="G1222" t="inlineStr">
        <is>
          <t>FALUN</t>
        </is>
      </c>
      <c r="I1222" t="n">
        <v>6.3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21636-2026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46149</v>
      </c>
      <c r="E1223" s="1" t="n">
        <v>46222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7.7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21653-2026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46149</v>
      </c>
      <c r="E1224" s="1" t="n">
        <v>46222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21635-2026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46149</v>
      </c>
      <c r="E1225" s="1" t="n">
        <v>46222</v>
      </c>
      <c r="F1225" t="inlineStr">
        <is>
          <t>DALARNAS LÄN</t>
        </is>
      </c>
      <c r="G1225" t="inlineStr">
        <is>
          <t>FALUN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21873-2026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46150</v>
      </c>
      <c r="E1226" s="1" t="n">
        <v>46222</v>
      </c>
      <c r="F1226" t="inlineStr">
        <is>
          <t>DALARNAS LÄN</t>
        </is>
      </c>
      <c r="G1226" t="inlineStr">
        <is>
          <t>FALUN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63383-2023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45274</v>
      </c>
      <c r="E1227" s="1" t="n">
        <v>46222</v>
      </c>
      <c r="F1227" t="inlineStr">
        <is>
          <t>DALARNAS LÄN</t>
        </is>
      </c>
      <c r="G1227" t="inlineStr">
        <is>
          <t>FALUN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29508-2024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45484</v>
      </c>
      <c r="E1228" s="1" t="n">
        <v>46222</v>
      </c>
      <c r="F1228" t="inlineStr">
        <is>
          <t>DALARNAS LÄN</t>
        </is>
      </c>
      <c r="G1228" t="inlineStr">
        <is>
          <t>FALUN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18718-2026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46128</v>
      </c>
      <c r="E1229" s="1" t="n">
        <v>46222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21825-2026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46222</v>
      </c>
      <c r="F1230" t="inlineStr">
        <is>
          <t>DALARNAS LÄN</t>
        </is>
      </c>
      <c r="G1230" t="inlineStr">
        <is>
          <t>FALUN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27800-2026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46191</v>
      </c>
      <c r="E1231" s="1" t="n">
        <v>46222</v>
      </c>
      <c r="F1231" t="inlineStr">
        <is>
          <t>DALARNAS LÄN</t>
        </is>
      </c>
      <c r="G1231" t="inlineStr">
        <is>
          <t>FALUN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21896-2026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46222</v>
      </c>
      <c r="F1232" t="inlineStr">
        <is>
          <t>DALARNAS LÄN</t>
        </is>
      </c>
      <c r="G1232" t="inlineStr">
        <is>
          <t>FALUN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21782-2026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46222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27850-2026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46191</v>
      </c>
      <c r="E1234" s="1" t="n">
        <v>46222</v>
      </c>
      <c r="F1234" t="inlineStr">
        <is>
          <t>DALARNAS LÄN</t>
        </is>
      </c>
      <c r="G1234" t="inlineStr">
        <is>
          <t>FALUN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34508-2022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44792</v>
      </c>
      <c r="E1235" s="1" t="n">
        <v>46222</v>
      </c>
      <c r="F1235" t="inlineStr">
        <is>
          <t>DALARNAS LÄN</t>
        </is>
      </c>
      <c r="G1235" t="inlineStr">
        <is>
          <t>FALUN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34509-2022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44792</v>
      </c>
      <c r="E1236" s="1" t="n">
        <v>46222</v>
      </c>
      <c r="F1236" t="inlineStr">
        <is>
          <t>DALARNAS LÄN</t>
        </is>
      </c>
      <c r="G1236" t="inlineStr">
        <is>
          <t>FALUN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21701-2026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46222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21837-2026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46222</v>
      </c>
      <c r="F1238" t="inlineStr">
        <is>
          <t>DALARNAS LÄN</t>
        </is>
      </c>
      <c r="G1238" t="inlineStr">
        <is>
          <t>FALUN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21822-2026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46222</v>
      </c>
      <c r="F1239" t="inlineStr">
        <is>
          <t>DALARNAS LÄN</t>
        </is>
      </c>
      <c r="G1239" t="inlineStr">
        <is>
          <t>FALUN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36411-2025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45868</v>
      </c>
      <c r="E1240" s="1" t="n">
        <v>46222</v>
      </c>
      <c r="F1240" t="inlineStr">
        <is>
          <t>DALARNAS LÄN</t>
        </is>
      </c>
      <c r="G1240" t="inlineStr">
        <is>
          <t>FALUN</t>
        </is>
      </c>
      <c r="I1240" t="n">
        <v>10.7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21936-2026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46222</v>
      </c>
      <c r="F1241" t="inlineStr">
        <is>
          <t>DALARNAS LÄN</t>
        </is>
      </c>
      <c r="G1241" t="inlineStr">
        <is>
          <t>FALUN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14658-2026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46101</v>
      </c>
      <c r="E1242" s="1" t="n">
        <v>46222</v>
      </c>
      <c r="F1242" t="inlineStr">
        <is>
          <t>DALARNAS LÄN</t>
        </is>
      </c>
      <c r="G1242" t="inlineStr">
        <is>
          <t>FALUN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16454-2026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46112</v>
      </c>
      <c r="E1243" s="1" t="n">
        <v>46222</v>
      </c>
      <c r="F1243" t="inlineStr">
        <is>
          <t>DALARNAS LÄN</t>
        </is>
      </c>
      <c r="G1243" t="inlineStr">
        <is>
          <t>FALUN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3078-2026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46040</v>
      </c>
      <c r="E1244" s="1" t="n">
        <v>46222</v>
      </c>
      <c r="F1244" t="inlineStr">
        <is>
          <t>DALARNAS LÄN</t>
        </is>
      </c>
      <c r="G1244" t="inlineStr">
        <is>
          <t>FALUN</t>
        </is>
      </c>
      <c r="I1244" t="n">
        <v>3.8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17751-2026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46122</v>
      </c>
      <c r="E1245" s="1" t="n">
        <v>46222</v>
      </c>
      <c r="F1245" t="inlineStr">
        <is>
          <t>DALARNAS LÄN</t>
        </is>
      </c>
      <c r="G1245" t="inlineStr">
        <is>
          <t>FALUN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16655-2026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46112</v>
      </c>
      <c r="E1246" s="1" t="n">
        <v>46222</v>
      </c>
      <c r="F1246" t="inlineStr">
        <is>
          <t>DALARNAS LÄN</t>
        </is>
      </c>
      <c r="G1246" t="inlineStr">
        <is>
          <t>FALUN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11295-2026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46080</v>
      </c>
      <c r="E1247" s="1" t="n">
        <v>46222</v>
      </c>
      <c r="F1247" t="inlineStr">
        <is>
          <t>DALARNAS LÄN</t>
        </is>
      </c>
      <c r="G1247" t="inlineStr">
        <is>
          <t>FALUN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22365-2026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46154</v>
      </c>
      <c r="E1248" s="1" t="n">
        <v>46222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2502-2026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46037</v>
      </c>
      <c r="E1249" s="1" t="n">
        <v>46222</v>
      </c>
      <c r="F1249" t="inlineStr">
        <is>
          <t>DALARNAS LÄN</t>
        </is>
      </c>
      <c r="G1249" t="inlineStr">
        <is>
          <t>FALUN</t>
        </is>
      </c>
      <c r="I1249" t="n">
        <v>3.1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18051-2025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45761</v>
      </c>
      <c r="E1250" s="1" t="n">
        <v>46222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28189-2026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46195</v>
      </c>
      <c r="E1251" s="1" t="n">
        <v>46222</v>
      </c>
      <c r="F1251" t="inlineStr">
        <is>
          <t>DALARNAS LÄN</t>
        </is>
      </c>
      <c r="G1251" t="inlineStr">
        <is>
          <t>FALUN</t>
        </is>
      </c>
      <c r="I1251" t="n">
        <v>7.3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294-2026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46027</v>
      </c>
      <c r="E1252" s="1" t="n">
        <v>46222</v>
      </c>
      <c r="F1252" t="inlineStr">
        <is>
          <t>DALARNAS LÄN</t>
        </is>
      </c>
      <c r="G1252" t="inlineStr">
        <is>
          <t>FALUN</t>
        </is>
      </c>
      <c r="I1252" t="n">
        <v>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6789-2026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46057</v>
      </c>
      <c r="E1253" s="1" t="n">
        <v>46222</v>
      </c>
      <c r="F1253" t="inlineStr">
        <is>
          <t>DALARNAS LÄN</t>
        </is>
      </c>
      <c r="G1253" t="inlineStr">
        <is>
          <t>FALUN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27970-2026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46195</v>
      </c>
      <c r="E1254" s="1" t="n">
        <v>46222</v>
      </c>
      <c r="F1254" t="inlineStr">
        <is>
          <t>DALARNAS LÄN</t>
        </is>
      </c>
      <c r="G1254" t="inlineStr">
        <is>
          <t>FALUN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28092-2026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46195</v>
      </c>
      <c r="E1255" s="1" t="n">
        <v>46222</v>
      </c>
      <c r="F1255" t="inlineStr">
        <is>
          <t>DALARNAS LÄN</t>
        </is>
      </c>
      <c r="G1255" t="inlineStr">
        <is>
          <t>FALUN</t>
        </is>
      </c>
      <c r="I1255" t="n">
        <v>6.8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36212-2024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45534</v>
      </c>
      <c r="E1256" s="1" t="n">
        <v>46222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12260-2026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46087</v>
      </c>
      <c r="E1257" s="1" t="n">
        <v>46222</v>
      </c>
      <c r="F1257" t="inlineStr">
        <is>
          <t>DALARNAS LÄN</t>
        </is>
      </c>
      <c r="G1257" t="inlineStr">
        <is>
          <t>FALUN</t>
        </is>
      </c>
      <c r="I1257" t="n">
        <v>23.9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28252-2026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46196</v>
      </c>
      <c r="E1258" s="1" t="n">
        <v>46222</v>
      </c>
      <c r="F1258" t="inlineStr">
        <is>
          <t>DALARNAS LÄN</t>
        </is>
      </c>
      <c r="G1258" t="inlineStr">
        <is>
          <t>FALUN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46042</v>
      </c>
      <c r="E1259" s="1" t="n">
        <v>46222</v>
      </c>
      <c r="F1259" t="inlineStr">
        <is>
          <t>DALARNAS LÄN</t>
        </is>
      </c>
      <c r="G1259" t="inlineStr">
        <is>
          <t>FALUN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8588-2026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46222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17.4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8598-2026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46065</v>
      </c>
      <c r="E1261" s="1" t="n">
        <v>46222</v>
      </c>
      <c r="F1261" t="inlineStr">
        <is>
          <t>DALARNAS LÄN</t>
        </is>
      </c>
      <c r="G1261" t="inlineStr">
        <is>
          <t>FALUN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1135-2026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46030</v>
      </c>
      <c r="E1262" s="1" t="n">
        <v>46222</v>
      </c>
      <c r="F1262" t="inlineStr">
        <is>
          <t>DALARNAS LÄN</t>
        </is>
      </c>
      <c r="G1262" t="inlineStr">
        <is>
          <t>FALUN</t>
        </is>
      </c>
      <c r="I1262" t="n">
        <v>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1178-2026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46031</v>
      </c>
      <c r="E1263" s="1" t="n">
        <v>46222</v>
      </c>
      <c r="F1263" t="inlineStr">
        <is>
          <t>DALARNAS LÄN</t>
        </is>
      </c>
      <c r="G1263" t="inlineStr">
        <is>
          <t>FALUN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46036</v>
      </c>
      <c r="E1264" s="1" t="n">
        <v>46222</v>
      </c>
      <c r="F1264" t="inlineStr">
        <is>
          <t>DALARNAS LÄN</t>
        </is>
      </c>
      <c r="G1264" t="inlineStr">
        <is>
          <t>FALUN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21970-2026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46153</v>
      </c>
      <c r="E1265" s="1" t="n">
        <v>46222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13812-2026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46098</v>
      </c>
      <c r="E1266" s="1" t="n">
        <v>46222</v>
      </c>
      <c r="F1266" t="inlineStr">
        <is>
          <t>DALARNAS LÄN</t>
        </is>
      </c>
      <c r="G1266" t="inlineStr">
        <is>
          <t>FALUN</t>
        </is>
      </c>
      <c r="I1266" t="n">
        <v>4.8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46200-2023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45196</v>
      </c>
      <c r="E1267" s="1" t="n">
        <v>46222</v>
      </c>
      <c r="F1267" t="inlineStr">
        <is>
          <t>DALARNAS LÄN</t>
        </is>
      </c>
      <c r="G1267" t="inlineStr">
        <is>
          <t>FALUN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19717-2026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46134</v>
      </c>
      <c r="E1268" s="1" t="n">
        <v>46222</v>
      </c>
      <c r="F1268" t="inlineStr">
        <is>
          <t>DALARNAS LÄN</t>
        </is>
      </c>
      <c r="G1268" t="inlineStr">
        <is>
          <t>FALUN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22174-2026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46222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22188-2026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46222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6.8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17888-2026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46122</v>
      </c>
      <c r="E1271" s="1" t="n">
        <v>46222</v>
      </c>
      <c r="F1271" t="inlineStr">
        <is>
          <t>DALARNAS LÄN</t>
        </is>
      </c>
      <c r="G1271" t="inlineStr">
        <is>
          <t>FALUN</t>
        </is>
      </c>
      <c r="I1271" t="n">
        <v>6.3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21972-2026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46153</v>
      </c>
      <c r="E1272" s="1" t="n">
        <v>46222</v>
      </c>
      <c r="F1272" t="inlineStr">
        <is>
          <t>DALARNAS LÄN</t>
        </is>
      </c>
      <c r="G1272" t="inlineStr">
        <is>
          <t>FALUN</t>
        </is>
      </c>
      <c r="I1272" t="n">
        <v>13.9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22299-2026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46154</v>
      </c>
      <c r="E1273" s="1" t="n">
        <v>46222</v>
      </c>
      <c r="F1273" t="inlineStr">
        <is>
          <t>DALARNAS LÄN</t>
        </is>
      </c>
      <c r="G1273" t="inlineStr">
        <is>
          <t>FALUN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22368-2026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46154</v>
      </c>
      <c r="E1274" s="1" t="n">
        <v>46222</v>
      </c>
      <c r="F1274" t="inlineStr">
        <is>
          <t>DALARNAS LÄN</t>
        </is>
      </c>
      <c r="G1274" t="inlineStr">
        <is>
          <t>FALUN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3651-2026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46043</v>
      </c>
      <c r="E1275" s="1" t="n">
        <v>46222</v>
      </c>
      <c r="F1275" t="inlineStr">
        <is>
          <t>DALARNAS LÄN</t>
        </is>
      </c>
      <c r="G1275" t="inlineStr">
        <is>
          <t>FALUN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22204-2026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46222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6953-2026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46222</v>
      </c>
      <c r="F1277" t="inlineStr">
        <is>
          <t>DALARNAS LÄN</t>
        </is>
      </c>
      <c r="G1277" t="inlineStr">
        <is>
          <t>FALUN</t>
        </is>
      </c>
      <c r="H1277" t="inlineStr">
        <is>
          <t>Allmännings- och besparingsskogar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13237-2026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46222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1467-2026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46033</v>
      </c>
      <c r="E1279" s="1" t="n">
        <v>46222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1959-2026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46035</v>
      </c>
      <c r="E1280" s="1" t="n">
        <v>46222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2511-2026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46222</v>
      </c>
      <c r="F1281" t="inlineStr">
        <is>
          <t>DALARNAS LÄN</t>
        </is>
      </c>
      <c r="G1281" t="inlineStr">
        <is>
          <t>FALUN</t>
        </is>
      </c>
      <c r="I1281" t="n">
        <v>23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45336</v>
      </c>
      <c r="E1282" s="1" t="n">
        <v>46222</v>
      </c>
      <c r="F1282" t="inlineStr">
        <is>
          <t>DALARNAS LÄN</t>
        </is>
      </c>
      <c r="G1282" t="inlineStr">
        <is>
          <t>FALUN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17549-2026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46120</v>
      </c>
      <c r="E1283" s="1" t="n">
        <v>46222</v>
      </c>
      <c r="F1283" t="inlineStr">
        <is>
          <t>DALARNAS LÄN</t>
        </is>
      </c>
      <c r="G1283" t="inlineStr">
        <is>
          <t>FALUN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6577-2026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46222</v>
      </c>
      <c r="F1284" t="inlineStr">
        <is>
          <t>DALARNAS LÄN</t>
        </is>
      </c>
      <c r="G1284" t="inlineStr">
        <is>
          <t>FALUN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28173-2026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46195</v>
      </c>
      <c r="E1285" s="1" t="n">
        <v>46222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56474-2024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45625</v>
      </c>
      <c r="E1286" s="1" t="n">
        <v>46222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4.7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22056-2026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46153</v>
      </c>
      <c r="E1287" s="1" t="n">
        <v>46222</v>
      </c>
      <c r="F1287" t="inlineStr">
        <is>
          <t>DALARNAS LÄN</t>
        </is>
      </c>
      <c r="G1287" t="inlineStr">
        <is>
          <t>FALUN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27969-2026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46195</v>
      </c>
      <c r="E1288" s="1" t="n">
        <v>46222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9841-2026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46072</v>
      </c>
      <c r="E1289" s="1" t="n">
        <v>46222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26770-2024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45470</v>
      </c>
      <c r="E1290" s="1" t="n">
        <v>46222</v>
      </c>
      <c r="F1290" t="inlineStr">
        <is>
          <t>DALARNAS LÄN</t>
        </is>
      </c>
      <c r="G1290" t="inlineStr">
        <is>
          <t>FALUN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22114-2026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46153</v>
      </c>
      <c r="E1291" s="1" t="n">
        <v>46222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22397-2026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46154</v>
      </c>
      <c r="E1292" s="1" t="n">
        <v>46222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14411-2026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46100</v>
      </c>
      <c r="E1293" s="1" t="n">
        <v>46222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2711-2026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46037</v>
      </c>
      <c r="E1294" s="1" t="n">
        <v>46222</v>
      </c>
      <c r="F1294" t="inlineStr">
        <is>
          <t>DALARNAS LÄN</t>
        </is>
      </c>
      <c r="G1294" t="inlineStr">
        <is>
          <t>FALUN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4614-2026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46048</v>
      </c>
      <c r="E1295" s="1" t="n">
        <v>46222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28085-2026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46195</v>
      </c>
      <c r="E1296" s="1" t="n">
        <v>46222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15714-2026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46107</v>
      </c>
      <c r="E1297" s="1" t="n">
        <v>46222</v>
      </c>
      <c r="F1297" t="inlineStr">
        <is>
          <t>DALARNAS LÄN</t>
        </is>
      </c>
      <c r="G1297" t="inlineStr">
        <is>
          <t>FALUN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9774-2026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46072</v>
      </c>
      <c r="E1298" s="1" t="n">
        <v>46222</v>
      </c>
      <c r="F1298" t="inlineStr">
        <is>
          <t>DALARNAS LÄN</t>
        </is>
      </c>
      <c r="G1298" t="inlineStr">
        <is>
          <t>FALUN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18024-2025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45761</v>
      </c>
      <c r="E1299" s="1" t="n">
        <v>46222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5.1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10864-2026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46222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22069-2026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46153</v>
      </c>
      <c r="E1301" s="1" t="n">
        <v>46222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28117-2026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46195</v>
      </c>
      <c r="E1302" s="1" t="n">
        <v>46222</v>
      </c>
      <c r="F1302" t="inlineStr">
        <is>
          <t>DALARNAS LÄN</t>
        </is>
      </c>
      <c r="G1302" t="inlineStr">
        <is>
          <t>FALUN</t>
        </is>
      </c>
      <c r="I1302" t="n">
        <v>10.2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22343-2026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46222</v>
      </c>
      <c r="F1303" t="inlineStr">
        <is>
          <t>DALARNAS LÄN</t>
        </is>
      </c>
      <c r="G1303" t="inlineStr">
        <is>
          <t>FALUN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22374-2026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46222</v>
      </c>
      <c r="F1304" t="inlineStr">
        <is>
          <t>DALARNAS LÄN</t>
        </is>
      </c>
      <c r="G1304" t="inlineStr">
        <is>
          <t>FALUN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22382-2026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46222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50266-2024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45600</v>
      </c>
      <c r="E1306" s="1" t="n">
        <v>46222</v>
      </c>
      <c r="F1306" t="inlineStr">
        <is>
          <t>DALARNAS LÄN</t>
        </is>
      </c>
      <c r="G1306" t="inlineStr">
        <is>
          <t>FALUN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22283-2026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46154</v>
      </c>
      <c r="E1307" s="1" t="n">
        <v>46222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22331-2026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46154</v>
      </c>
      <c r="E1308" s="1" t="n">
        <v>46222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14511-2026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46100</v>
      </c>
      <c r="E1309" s="1" t="n">
        <v>46222</v>
      </c>
      <c r="F1309" t="inlineStr">
        <is>
          <t>DALARNAS LÄN</t>
        </is>
      </c>
      <c r="G1309" t="inlineStr">
        <is>
          <t>FALUN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1436-2026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46032</v>
      </c>
      <c r="E1310" s="1" t="n">
        <v>46222</v>
      </c>
      <c r="F1310" t="inlineStr">
        <is>
          <t>DALARNAS LÄN</t>
        </is>
      </c>
      <c r="G1310" t="inlineStr">
        <is>
          <t>FALUN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22295-2026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46154</v>
      </c>
      <c r="E1311" s="1" t="n">
        <v>46222</v>
      </c>
      <c r="F1311" t="inlineStr">
        <is>
          <t>DALARNAS LÄN</t>
        </is>
      </c>
      <c r="G1311" t="inlineStr">
        <is>
          <t>FALUN</t>
        </is>
      </c>
      <c r="I1311" t="n">
        <v>4.2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22322-2026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46222</v>
      </c>
      <c r="F1312" t="inlineStr">
        <is>
          <t>DALARNAS LÄN</t>
        </is>
      </c>
      <c r="G1312" t="inlineStr">
        <is>
          <t>FALUN</t>
        </is>
      </c>
      <c r="I1312" t="n">
        <v>7.1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10268-2024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45365</v>
      </c>
      <c r="E1313" s="1" t="n">
        <v>46222</v>
      </c>
      <c r="F1313" t="inlineStr">
        <is>
          <t>DALARNAS LÄN</t>
        </is>
      </c>
      <c r="G1313" t="inlineStr">
        <is>
          <t>FALUN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28306-2026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46196</v>
      </c>
      <c r="E1314" s="1" t="n">
        <v>46222</v>
      </c>
      <c r="F1314" t="inlineStr">
        <is>
          <t>DALARNAS LÄN</t>
        </is>
      </c>
      <c r="G1314" t="inlineStr">
        <is>
          <t>FALUN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2028-2026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46035</v>
      </c>
      <c r="E1315" s="1" t="n">
        <v>46222</v>
      </c>
      <c r="F1315" t="inlineStr">
        <is>
          <t>DALARNAS LÄN</t>
        </is>
      </c>
      <c r="G1315" t="inlineStr">
        <is>
          <t>FALUN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28685-2026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46198</v>
      </c>
      <c r="E1316" s="1" t="n">
        <v>46222</v>
      </c>
      <c r="F1316" t="inlineStr">
        <is>
          <t>DALARNAS LÄN</t>
        </is>
      </c>
      <c r="G1316" t="inlineStr">
        <is>
          <t>FALUN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22694-2026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46156</v>
      </c>
      <c r="E1317" s="1" t="n">
        <v>46222</v>
      </c>
      <c r="F1317" t="inlineStr">
        <is>
          <t>DALARNAS LÄN</t>
        </is>
      </c>
      <c r="G1317" t="inlineStr">
        <is>
          <t>FALUN</t>
        </is>
      </c>
      <c r="I1317" t="n">
        <v>10.2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22658-2026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46222</v>
      </c>
      <c r="F1318" t="inlineStr">
        <is>
          <t>DALARNAS LÄN</t>
        </is>
      </c>
      <c r="G1318" t="inlineStr">
        <is>
          <t>FALUN</t>
        </is>
      </c>
      <c r="I1318" t="n">
        <v>10.2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28663-2026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46198</v>
      </c>
      <c r="E1319" s="1" t="n">
        <v>46222</v>
      </c>
      <c r="F1319" t="inlineStr">
        <is>
          <t>DALARNAS LÄN</t>
        </is>
      </c>
      <c r="G1319" t="inlineStr">
        <is>
          <t>FALUN</t>
        </is>
      </c>
      <c r="I1319" t="n">
        <v>7.5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62156-2023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45267</v>
      </c>
      <c r="E1320" s="1" t="n">
        <v>46222</v>
      </c>
      <c r="F1320" t="inlineStr">
        <is>
          <t>DALARNAS LÄN</t>
        </is>
      </c>
      <c r="G1320" t="inlineStr">
        <is>
          <t>FALUN</t>
        </is>
      </c>
      <c r="I1320" t="n">
        <v>0.1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22430-2026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46222</v>
      </c>
      <c r="F1321" t="inlineStr">
        <is>
          <t>DALARNAS LÄN</t>
        </is>
      </c>
      <c r="G1321" t="inlineStr">
        <is>
          <t>FALUN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54909-2024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45618</v>
      </c>
      <c r="E1322" s="1" t="n">
        <v>46222</v>
      </c>
      <c r="F1322" t="inlineStr">
        <is>
          <t>DALARNAS LÄN</t>
        </is>
      </c>
      <c r="G1322" t="inlineStr">
        <is>
          <t>FALUN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22477-2026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46155</v>
      </c>
      <c r="E1323" s="1" t="n">
        <v>46222</v>
      </c>
      <c r="F1323" t="inlineStr">
        <is>
          <t>DALARNAS LÄN</t>
        </is>
      </c>
      <c r="G1323" t="inlineStr">
        <is>
          <t>FALUN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4294-2025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45685</v>
      </c>
      <c r="E1324" s="1" t="n">
        <v>46222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22624-2026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46155</v>
      </c>
      <c r="E1325" s="1" t="n">
        <v>46222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39872-2022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44819</v>
      </c>
      <c r="E1326" s="1" t="n">
        <v>46222</v>
      </c>
      <c r="F1326" t="inlineStr">
        <is>
          <t>DALARNAS LÄN</t>
        </is>
      </c>
      <c r="G1326" t="inlineStr">
        <is>
          <t>FALUN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74258-2021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44558</v>
      </c>
      <c r="E1327" s="1" t="n">
        <v>46222</v>
      </c>
      <c r="F1327" t="inlineStr">
        <is>
          <t>DALARNAS LÄN</t>
        </is>
      </c>
      <c r="G1327" t="inlineStr">
        <is>
          <t>FALUN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10834-2023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44991</v>
      </c>
      <c r="E1328" s="1" t="n">
        <v>46222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22715-2026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46156</v>
      </c>
      <c r="E1329" s="1" t="n">
        <v>46222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22527-2026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46155</v>
      </c>
      <c r="E1330" s="1" t="n">
        <v>46222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6.7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39710-2021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44417</v>
      </c>
      <c r="E1331" s="1" t="n">
        <v>46222</v>
      </c>
      <c r="F1331" t="inlineStr">
        <is>
          <t>DALARNAS LÄN</t>
        </is>
      </c>
      <c r="G1331" t="inlineStr">
        <is>
          <t>FALUN</t>
        </is>
      </c>
      <c r="I1331" t="n">
        <v>0.1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17132-2026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46222</v>
      </c>
      <c r="F1332" t="inlineStr">
        <is>
          <t>DALARNAS LÄN</t>
        </is>
      </c>
      <c r="G1332" t="inlineStr">
        <is>
          <t>FALUN</t>
        </is>
      </c>
      <c r="I1332" t="n">
        <v>20.1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17213-2026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46119</v>
      </c>
      <c r="E1333" s="1" t="n">
        <v>46222</v>
      </c>
      <c r="F1333" t="inlineStr">
        <is>
          <t>DALARNAS LÄN</t>
        </is>
      </c>
      <c r="G1333" t="inlineStr">
        <is>
          <t>FALUN</t>
        </is>
      </c>
      <c r="I1333" t="n">
        <v>4.9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22608-2026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46222</v>
      </c>
      <c r="F1334" t="inlineStr">
        <is>
          <t>DALARNAS LÄN</t>
        </is>
      </c>
      <c r="G1334" t="inlineStr">
        <is>
          <t>FALUN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22614-2026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46155</v>
      </c>
      <c r="E1335" s="1" t="n">
        <v>46222</v>
      </c>
      <c r="F1335" t="inlineStr">
        <is>
          <t>DALARNAS LÄN</t>
        </is>
      </c>
      <c r="G1335" t="inlineStr">
        <is>
          <t>FALUN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22617-2026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46222</v>
      </c>
      <c r="F1336" t="inlineStr">
        <is>
          <t>DALARNAS LÄN</t>
        </is>
      </c>
      <c r="G1336" t="inlineStr">
        <is>
          <t>FALUN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22622-2026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46155</v>
      </c>
      <c r="E1337" s="1" t="n">
        <v>46222</v>
      </c>
      <c r="F1337" t="inlineStr">
        <is>
          <t>DALARNAS LÄN</t>
        </is>
      </c>
      <c r="G1337" t="inlineStr">
        <is>
          <t>FALUN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22634-2026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46155</v>
      </c>
      <c r="E1338" s="1" t="n">
        <v>46222</v>
      </c>
      <c r="F1338" t="inlineStr">
        <is>
          <t>DALARNAS LÄN</t>
        </is>
      </c>
      <c r="G1338" t="inlineStr">
        <is>
          <t>FALUN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16916-2025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45755</v>
      </c>
      <c r="E1339" s="1" t="n">
        <v>46222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33998-2024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45523</v>
      </c>
      <c r="E1340" s="1" t="n">
        <v>46222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22505-2026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46155</v>
      </c>
      <c r="E1341" s="1" t="n">
        <v>46222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22616-2026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46222</v>
      </c>
      <c r="F1342" t="inlineStr">
        <is>
          <t>DALARNAS LÄN</t>
        </is>
      </c>
      <c r="G1342" t="inlineStr">
        <is>
          <t>FALUN</t>
        </is>
      </c>
      <c r="I1342" t="n">
        <v>3.7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22696-2026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46156</v>
      </c>
      <c r="E1343" s="1" t="n">
        <v>46222</v>
      </c>
      <c r="F1343" t="inlineStr">
        <is>
          <t>DALARNAS LÄN</t>
        </is>
      </c>
      <c r="G1343" t="inlineStr">
        <is>
          <t>FALUN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22565-2026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46155</v>
      </c>
      <c r="E1344" s="1" t="n">
        <v>46222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28661-2026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46198</v>
      </c>
      <c r="E1345" s="1" t="n">
        <v>46222</v>
      </c>
      <c r="F1345" t="inlineStr">
        <is>
          <t>DALARNAS LÄN</t>
        </is>
      </c>
      <c r="G1345" t="inlineStr">
        <is>
          <t>FALUN</t>
        </is>
      </c>
      <c r="I1345" t="n">
        <v>5.6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42327-2024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45562</v>
      </c>
      <c r="E1346" s="1" t="n">
        <v>46222</v>
      </c>
      <c r="F1346" t="inlineStr">
        <is>
          <t>DALARNAS LÄN</t>
        </is>
      </c>
      <c r="G1346" t="inlineStr">
        <is>
          <t>FALUN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29295-2026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46202</v>
      </c>
      <c r="E1347" s="1" t="n">
        <v>46222</v>
      </c>
      <c r="F1347" t="inlineStr">
        <is>
          <t>DALARNAS LÄN</t>
        </is>
      </c>
      <c r="G1347" t="inlineStr">
        <is>
          <t>FALUN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22820-2026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46222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5680-2023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44960</v>
      </c>
      <c r="E1349" s="1" t="n">
        <v>46222</v>
      </c>
      <c r="F1349" t="inlineStr">
        <is>
          <t>DALARNAS LÄN</t>
        </is>
      </c>
      <c r="G1349" t="inlineStr">
        <is>
          <t>FALUN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22526-2026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46155</v>
      </c>
      <c r="E1350" s="1" t="n">
        <v>46222</v>
      </c>
      <c r="F1350" t="inlineStr">
        <is>
          <t>DALARNAS LÄN</t>
        </is>
      </c>
      <c r="G1350" t="inlineStr">
        <is>
          <t>FALUN</t>
        </is>
      </c>
      <c r="I1350" t="n">
        <v>4.5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35807-2022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44802</v>
      </c>
      <c r="E1351" s="1" t="n">
        <v>46222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18714-2026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46128</v>
      </c>
      <c r="E1352" s="1" t="n">
        <v>46222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21416-2026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46222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29217-2026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46202</v>
      </c>
      <c r="E1354" s="1" t="n">
        <v>46222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11712-2026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46084</v>
      </c>
      <c r="E1355" s="1" t="n">
        <v>46222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46222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20873-2026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46222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28911-2026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46199</v>
      </c>
      <c r="E1358" s="1" t="n">
        <v>46222</v>
      </c>
      <c r="F1358" t="inlineStr">
        <is>
          <t>DALARNAS LÄN</t>
        </is>
      </c>
      <c r="G1358" t="inlineStr">
        <is>
          <t>FALUN</t>
        </is>
      </c>
      <c r="I1358" t="n">
        <v>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22881-2026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46160</v>
      </c>
      <c r="E1359" s="1" t="n">
        <v>46222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22961-2026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46160</v>
      </c>
      <c r="E1360" s="1" t="n">
        <v>46222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46140</v>
      </c>
      <c r="E1361" s="1" t="n">
        <v>46222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29218-2026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46202</v>
      </c>
      <c r="E1362" s="1" t="n">
        <v>46222</v>
      </c>
      <c r="F1362" t="inlineStr">
        <is>
          <t>DALARNAS LÄN</t>
        </is>
      </c>
      <c r="G1362" t="inlineStr">
        <is>
          <t>FALUN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22907-2026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46160</v>
      </c>
      <c r="E1363" s="1" t="n">
        <v>46222</v>
      </c>
      <c r="F1363" t="inlineStr">
        <is>
          <t>DALARNAS LÄN</t>
        </is>
      </c>
      <c r="G1363" t="inlineStr">
        <is>
          <t>FALUN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22927-2026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46160</v>
      </c>
      <c r="E1364" s="1" t="n">
        <v>46222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22857-2026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46222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28884-2026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46199</v>
      </c>
      <c r="E1366" s="1" t="n">
        <v>46222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49642-2024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45596</v>
      </c>
      <c r="E1367" s="1" t="n">
        <v>46222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49663-2024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45596</v>
      </c>
      <c r="E1368" s="1" t="n">
        <v>46222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22967-2026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46160</v>
      </c>
      <c r="E1369" s="1" t="n">
        <v>46222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42292-2023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45180</v>
      </c>
      <c r="E1370" s="1" t="n">
        <v>46222</v>
      </c>
      <c r="F1370" t="inlineStr">
        <is>
          <t>DALARNAS LÄN</t>
        </is>
      </c>
      <c r="G1370" t="inlineStr">
        <is>
          <t>FALUN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23271-2026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46162</v>
      </c>
      <c r="E1371" s="1" t="n">
        <v>46222</v>
      </c>
      <c r="F1371" t="inlineStr">
        <is>
          <t>DALARNAS LÄN</t>
        </is>
      </c>
      <c r="G1371" t="inlineStr">
        <is>
          <t>FALUN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21584-2026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46149</v>
      </c>
      <c r="E1372" s="1" t="n">
        <v>46222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8.699999999999999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23282-2026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46162</v>
      </c>
      <c r="E1373" s="1" t="n">
        <v>46222</v>
      </c>
      <c r="F1373" t="inlineStr">
        <is>
          <t>DALARNAS LÄN</t>
        </is>
      </c>
      <c r="G1373" t="inlineStr">
        <is>
          <t>FALUN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13636-2023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45006</v>
      </c>
      <c r="E1374" s="1" t="n">
        <v>46222</v>
      </c>
      <c r="F1374" t="inlineStr">
        <is>
          <t>DALARNAS LÄN</t>
        </is>
      </c>
      <c r="G1374" t="inlineStr">
        <is>
          <t>FALUN</t>
        </is>
      </c>
      <c r="I1374" t="n">
        <v>4.2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15193-2022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44658</v>
      </c>
      <c r="E1375" s="1" t="n">
        <v>46222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23227-2026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46162</v>
      </c>
      <c r="E1376" s="1" t="n">
        <v>46222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23210-2026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46162</v>
      </c>
      <c r="E1377" s="1" t="n">
        <v>46222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23044-2026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46222</v>
      </c>
      <c r="F1378" t="inlineStr">
        <is>
          <t>DALARNAS LÄN</t>
        </is>
      </c>
      <c r="G1378" t="inlineStr">
        <is>
          <t>FALUN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43377-2022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44834</v>
      </c>
      <c r="E1379" s="1" t="n">
        <v>46222</v>
      </c>
      <c r="F1379" t="inlineStr">
        <is>
          <t>DALARNAS LÄN</t>
        </is>
      </c>
      <c r="G1379" t="inlineStr">
        <is>
          <t>FALUN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10523-2023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44987</v>
      </c>
      <c r="E1380" s="1" t="n">
        <v>46222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23156-2026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46161</v>
      </c>
      <c r="E1381" s="1" t="n">
        <v>46222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8.1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23158-2026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46161</v>
      </c>
      <c r="E1382" s="1" t="n">
        <v>46222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23159-2026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46161</v>
      </c>
      <c r="E1383" s="1" t="n">
        <v>46222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6747-2026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46056</v>
      </c>
      <c r="E1384" s="1" t="n">
        <v>46222</v>
      </c>
      <c r="F1384" t="inlineStr">
        <is>
          <t>DALARNAS LÄN</t>
        </is>
      </c>
      <c r="G1384" t="inlineStr">
        <is>
          <t>FALUN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28275-2023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45099</v>
      </c>
      <c r="E1385" s="1" t="n">
        <v>46222</v>
      </c>
      <c r="F1385" t="inlineStr">
        <is>
          <t>DALARNAS LÄN</t>
        </is>
      </c>
      <c r="G1385" t="inlineStr">
        <is>
          <t>FALUN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23660-2026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46164</v>
      </c>
      <c r="E1386" s="1" t="n">
        <v>46222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23696-2026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46164</v>
      </c>
      <c r="E1387" s="1" t="n">
        <v>46222</v>
      </c>
      <c r="F1387" t="inlineStr">
        <is>
          <t>DALARNAS LÄN</t>
        </is>
      </c>
      <c r="G1387" t="inlineStr">
        <is>
          <t>FALUN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51920-2024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45607</v>
      </c>
      <c r="E1388" s="1" t="n">
        <v>46222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23592-2026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46163</v>
      </c>
      <c r="E1389" s="1" t="n">
        <v>46222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23593-2026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46163</v>
      </c>
      <c r="E1390" s="1" t="n">
        <v>46222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23219-2026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46162</v>
      </c>
      <c r="E1391" s="1" t="n">
        <v>46222</v>
      </c>
      <c r="F1391" t="inlineStr">
        <is>
          <t>DALARNAS LÄN</t>
        </is>
      </c>
      <c r="G1391" t="inlineStr">
        <is>
          <t>FALUN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23600-2026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46163</v>
      </c>
      <c r="E1392" s="1" t="n">
        <v>46222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23475-2026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46163</v>
      </c>
      <c r="E1393" s="1" t="n">
        <v>46222</v>
      </c>
      <c r="F1393" t="inlineStr">
        <is>
          <t>DALARNAS LÄN</t>
        </is>
      </c>
      <c r="G1393" t="inlineStr">
        <is>
          <t>FALUN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23604-2026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46163</v>
      </c>
      <c r="E1394" s="1" t="n">
        <v>46222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23650-2026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46164</v>
      </c>
      <c r="E1395" s="1" t="n">
        <v>46222</v>
      </c>
      <c r="F1395" t="inlineStr">
        <is>
          <t>DALARNAS LÄN</t>
        </is>
      </c>
      <c r="G1395" t="inlineStr">
        <is>
          <t>FALUN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46164</v>
      </c>
      <c r="E1396" s="1" t="n">
        <v>46222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23694-2026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46164</v>
      </c>
      <c r="E1397" s="1" t="n">
        <v>46222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20350-2026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46139</v>
      </c>
      <c r="E1398" s="1" t="n">
        <v>46222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58.4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49645-2024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45596</v>
      </c>
      <c r="E1399" s="1" t="n">
        <v>46222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16929-2023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45033</v>
      </c>
      <c r="E1400" s="1" t="n">
        <v>46222</v>
      </c>
      <c r="F1400" t="inlineStr">
        <is>
          <t>DALARNAS LÄN</t>
        </is>
      </c>
      <c r="G1400" t="inlineStr">
        <is>
          <t>FALUN</t>
        </is>
      </c>
      <c r="I1400" t="n">
        <v>0.3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23211-2026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46222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27832-2026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46222</v>
      </c>
      <c r="F1402" t="inlineStr">
        <is>
          <t>DALARNAS LÄN</t>
        </is>
      </c>
      <c r="G1402" t="inlineStr">
        <is>
          <t>FALUN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42436-2024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45565</v>
      </c>
      <c r="E1403" s="1" t="n">
        <v>46222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52615-2021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44466</v>
      </c>
      <c r="E1404" s="1" t="n">
        <v>46222</v>
      </c>
      <c r="F1404" t="inlineStr">
        <is>
          <t>DALARNAS LÄN</t>
        </is>
      </c>
      <c r="G1404" t="inlineStr">
        <is>
          <t>FALUN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29884-2026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46205</v>
      </c>
      <c r="E1405" s="1" t="n">
        <v>46222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29997-2026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46222</v>
      </c>
      <c r="F1406" t="inlineStr">
        <is>
          <t>DALARNAS LÄN</t>
        </is>
      </c>
      <c r="G1406" t="inlineStr">
        <is>
          <t>FALUN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27834-2026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46222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31884-2023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45118</v>
      </c>
      <c r="E1408" s="1" t="n">
        <v>46222</v>
      </c>
      <c r="F1408" t="inlineStr">
        <is>
          <t>DALARNAS LÄN</t>
        </is>
      </c>
      <c r="G1408" t="inlineStr">
        <is>
          <t>FALUN</t>
        </is>
      </c>
      <c r="I1408" t="n">
        <v>3.5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49986-2024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45597</v>
      </c>
      <c r="E1409" s="1" t="n">
        <v>46222</v>
      </c>
      <c r="F1409" t="inlineStr">
        <is>
          <t>DALARNAS LÄN</t>
        </is>
      </c>
      <c r="G1409" t="inlineStr">
        <is>
          <t>FALUN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50184-2022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44865</v>
      </c>
      <c r="E1410" s="1" t="n">
        <v>46222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23706-2026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46222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23597-2026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46222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9.199999999999999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23611-2026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46222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23511-2026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46222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23521-2026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46222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18251-2026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46126</v>
      </c>
      <c r="E1416" s="1" t="n">
        <v>46222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24169-2026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46168</v>
      </c>
      <c r="E1417" s="1" t="n">
        <v>46222</v>
      </c>
      <c r="F1417" t="inlineStr">
        <is>
          <t>DALARNAS LÄN</t>
        </is>
      </c>
      <c r="G1417" t="inlineStr">
        <is>
          <t>FALUN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24148-2026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46168</v>
      </c>
      <c r="E1418" s="1" t="n">
        <v>46222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33534-2023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45131</v>
      </c>
      <c r="E1419" s="1" t="n">
        <v>46222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33539-2023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45131</v>
      </c>
      <c r="E1420" s="1" t="n">
        <v>46222</v>
      </c>
      <c r="F1420" t="inlineStr">
        <is>
          <t>DALARNAS LÄN</t>
        </is>
      </c>
      <c r="G1420" t="inlineStr">
        <is>
          <t>FALUN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33543-2023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45131</v>
      </c>
      <c r="E1421" s="1" t="n">
        <v>46222</v>
      </c>
      <c r="F1421" t="inlineStr">
        <is>
          <t>DALARNAS LÄN</t>
        </is>
      </c>
      <c r="G1421" t="inlineStr">
        <is>
          <t>FALUN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30463-2026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46209</v>
      </c>
      <c r="E1422" s="1" t="n">
        <v>46222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24016-2026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46167</v>
      </c>
      <c r="E1423" s="1" t="n">
        <v>46222</v>
      </c>
      <c r="F1423" t="inlineStr">
        <is>
          <t>DALARNAS LÄN</t>
        </is>
      </c>
      <c r="G1423" t="inlineStr">
        <is>
          <t>FALUN</t>
        </is>
      </c>
      <c r="I1423" t="n">
        <v>9.9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24004-2026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46222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9.5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24107-2026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46222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53540-2022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44879</v>
      </c>
      <c r="E1426" s="1" t="n">
        <v>46222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58508-2022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44902</v>
      </c>
      <c r="E1427" s="1" t="n">
        <v>46222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41370-2025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45900</v>
      </c>
      <c r="E1428" s="1" t="n">
        <v>46222</v>
      </c>
      <c r="F1428" t="inlineStr">
        <is>
          <t>DALARNAS LÄN</t>
        </is>
      </c>
      <c r="G1428" t="inlineStr">
        <is>
          <t>FALUN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24186-2026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46222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46222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24192-2026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46168</v>
      </c>
      <c r="E1431" s="1" t="n">
        <v>46222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46036</v>
      </c>
      <c r="E1432" s="1" t="n">
        <v>46222</v>
      </c>
      <c r="F1432" t="inlineStr">
        <is>
          <t>DALARNAS LÄN</t>
        </is>
      </c>
      <c r="G1432" t="inlineStr">
        <is>
          <t>FALUN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28817-2026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46222</v>
      </c>
      <c r="F1433" t="inlineStr">
        <is>
          <t>DALARNAS LÄN</t>
        </is>
      </c>
      <c r="G1433" t="inlineStr">
        <is>
          <t>FALUN</t>
        </is>
      </c>
      <c r="H1433" t="inlineStr">
        <is>
          <t>Allmännings- och besparingsskogar</t>
        </is>
      </c>
      <c r="I1433" t="n">
        <v>14.2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24226-2026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46222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23842-2026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46167</v>
      </c>
      <c r="E1435" s="1" t="n">
        <v>46222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24694-2023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45084</v>
      </c>
      <c r="E1436" s="1" t="n">
        <v>46222</v>
      </c>
      <c r="F1436" t="inlineStr">
        <is>
          <t>DALARNAS LÄN</t>
        </is>
      </c>
      <c r="G1436" t="inlineStr">
        <is>
          <t>FALUN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24020-2026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46167</v>
      </c>
      <c r="E1437" s="1" t="n">
        <v>46222</v>
      </c>
      <c r="F1437" t="inlineStr">
        <is>
          <t>DALARNAS LÄN</t>
        </is>
      </c>
      <c r="G1437" t="inlineStr">
        <is>
          <t>FALUN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24095-2026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46222</v>
      </c>
      <c r="F1438" t="inlineStr">
        <is>
          <t>DALARNAS LÄN</t>
        </is>
      </c>
      <c r="G1438" t="inlineStr">
        <is>
          <t>FALUN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2380-2025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45673</v>
      </c>
      <c r="E1439" s="1" t="n">
        <v>46222</v>
      </c>
      <c r="F1439" t="inlineStr">
        <is>
          <t>DALARNAS LÄN</t>
        </is>
      </c>
      <c r="G1439" t="inlineStr">
        <is>
          <t>FALUN</t>
        </is>
      </c>
      <c r="I1439" t="n">
        <v>8.4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10482-2026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46077</v>
      </c>
      <c r="E1440" s="1" t="n">
        <v>46222</v>
      </c>
      <c r="F1440" t="inlineStr">
        <is>
          <t>DALARNAS LÄN</t>
        </is>
      </c>
      <c r="G1440" t="inlineStr">
        <is>
          <t>FALUN</t>
        </is>
      </c>
      <c r="H1440" t="inlineStr">
        <is>
          <t>Kyrkan</t>
        </is>
      </c>
      <c r="I1440" t="n">
        <v>5.1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35917-2023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45148</v>
      </c>
      <c r="E1441" s="1" t="n">
        <v>46222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3.2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24130-2026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46168</v>
      </c>
      <c r="E1442" s="1" t="n">
        <v>46222</v>
      </c>
      <c r="F1442" t="inlineStr">
        <is>
          <t>DALARNAS LÄN</t>
        </is>
      </c>
      <c r="G1442" t="inlineStr">
        <is>
          <t>FALUN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24046-2026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46168</v>
      </c>
      <c r="E1443" s="1" t="n">
        <v>46222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12781-2026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46091</v>
      </c>
      <c r="E1444" s="1" t="n">
        <v>46222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24023-2026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46167</v>
      </c>
      <c r="E1445" s="1" t="n">
        <v>46222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24025-2026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46167</v>
      </c>
      <c r="E1446" s="1" t="n">
        <v>46222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46222</v>
      </c>
      <c r="F1447" t="inlineStr">
        <is>
          <t>DALARNAS LÄN</t>
        </is>
      </c>
      <c r="G1447" t="inlineStr">
        <is>
          <t>FALUN</t>
        </is>
      </c>
      <c r="I1447" t="n">
        <v>3.6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24268-2026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46169</v>
      </c>
      <c r="E1448" s="1" t="n">
        <v>46222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44315-2023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45188</v>
      </c>
      <c r="E1449" s="1" t="n">
        <v>46222</v>
      </c>
      <c r="F1449" t="inlineStr">
        <is>
          <t>DALARNAS LÄN</t>
        </is>
      </c>
      <c r="G1449" t="inlineStr">
        <is>
          <t>FALUN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11724-2026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46084</v>
      </c>
      <c r="E1450" s="1" t="n">
        <v>46222</v>
      </c>
      <c r="F1450" t="inlineStr">
        <is>
          <t>DALARNAS LÄN</t>
        </is>
      </c>
      <c r="G1450" t="inlineStr">
        <is>
          <t>FALUN</t>
        </is>
      </c>
      <c r="I1450" t="n">
        <v>4.2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39914-2024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45553</v>
      </c>
      <c r="E1451" s="1" t="n">
        <v>46222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4.1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24364-2026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46169</v>
      </c>
      <c r="E1452" s="1" t="n">
        <v>46222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51.1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24050-2026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46168</v>
      </c>
      <c r="E1453" s="1" t="n">
        <v>46222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15121-2025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45744</v>
      </c>
      <c r="E1454" s="1" t="n">
        <v>46222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17883-2025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45758</v>
      </c>
      <c r="E1455" s="1" t="n">
        <v>46222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4020-2026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46044</v>
      </c>
      <c r="E1456" s="1" t="n">
        <v>46222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21.5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46222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24358-2026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46169</v>
      </c>
      <c r="E1458" s="1" t="n">
        <v>46222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24316-2026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46169</v>
      </c>
      <c r="E1459" s="1" t="n">
        <v>46222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5225-2026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46222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2556-2023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44943</v>
      </c>
      <c r="E1461" s="1" t="n">
        <v>46222</v>
      </c>
      <c r="F1461" t="inlineStr">
        <is>
          <t>DALARNAS LÄN</t>
        </is>
      </c>
      <c r="G1461" t="inlineStr">
        <is>
          <t>FALUN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24507-2026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46170</v>
      </c>
      <c r="E1462" s="1" t="n">
        <v>46222</v>
      </c>
      <c r="F1462" t="inlineStr">
        <is>
          <t>DALARNAS LÄN</t>
        </is>
      </c>
      <c r="G1462" t="inlineStr">
        <is>
          <t>FALUN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746-2025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45665</v>
      </c>
      <c r="E1463" s="1" t="n">
        <v>46222</v>
      </c>
      <c r="F1463" t="inlineStr">
        <is>
          <t>DALARNAS LÄN</t>
        </is>
      </c>
      <c r="G1463" t="inlineStr">
        <is>
          <t>FALUN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7755-2024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46222</v>
      </c>
      <c r="F1464" t="inlineStr">
        <is>
          <t>DALARNAS LÄN</t>
        </is>
      </c>
      <c r="G1464" t="inlineStr">
        <is>
          <t>FALUN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24589-2026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46170</v>
      </c>
      <c r="E1465" s="1" t="n">
        <v>46222</v>
      </c>
      <c r="F1465" t="inlineStr">
        <is>
          <t>DALARNAS LÄN</t>
        </is>
      </c>
      <c r="G1465" t="inlineStr">
        <is>
          <t>FALUN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44593-2023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45189</v>
      </c>
      <c r="E1466" s="1" t="n">
        <v>46222</v>
      </c>
      <c r="F1466" t="inlineStr">
        <is>
          <t>DALARNAS LÄN</t>
        </is>
      </c>
      <c r="G1466" t="inlineStr">
        <is>
          <t>FALUN</t>
        </is>
      </c>
      <c r="I1466" t="n">
        <v>0.2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23217-2026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46222</v>
      </c>
      <c r="F1467" t="inlineStr">
        <is>
          <t>DALARNAS LÄN</t>
        </is>
      </c>
      <c r="G1467" t="inlineStr">
        <is>
          <t>FALUN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31095-2026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46216</v>
      </c>
      <c r="E1468" s="1" t="n">
        <v>46222</v>
      </c>
      <c r="F1468" t="inlineStr">
        <is>
          <t>DALARNAS LÄN</t>
        </is>
      </c>
      <c r="G1468" t="inlineStr">
        <is>
          <t>FALUN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46871-2023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45200</v>
      </c>
      <c r="E1469" s="1" t="n">
        <v>46222</v>
      </c>
      <c r="F1469" t="inlineStr">
        <is>
          <t>DALARNAS LÄN</t>
        </is>
      </c>
      <c r="G1469" t="inlineStr">
        <is>
          <t>FALUN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24779-2026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46222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19967-2025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45771</v>
      </c>
      <c r="E1471" s="1" t="n">
        <v>46222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24766-2026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46222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63842-2023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46222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35941-2023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45148</v>
      </c>
      <c r="E1474" s="1" t="n">
        <v>46222</v>
      </c>
      <c r="F1474" t="inlineStr">
        <is>
          <t>DALARNAS LÄN</t>
        </is>
      </c>
      <c r="G1474" t="inlineStr">
        <is>
          <t>FALUN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24789-2026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46171</v>
      </c>
      <c r="E1475" s="1" t="n">
        <v>46222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24797-2026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46171</v>
      </c>
      <c r="E1476" s="1" t="n">
        <v>46222</v>
      </c>
      <c r="F1476" t="inlineStr">
        <is>
          <t>DALARNAS LÄN</t>
        </is>
      </c>
      <c r="G1476" t="inlineStr">
        <is>
          <t>FALUN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3185-2026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46222</v>
      </c>
      <c r="F1477" t="inlineStr">
        <is>
          <t>DALARNAS LÄN</t>
        </is>
      </c>
      <c r="G1477" t="inlineStr">
        <is>
          <t>FALUN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14688-2023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45014</v>
      </c>
      <c r="E1478" s="1" t="n">
        <v>46222</v>
      </c>
      <c r="F1478" t="inlineStr">
        <is>
          <t>DALARNAS LÄN</t>
        </is>
      </c>
      <c r="G1478" t="inlineStr">
        <is>
          <t>FALUN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24653-2026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46171</v>
      </c>
      <c r="E1479" s="1" t="n">
        <v>46222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24662-2026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46171</v>
      </c>
      <c r="E1480" s="1" t="n">
        <v>46222</v>
      </c>
      <c r="F1480" t="inlineStr">
        <is>
          <t>DALARNAS LÄN</t>
        </is>
      </c>
      <c r="G1480" t="inlineStr">
        <is>
          <t>FALUN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24671-2026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46222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4.3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24675-2026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46222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26615-2022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44739</v>
      </c>
      <c r="E1483" s="1" t="n">
        <v>46222</v>
      </c>
      <c r="F1483" t="inlineStr">
        <is>
          <t>DALARNAS LÄN</t>
        </is>
      </c>
      <c r="G1483" t="inlineStr">
        <is>
          <t>FALUN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18308-2025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45762</v>
      </c>
      <c r="E1484" s="1" t="n">
        <v>46222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24978-2026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46174</v>
      </c>
      <c r="E1485" s="1" t="n">
        <v>46222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25217-2026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46175</v>
      </c>
      <c r="E1486" s="1" t="n">
        <v>46222</v>
      </c>
      <c r="F1486" t="inlineStr">
        <is>
          <t>DALARNAS LÄN</t>
        </is>
      </c>
      <c r="G1486" t="inlineStr">
        <is>
          <t>FALUN</t>
        </is>
      </c>
      <c r="I1486" t="n">
        <v>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27998-2026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46195</v>
      </c>
      <c r="E1487" s="1" t="n">
        <v>46222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7.2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25032-2026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46174</v>
      </c>
      <c r="E1488" s="1" t="n">
        <v>46222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13565-2024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45389</v>
      </c>
      <c r="E1489" s="1" t="n">
        <v>46222</v>
      </c>
      <c r="F1489" t="inlineStr">
        <is>
          <t>DALARNAS LÄN</t>
        </is>
      </c>
      <c r="G1489" t="inlineStr">
        <is>
          <t>FALUN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58713-2024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45635</v>
      </c>
      <c r="E1490" s="1" t="n">
        <v>46222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58819-2023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45252</v>
      </c>
      <c r="E1491" s="1" t="n">
        <v>46222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40426-2022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44823</v>
      </c>
      <c r="E1492" s="1" t="n">
        <v>46222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43222-2023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45183</v>
      </c>
      <c r="E1493" s="1" t="n">
        <v>46222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47767-2024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45588</v>
      </c>
      <c r="E1494" s="1" t="n">
        <v>46222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50757-2024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45602</v>
      </c>
      <c r="E1495" s="1" t="n">
        <v>46222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24935-2026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46174</v>
      </c>
      <c r="E1496" s="1" t="n">
        <v>46222</v>
      </c>
      <c r="F1496" t="inlineStr">
        <is>
          <t>DALARNAS LÄN</t>
        </is>
      </c>
      <c r="G1496" t="inlineStr">
        <is>
          <t>FALUN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24934-2026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46174</v>
      </c>
      <c r="E1497" s="1" t="n">
        <v>46222</v>
      </c>
      <c r="F1497" t="inlineStr">
        <is>
          <t>DALARNAS LÄN</t>
        </is>
      </c>
      <c r="G1497" t="inlineStr">
        <is>
          <t>FALUN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46031</v>
      </c>
      <c r="E1498" s="1" t="n">
        <v>46222</v>
      </c>
      <c r="F1498" t="inlineStr">
        <is>
          <t>DALARNAS LÄN</t>
        </is>
      </c>
      <c r="G1498" t="inlineStr">
        <is>
          <t>FALUN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25550-2026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46177</v>
      </c>
      <c r="E1499" s="1" t="n">
        <v>46222</v>
      </c>
      <c r="F1499" t="inlineStr">
        <is>
          <t>DALARNAS LÄN</t>
        </is>
      </c>
      <c r="G1499" t="inlineStr">
        <is>
          <t>FALUN</t>
        </is>
      </c>
      <c r="I1499" t="n">
        <v>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5397-2024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45331</v>
      </c>
      <c r="E1500" s="1" t="n">
        <v>46222</v>
      </c>
      <c r="F1500" t="inlineStr">
        <is>
          <t>DALARNAS LÄN</t>
        </is>
      </c>
      <c r="G1500" t="inlineStr">
        <is>
          <t>FALUN</t>
        </is>
      </c>
      <c r="I1500" t="n">
        <v>7.8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25563-2026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46177</v>
      </c>
      <c r="E1501" s="1" t="n">
        <v>46222</v>
      </c>
      <c r="F1501" t="inlineStr">
        <is>
          <t>DALARNAS LÄN</t>
        </is>
      </c>
      <c r="G1501" t="inlineStr">
        <is>
          <t>FALUN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25517-2026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46177</v>
      </c>
      <c r="E1502" s="1" t="n">
        <v>46222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25668-2026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46178</v>
      </c>
      <c r="E1503" s="1" t="n">
        <v>46222</v>
      </c>
      <c r="F1503" t="inlineStr">
        <is>
          <t>DALARNAS LÄN</t>
        </is>
      </c>
      <c r="G1503" t="inlineStr">
        <is>
          <t>FALUN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46177</v>
      </c>
      <c r="E1504" s="1" t="n">
        <v>46222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25689-2026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46178</v>
      </c>
      <c r="E1505" s="1" t="n">
        <v>46222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25811-2026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46222</v>
      </c>
      <c r="F1506" t="inlineStr">
        <is>
          <t>DALARNAS LÄN</t>
        </is>
      </c>
      <c r="G1506" t="inlineStr">
        <is>
          <t>FALUN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25739-2026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46222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25809-2026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46178</v>
      </c>
      <c r="E1508" s="1" t="n">
        <v>46222</v>
      </c>
      <c r="F1508" t="inlineStr">
        <is>
          <t>DALARNAS LÄN</t>
        </is>
      </c>
      <c r="G1508" t="inlineStr">
        <is>
          <t>FALUN</t>
        </is>
      </c>
      <c r="I1508" t="n">
        <v>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31348-2026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46219</v>
      </c>
      <c r="E1509" s="1" t="n">
        <v>46222</v>
      </c>
      <c r="F1509" t="inlineStr">
        <is>
          <t>DALARNAS LÄN</t>
        </is>
      </c>
      <c r="G1509" t="inlineStr">
        <is>
          <t>FALUN</t>
        </is>
      </c>
      <c r="I1509" t="n">
        <v>4.7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31265-2026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46218</v>
      </c>
      <c r="E1510" s="1" t="n">
        <v>46222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25823-2026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46178</v>
      </c>
      <c r="E1511" s="1" t="n">
        <v>46222</v>
      </c>
      <c r="F1511" t="inlineStr">
        <is>
          <t>DALARNAS LÄN</t>
        </is>
      </c>
      <c r="G1511" t="inlineStr">
        <is>
          <t>FALUN</t>
        </is>
      </c>
      <c r="I1511" t="n">
        <v>3.3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25799-2026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46178</v>
      </c>
      <c r="E1512" s="1" t="n">
        <v>46222</v>
      </c>
      <c r="F1512" t="inlineStr">
        <is>
          <t>DALARNAS LÄN</t>
        </is>
      </c>
      <c r="G1512" t="inlineStr">
        <is>
          <t>FALUN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25667-2026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46178</v>
      </c>
      <c r="E1513" s="1" t="n">
        <v>46222</v>
      </c>
      <c r="F1513" t="inlineStr">
        <is>
          <t>DALARNAS LÄN</t>
        </is>
      </c>
      <c r="G1513" t="inlineStr">
        <is>
          <t>FALUN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25601-2026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46177</v>
      </c>
      <c r="E1514" s="1" t="n">
        <v>46222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11.8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25722-2023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45090</v>
      </c>
      <c r="E1515" s="1" t="n">
        <v>46222</v>
      </c>
      <c r="F1515" t="inlineStr">
        <is>
          <t>DALARNAS LÄN</t>
        </is>
      </c>
      <c r="G1515" t="inlineStr">
        <is>
          <t>FALUN</t>
        </is>
      </c>
      <c r="I1515" t="n">
        <v>11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25344-2026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46176</v>
      </c>
      <c r="E1516" s="1" t="n">
        <v>46222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46222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25755-2026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46178</v>
      </c>
      <c r="E1518" s="1" t="n">
        <v>46222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25757-2026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46222</v>
      </c>
      <c r="F1519" t="inlineStr">
        <is>
          <t>DALARNAS LÄN</t>
        </is>
      </c>
      <c r="G1519" t="inlineStr">
        <is>
          <t>FALUN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19194-2023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45048</v>
      </c>
      <c r="E1520" s="1" t="n">
        <v>46222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50772-2024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45602</v>
      </c>
      <c r="E1521" s="1" t="n">
        <v>46222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25358-2026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46176</v>
      </c>
      <c r="E1522" s="1" t="n">
        <v>46222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25810-2026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46178</v>
      </c>
      <c r="E1523" s="1" t="n">
        <v>46222</v>
      </c>
      <c r="F1523" t="inlineStr">
        <is>
          <t>DALARNAS LÄN</t>
        </is>
      </c>
      <c r="G1523" t="inlineStr">
        <is>
          <t>FALUN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25673-2026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46178</v>
      </c>
      <c r="E1524" s="1" t="n">
        <v>46222</v>
      </c>
      <c r="F1524" t="inlineStr">
        <is>
          <t>DALARNAS LÄN</t>
        </is>
      </c>
      <c r="G1524" t="inlineStr">
        <is>
          <t>FALUN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31271-2026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46218</v>
      </c>
      <c r="E1525" s="1" t="n">
        <v>46222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25893-2026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46178</v>
      </c>
      <c r="E1526" s="1" t="n">
        <v>46222</v>
      </c>
      <c r="F1526" t="inlineStr">
        <is>
          <t>DALARNAS LÄN</t>
        </is>
      </c>
      <c r="G1526" t="inlineStr">
        <is>
          <t>FALUN</t>
        </is>
      </c>
      <c r="I1526" t="n">
        <v>6.7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22646-2024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45447</v>
      </c>
      <c r="E1527" s="1" t="n">
        <v>46222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31383-2026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46220</v>
      </c>
      <c r="E1528" s="1" t="n">
        <v>46222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46222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25705-2026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46178</v>
      </c>
      <c r="E1530" s="1" t="n">
        <v>46222</v>
      </c>
      <c r="F1530" t="inlineStr">
        <is>
          <t>DALARNAS LÄN</t>
        </is>
      </c>
      <c r="G1530" t="inlineStr">
        <is>
          <t>FALUN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25307-2026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46176</v>
      </c>
      <c r="E1531" s="1" t="n">
        <v>46222</v>
      </c>
      <c r="F1531" t="inlineStr">
        <is>
          <t>DALARNAS LÄN</t>
        </is>
      </c>
      <c r="G1531" t="inlineStr">
        <is>
          <t>FALUN</t>
        </is>
      </c>
      <c r="H1531" t="inlineStr">
        <is>
          <t>Sveaskog</t>
        </is>
      </c>
      <c r="I1531" t="n">
        <v>4.1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8823-2023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44978</v>
      </c>
      <c r="E1532" s="1" t="n">
        <v>46222</v>
      </c>
      <c r="F1532" t="inlineStr">
        <is>
          <t>DALARNAS LÄN</t>
        </is>
      </c>
      <c r="G1532" t="inlineStr">
        <is>
          <t>FALUN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47631-2023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46222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49683-2024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45596</v>
      </c>
      <c r="E1534" s="1" t="n">
        <v>46222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3278-2024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45317</v>
      </c>
      <c r="E1535" s="1" t="n">
        <v>46222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33931-2024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45523</v>
      </c>
      <c r="E1536" s="1" t="n">
        <v>46222</v>
      </c>
      <c r="F1536" t="inlineStr">
        <is>
          <t>DALARNAS LÄN</t>
        </is>
      </c>
      <c r="G1536" t="inlineStr">
        <is>
          <t>FALUN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58322-2023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45250</v>
      </c>
      <c r="E1537" s="1" t="n">
        <v>46222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30537-2024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45492</v>
      </c>
      <c r="E1538" s="1" t="n">
        <v>46222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5738-2025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45694</v>
      </c>
      <c r="E1539" s="1" t="n">
        <v>46222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4834-2024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45329</v>
      </c>
      <c r="E1540" s="1" t="n">
        <v>46222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22941-2023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45072</v>
      </c>
      <c r="E1541" s="1" t="n">
        <v>46222</v>
      </c>
      <c r="F1541" t="inlineStr">
        <is>
          <t>DALARNAS LÄN</t>
        </is>
      </c>
      <c r="G1541" t="inlineStr">
        <is>
          <t>FALUN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32571-2024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45513</v>
      </c>
      <c r="E1542" s="1" t="n">
        <v>46222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13237-2024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45386</v>
      </c>
      <c r="E1543" s="1" t="n">
        <v>46222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20684-2025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45776</v>
      </c>
      <c r="E1544" s="1" t="n">
        <v>46222</v>
      </c>
      <c r="F1544" t="inlineStr">
        <is>
          <t>DALARNAS LÄN</t>
        </is>
      </c>
      <c r="G1544" t="inlineStr">
        <is>
          <t>FALUN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20680-2025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45776</v>
      </c>
      <c r="E1545" s="1" t="n">
        <v>46222</v>
      </c>
      <c r="F1545" t="inlineStr">
        <is>
          <t>DALARNAS LÄN</t>
        </is>
      </c>
      <c r="G1545" t="inlineStr">
        <is>
          <t>FALUN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20954-2025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45777</v>
      </c>
      <c r="E1546" s="1" t="n">
        <v>46222</v>
      </c>
      <c r="F1546" t="inlineStr">
        <is>
          <t>DALARNAS LÄN</t>
        </is>
      </c>
      <c r="G1546" t="inlineStr">
        <is>
          <t>FALUN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29880-2024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45486</v>
      </c>
      <c r="E1547" s="1" t="n">
        <v>46222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44183-2024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45572</v>
      </c>
      <c r="E1548" s="1" t="n">
        <v>46222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15790-2024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45404</v>
      </c>
      <c r="E1549" s="1" t="n">
        <v>46222</v>
      </c>
      <c r="F1549" t="inlineStr">
        <is>
          <t>DALARNAS LÄN</t>
        </is>
      </c>
      <c r="G1549" t="inlineStr">
        <is>
          <t>FALUN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43755-2023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45187</v>
      </c>
      <c r="E1550" s="1" t="n">
        <v>46222</v>
      </c>
      <c r="F1550" t="inlineStr">
        <is>
          <t>DALARNAS LÄN</t>
        </is>
      </c>
      <c r="G1550" t="inlineStr">
        <is>
          <t>FALUN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26773-2024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45470</v>
      </c>
      <c r="E1551" s="1" t="n">
        <v>46222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35890-2024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46222</v>
      </c>
      <c r="F1552" t="inlineStr">
        <is>
          <t>DALARNAS LÄN</t>
        </is>
      </c>
      <c r="G1552" t="inlineStr">
        <is>
          <t>FALUN</t>
        </is>
      </c>
      <c r="I1552" t="n">
        <v>2.9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28724-2024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45478</v>
      </c>
      <c r="E1553" s="1" t="n">
        <v>46222</v>
      </c>
      <c r="F1553" t="inlineStr">
        <is>
          <t>DALARNAS LÄN</t>
        </is>
      </c>
      <c r="G1553" t="inlineStr">
        <is>
          <t>FALUN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35894-2024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45533</v>
      </c>
      <c r="E1554" s="1" t="n">
        <v>46222</v>
      </c>
      <c r="F1554" t="inlineStr">
        <is>
          <t>DALARNAS LÄN</t>
        </is>
      </c>
      <c r="G1554" t="inlineStr">
        <is>
          <t>FALUN</t>
        </is>
      </c>
      <c r="I1554" t="n">
        <v>8.800000000000001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28123-2024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45476</v>
      </c>
      <c r="E1555" s="1" t="n">
        <v>46222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24625-2024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45460</v>
      </c>
      <c r="E1556" s="1" t="n">
        <v>46222</v>
      </c>
      <c r="F1556" t="inlineStr">
        <is>
          <t>DALARNAS LÄN</t>
        </is>
      </c>
      <c r="G1556" t="inlineStr">
        <is>
          <t>FALUN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11109-2024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45371</v>
      </c>
      <c r="E1557" s="1" t="n">
        <v>46222</v>
      </c>
      <c r="F1557" t="inlineStr">
        <is>
          <t>DALARNAS LÄN</t>
        </is>
      </c>
      <c r="G1557" t="inlineStr">
        <is>
          <t>FALUN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35530-2024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45531</v>
      </c>
      <c r="E1558" s="1" t="n">
        <v>46222</v>
      </c>
      <c r="F1558" t="inlineStr">
        <is>
          <t>DALARNAS LÄN</t>
        </is>
      </c>
      <c r="G1558" t="inlineStr">
        <is>
          <t>FALUN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22097-2025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45785</v>
      </c>
      <c r="E1559" s="1" t="n">
        <v>46222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7902-2024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45350</v>
      </c>
      <c r="E1560" s="1" t="n">
        <v>46222</v>
      </c>
      <c r="F1560" t="inlineStr">
        <is>
          <t>DALARNAS LÄN</t>
        </is>
      </c>
      <c r="G1560" t="inlineStr">
        <is>
          <t>FALUN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5169-2024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45330</v>
      </c>
      <c r="E1561" s="1" t="n">
        <v>46222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50512-2024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45601</v>
      </c>
      <c r="E1562" s="1" t="n">
        <v>46222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5818-2024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45335</v>
      </c>
      <c r="E1563" s="1" t="n">
        <v>46222</v>
      </c>
      <c r="F1563" t="inlineStr">
        <is>
          <t>DALARNAS LÄN</t>
        </is>
      </c>
      <c r="G1563" t="inlineStr">
        <is>
          <t>FALUN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22782-2024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45448</v>
      </c>
      <c r="E1564" s="1" t="n">
        <v>46222</v>
      </c>
      <c r="F1564" t="inlineStr">
        <is>
          <t>DALARNAS LÄN</t>
        </is>
      </c>
      <c r="G1564" t="inlineStr">
        <is>
          <t>FALUN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38216-2024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45545</v>
      </c>
      <c r="E1565" s="1" t="n">
        <v>46222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9.699999999999999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36397-2024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45535</v>
      </c>
      <c r="E1566" s="1" t="n">
        <v>46222</v>
      </c>
      <c r="F1566" t="inlineStr">
        <is>
          <t>DALARNAS LÄN</t>
        </is>
      </c>
      <c r="G1566" t="inlineStr">
        <is>
          <t>FALUN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23711-2025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45793</v>
      </c>
      <c r="E1567" s="1" t="n">
        <v>46222</v>
      </c>
      <c r="F1567" t="inlineStr">
        <is>
          <t>DALARNAS LÄN</t>
        </is>
      </c>
      <c r="G1567" t="inlineStr">
        <is>
          <t>FALUN</t>
        </is>
      </c>
      <c r="I1567" t="n">
        <v>5.3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35070-2024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45527</v>
      </c>
      <c r="E1568" s="1" t="n">
        <v>46222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26883-2022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44740</v>
      </c>
      <c r="E1569" s="1" t="n">
        <v>46222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51130-2024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45603</v>
      </c>
      <c r="E1570" s="1" t="n">
        <v>46222</v>
      </c>
      <c r="F1570" t="inlineStr">
        <is>
          <t>DALARNAS LÄN</t>
        </is>
      </c>
      <c r="G1570" t="inlineStr">
        <is>
          <t>FALUN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35437-2024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45531</v>
      </c>
      <c r="E1571" s="1" t="n">
        <v>46222</v>
      </c>
      <c r="F1571" t="inlineStr">
        <is>
          <t>DALARNAS LÄN</t>
        </is>
      </c>
      <c r="G1571" t="inlineStr">
        <is>
          <t>FALUN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20437-2024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45435</v>
      </c>
      <c r="E1572" s="1" t="n">
        <v>46222</v>
      </c>
      <c r="F1572" t="inlineStr">
        <is>
          <t>DALARNAS LÄN</t>
        </is>
      </c>
      <c r="G1572" t="inlineStr">
        <is>
          <t>FALUN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61877-2024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45652</v>
      </c>
      <c r="E1573" s="1" t="n">
        <v>46222</v>
      </c>
      <c r="F1573" t="inlineStr">
        <is>
          <t>DALARNAS LÄN</t>
        </is>
      </c>
      <c r="G1573" t="inlineStr">
        <is>
          <t>FALUN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42060-2024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45561</v>
      </c>
      <c r="E1574" s="1" t="n">
        <v>46222</v>
      </c>
      <c r="F1574" t="inlineStr">
        <is>
          <t>DALARNAS LÄN</t>
        </is>
      </c>
      <c r="G1574" t="inlineStr">
        <is>
          <t>FALUN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58623-2024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45635</v>
      </c>
      <c r="E1575" s="1" t="n">
        <v>46222</v>
      </c>
      <c r="F1575" t="inlineStr">
        <is>
          <t>DALARNAS LÄN</t>
        </is>
      </c>
      <c r="G1575" t="inlineStr">
        <is>
          <t>FALUN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24443-2025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45798</v>
      </c>
      <c r="E1576" s="1" t="n">
        <v>46222</v>
      </c>
      <c r="F1576" t="inlineStr">
        <is>
          <t>DALARNAS LÄN</t>
        </is>
      </c>
      <c r="G1576" t="inlineStr">
        <is>
          <t>FALUN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36308-2024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45534</v>
      </c>
      <c r="E1577" s="1" t="n">
        <v>46222</v>
      </c>
      <c r="F1577" t="inlineStr">
        <is>
          <t>DALARNAS LÄN</t>
        </is>
      </c>
      <c r="G1577" t="inlineStr">
        <is>
          <t>FALUN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2767-2024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45314</v>
      </c>
      <c r="E1578" s="1" t="n">
        <v>46222</v>
      </c>
      <c r="F1578" t="inlineStr">
        <is>
          <t>DALARNAS LÄN</t>
        </is>
      </c>
      <c r="G1578" t="inlineStr">
        <is>
          <t>FALUN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10940-2025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45723</v>
      </c>
      <c r="E1579" s="1" t="n">
        <v>46222</v>
      </c>
      <c r="F1579" t="inlineStr">
        <is>
          <t>DALARNAS LÄN</t>
        </is>
      </c>
      <c r="G1579" t="inlineStr">
        <is>
          <t>FALUN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2065-2022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44672</v>
      </c>
      <c r="E1580" s="1" t="n">
        <v>46222</v>
      </c>
      <c r="F1580" t="inlineStr">
        <is>
          <t>DALARNAS LÄN</t>
        </is>
      </c>
      <c r="G1580" t="inlineStr">
        <is>
          <t>FALUN</t>
        </is>
      </c>
      <c r="I1580" t="n">
        <v>84.09999999999999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889-2021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44301</v>
      </c>
      <c r="E1581" s="1" t="n">
        <v>46222</v>
      </c>
      <c r="F1581" t="inlineStr">
        <is>
          <t>DALARNAS LÄN</t>
        </is>
      </c>
      <c r="G1581" t="inlineStr">
        <is>
          <t>FALUN</t>
        </is>
      </c>
      <c r="I1581" t="n">
        <v>84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2070-2022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44672</v>
      </c>
      <c r="E1582" s="1" t="n">
        <v>46222</v>
      </c>
      <c r="F1582" t="inlineStr">
        <is>
          <t>DALARNAS LÄN</t>
        </is>
      </c>
      <c r="G1582" t="inlineStr">
        <is>
          <t>FALUN</t>
        </is>
      </c>
      <c r="I1582" t="n">
        <v>18.4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2990-2022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44713</v>
      </c>
      <c r="E1583" s="1" t="n">
        <v>46222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317.3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2066-2022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46222</v>
      </c>
      <c r="F1584" t="inlineStr">
        <is>
          <t>DALARNAS LÄN</t>
        </is>
      </c>
      <c r="G1584" t="inlineStr">
        <is>
          <t>FALUN</t>
        </is>
      </c>
      <c r="I1584" t="n">
        <v>18.4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2524-2024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45474</v>
      </c>
      <c r="E1585" s="1" t="n">
        <v>46222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2621-2023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45147</v>
      </c>
      <c r="E1586" s="1" t="n">
        <v>46222</v>
      </c>
      <c r="F1586" t="inlineStr">
        <is>
          <t>DALARNAS LÄN</t>
        </is>
      </c>
      <c r="G1586" t="inlineStr">
        <is>
          <t>FALUN</t>
        </is>
      </c>
      <c r="I1586" t="n">
        <v>84.3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5110-2021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44421</v>
      </c>
      <c r="E1587" s="1" t="n">
        <v>46222</v>
      </c>
      <c r="F1587" t="inlineStr">
        <is>
          <t>DALARNAS LÄN</t>
        </is>
      </c>
      <c r="G1587" t="inlineStr">
        <is>
          <t>FALUN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2711-2023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45155</v>
      </c>
      <c r="E1588" s="1" t="n">
        <v>46222</v>
      </c>
      <c r="F1588" t="inlineStr">
        <is>
          <t>DALARNAS LÄN</t>
        </is>
      </c>
      <c r="G1588" t="inlineStr">
        <is>
          <t>FALUN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6520-2021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44452</v>
      </c>
      <c r="E1589" s="1" t="n">
        <v>46222</v>
      </c>
      <c r="F1589" t="inlineStr">
        <is>
          <t>DALARNAS LÄN</t>
        </is>
      </c>
      <c r="G1589" t="inlineStr">
        <is>
          <t>FALUN</t>
        </is>
      </c>
      <c r="I1589" t="n">
        <v>31.7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1536-2023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45054</v>
      </c>
      <c r="E1590" s="1" t="n">
        <v>46222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179.7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2864-2023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45168</v>
      </c>
      <c r="E1591" s="1" t="n">
        <v>46222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15.7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2917-2023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45169</v>
      </c>
      <c r="E1592" s="1" t="n">
        <v>46222</v>
      </c>
      <c r="F1592" t="inlineStr">
        <is>
          <t>DALARNAS LÄN</t>
        </is>
      </c>
      <c r="G1592" t="inlineStr">
        <is>
          <t>FALUN</t>
        </is>
      </c>
      <c r="H1592" t="inlineStr">
        <is>
          <t>Övriga statliga verk och myndigheter</t>
        </is>
      </c>
      <c r="I1592" t="n">
        <v>5.5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2714-2023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45155</v>
      </c>
      <c r="E1593" s="1" t="n">
        <v>46222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2916-2023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45169</v>
      </c>
      <c r="E1594" s="1" t="n">
        <v>46222</v>
      </c>
      <c r="F1594" t="inlineStr">
        <is>
          <t>DALARNAS LÄN</t>
        </is>
      </c>
      <c r="G1594" t="inlineStr">
        <is>
          <t>FALUN</t>
        </is>
      </c>
      <c r="H1594" t="inlineStr">
        <is>
          <t>Övriga statliga verk och myndigheter</t>
        </is>
      </c>
      <c r="I1594" t="n">
        <v>10.4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240-2024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45319</v>
      </c>
      <c r="E1595" s="1" t="n">
        <v>46222</v>
      </c>
      <c r="F1595" t="inlineStr">
        <is>
          <t>DALARNAS LÄN</t>
        </is>
      </c>
      <c r="G1595" t="inlineStr">
        <is>
          <t>FALUN</t>
        </is>
      </c>
      <c r="H1595" t="inlineStr">
        <is>
          <t>Sveaskog</t>
        </is>
      </c>
      <c r="I1595" t="n">
        <v>56.9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3359-2024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45532</v>
      </c>
      <c r="E1596" s="1" t="n">
        <v>46222</v>
      </c>
      <c r="F1596" t="inlineStr">
        <is>
          <t>DALARNAS LÄN</t>
        </is>
      </c>
      <c r="G1596" t="inlineStr">
        <is>
          <t>FALUN</t>
        </is>
      </c>
      <c r="I1596" t="n">
        <v>70.90000000000001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2712-2023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46222</v>
      </c>
      <c r="F1597" t="inlineStr">
        <is>
          <t>DALARNAS LÄN</t>
        </is>
      </c>
      <c r="G1597" t="inlineStr">
        <is>
          <t>FALUN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4545-2024</t>
        </is>
      </c>
      <c r="B1598" t="inlineStr">
        <is>
          <t>samrådsanmälan</t>
        </is>
      </c>
      <c r="C1598" t="inlineStr">
        <is>
          <t>Annan skogsbruksåtgärd</t>
        </is>
      </c>
      <c r="D1598" s="1" t="n">
        <v>45597</v>
      </c>
      <c r="E1598" s="1" t="n">
        <v>46222</v>
      </c>
      <c r="F1598" t="inlineStr">
        <is>
          <t>DALARNAS LÄN</t>
        </is>
      </c>
      <c r="G1598" t="inlineStr">
        <is>
          <t>FALUN</t>
        </is>
      </c>
      <c r="H1598" t="inlineStr">
        <is>
          <t>Bergvik skog väst AB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1184-2024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45396</v>
      </c>
      <c r="E1599" s="1" t="n">
        <v>46222</v>
      </c>
      <c r="F1599" t="inlineStr">
        <is>
          <t>DALARNAS LÄN</t>
        </is>
      </c>
      <c r="G1599" t="inlineStr">
        <is>
          <t>FALUN</t>
        </is>
      </c>
      <c r="I1599" t="n">
        <v>15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1347-2025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45772</v>
      </c>
      <c r="E1600" s="1" t="n">
        <v>46222</v>
      </c>
      <c r="F1600" t="inlineStr">
        <is>
          <t>DALARNAS LÄN</t>
        </is>
      </c>
      <c r="G1600" t="inlineStr">
        <is>
          <t>FALUN</t>
        </is>
      </c>
      <c r="I1600" t="n">
        <v>24.4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1581-2025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45796</v>
      </c>
      <c r="E1601" s="1" t="n">
        <v>46222</v>
      </c>
      <c r="F1601" t="inlineStr">
        <is>
          <t>DALARNAS LÄN</t>
        </is>
      </c>
      <c r="G1601" t="inlineStr">
        <is>
          <t>FALUN</t>
        </is>
      </c>
      <c r="I1601" t="n">
        <v>15.7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2125-2025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46222</v>
      </c>
      <c r="F1602" t="inlineStr">
        <is>
          <t>DALARNAS LÄN</t>
        </is>
      </c>
      <c r="G1602" t="inlineStr">
        <is>
          <t>FALUN</t>
        </is>
      </c>
      <c r="I1602" t="n">
        <v>4.2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2126-2025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46222</v>
      </c>
      <c r="F1603" t="inlineStr">
        <is>
          <t>DALARNAS LÄN</t>
        </is>
      </c>
      <c r="G1603" t="inlineStr">
        <is>
          <t>FALUN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2124-2025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45846</v>
      </c>
      <c r="E1604" s="1" t="n">
        <v>46222</v>
      </c>
      <c r="F1604" t="inlineStr">
        <is>
          <t>DALARNAS LÄN</t>
        </is>
      </c>
      <c r="G1604" t="inlineStr">
        <is>
          <t>FALUN</t>
        </is>
      </c>
      <c r="I1604" t="n">
        <v>10.8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2573-2025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45912</v>
      </c>
      <c r="E1605" s="1" t="n">
        <v>46222</v>
      </c>
      <c r="F1605" t="inlineStr">
        <is>
          <t>DALARNAS LÄN</t>
        </is>
      </c>
      <c r="G1605" t="inlineStr">
        <is>
          <t>FALUN</t>
        </is>
      </c>
      <c r="I1605" t="n">
        <v>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111-2026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46038</v>
      </c>
      <c r="E1606" s="1" t="n">
        <v>46222</v>
      </c>
      <c r="F1606" t="inlineStr">
        <is>
          <t>DALARNAS LÄN</t>
        </is>
      </c>
      <c r="G1606" t="inlineStr">
        <is>
          <t>FALUN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409-2026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46070</v>
      </c>
      <c r="E1607" s="1" t="n">
        <v>46222</v>
      </c>
      <c r="F1607" t="inlineStr">
        <is>
          <t>DALARNAS LÄN</t>
        </is>
      </c>
      <c r="G1607" t="inlineStr">
        <is>
          <t>FALUN</t>
        </is>
      </c>
      <c r="H1607" t="inlineStr">
        <is>
          <t>Sveaskog</t>
        </is>
      </c>
      <c r="I1607" t="n">
        <v>17.1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>
      <c r="A1608" t="inlineStr">
        <is>
          <t>S 1869-2026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46199</v>
      </c>
      <c r="E1608" s="1" t="n">
        <v>46222</v>
      </c>
      <c r="F1608" t="inlineStr">
        <is>
          <t>DALARNAS LÄN</t>
        </is>
      </c>
      <c r="G1608" t="inlineStr">
        <is>
          <t>FALUN</t>
        </is>
      </c>
      <c r="I1608" t="n">
        <v>9.1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2026-07-19T01:32:36Z</dcterms:created>
  <dcterms:modified xmlns:dcterms="http://purl.org/dc/terms/" xmlns:xsi="http://www.w3.org/2001/XMLSchema-instance" xsi:type="dcterms:W3CDTF">2026-07-19T01:32:38Z</dcterms:modified>
</cp:coreProperties>
</file>