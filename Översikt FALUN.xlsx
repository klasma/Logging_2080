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45475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45475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45475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45475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45475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45475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45475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45475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45475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45475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45475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45475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45475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45475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45475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45475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45475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45475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45475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45475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45475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45475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45475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25471-2024</t>
        </is>
      </c>
      <c r="B25" s="1" t="n">
        <v>45463</v>
      </c>
      <c r="C25" s="1" t="n">
        <v>45475</v>
      </c>
      <c r="D25" t="inlineStr">
        <is>
          <t>DALARNAS LÄN</t>
        </is>
      </c>
      <c r="E25" t="inlineStr">
        <is>
          <t>FALUN</t>
        </is>
      </c>
      <c r="F25" t="inlineStr">
        <is>
          <t>Sveaskog</t>
        </is>
      </c>
      <c r="G25" t="n">
        <v>15.5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Plattlummer
Kopparödla
Vanlig groda</t>
        </is>
      </c>
      <c r="S25">
        <f>HYPERLINK("https://klasma.github.io/Logging_2080/artfynd/A 25471-2024 artfynd.xlsx", "A 25471-2024")</f>
        <v/>
      </c>
      <c r="T25">
        <f>HYPERLINK("https://klasma.github.io/Logging_2080/kartor/A 25471-2024 karta.png", "A 25471-2024")</f>
        <v/>
      </c>
      <c r="V25">
        <f>HYPERLINK("https://klasma.github.io/Logging_2080/klagomål/A 25471-2024 FSC-klagomål.docx", "A 25471-2024")</f>
        <v/>
      </c>
      <c r="W25">
        <f>HYPERLINK("https://klasma.github.io/Logging_2080/klagomålsmail/A 25471-2024 FSC-klagomål mail.docx", "A 25471-2024")</f>
        <v/>
      </c>
      <c r="X25">
        <f>HYPERLINK("https://klasma.github.io/Logging_2080/tillsyn/A 25471-2024 tillsynsbegäran.docx", "A 25471-2024")</f>
        <v/>
      </c>
      <c r="Y25">
        <f>HYPERLINK("https://klasma.github.io/Logging_2080/tillsynsmail/A 25471-2024 tillsynsbegäran mail.docx", "A 25471-2024")</f>
        <v/>
      </c>
    </row>
    <row r="26" ht="15" customHeight="1">
      <c r="A26" t="inlineStr">
        <is>
          <t>A 40160-2020</t>
        </is>
      </c>
      <c r="B26" s="1" t="n">
        <v>44068</v>
      </c>
      <c r="C26" s="1" t="n">
        <v>45475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2.5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HYPERLINK("https://klasma.github.io/Logging_2080/artfynd/A 40160-2020 artfynd.xlsx", "A 40160-2020")</f>
        <v/>
      </c>
      <c r="T26">
        <f>HYPERLINK("https://klasma.github.io/Logging_2080/kartor/A 40160-2020 karta.png", "A 40160-2020")</f>
        <v/>
      </c>
      <c r="V26">
        <f>HYPERLINK("https://klasma.github.io/Logging_2080/klagomål/A 40160-2020 FSC-klagomål.docx", "A 40160-2020")</f>
        <v/>
      </c>
      <c r="W26">
        <f>HYPERLINK("https://klasma.github.io/Logging_2080/klagomålsmail/A 40160-2020 FSC-klagomål mail.docx", "A 40160-2020")</f>
        <v/>
      </c>
      <c r="X26">
        <f>HYPERLINK("https://klasma.github.io/Logging_2080/tillsyn/A 40160-2020 tillsynsbegäran.docx", "A 40160-2020")</f>
        <v/>
      </c>
      <c r="Y26">
        <f>HYPERLINK("https://klasma.github.io/Logging_2080/tillsynsmail/A 40160-2020 tillsynsbegäran mail.docx", "A 40160-2020")</f>
        <v/>
      </c>
    </row>
    <row r="27" ht="15" customHeight="1">
      <c r="A27" t="inlineStr">
        <is>
          <t>A 45940-2020</t>
        </is>
      </c>
      <c r="B27" s="1" t="n">
        <v>44091</v>
      </c>
      <c r="C27" s="1" t="n">
        <v>45475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Järpe</t>
        </is>
      </c>
      <c r="S27">
        <f>HYPERLINK("https://klasma.github.io/Logging_2080/artfynd/A 45940-2020 artfynd.xlsx", "A 45940-2020")</f>
        <v/>
      </c>
      <c r="T27">
        <f>HYPERLINK("https://klasma.github.io/Logging_2080/kartor/A 45940-2020 karta.png", "A 45940-2020")</f>
        <v/>
      </c>
      <c r="V27">
        <f>HYPERLINK("https://klasma.github.io/Logging_2080/klagomål/A 45940-2020 FSC-klagomål.docx", "A 45940-2020")</f>
        <v/>
      </c>
      <c r="W27">
        <f>HYPERLINK("https://klasma.github.io/Logging_2080/klagomålsmail/A 45940-2020 FSC-klagomål mail.docx", "A 45940-2020")</f>
        <v/>
      </c>
      <c r="X27">
        <f>HYPERLINK("https://klasma.github.io/Logging_2080/tillsyn/A 45940-2020 tillsynsbegäran.docx", "A 45940-2020")</f>
        <v/>
      </c>
      <c r="Y27">
        <f>HYPERLINK("https://klasma.github.io/Logging_2080/tillsynsmail/A 45940-2020 tillsynsbegäran mail.docx", "A 45940-2020")</f>
        <v/>
      </c>
      <c r="Z27">
        <f>HYPERLINK("https://klasma.github.io/Logging_2080/fåglar/A 45940-2020 prioriterade fågelarter.docx", "A 45940-2020")</f>
        <v/>
      </c>
    </row>
    <row r="28" ht="15" customHeight="1">
      <c r="A28" t="inlineStr">
        <is>
          <t>A 56050-2020</t>
        </is>
      </c>
      <c r="B28" s="1" t="n">
        <v>44133</v>
      </c>
      <c r="C28" s="1" t="n">
        <v>45475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Korallblylav</t>
        </is>
      </c>
      <c r="S28">
        <f>HYPERLINK("https://klasma.github.io/Logging_2080/artfynd/A 56050-2020 artfynd.xlsx", "A 56050-2020")</f>
        <v/>
      </c>
      <c r="T28">
        <f>HYPERLINK("https://klasma.github.io/Logging_2080/kartor/A 56050-2020 karta.png", "A 56050-2020")</f>
        <v/>
      </c>
      <c r="V28">
        <f>HYPERLINK("https://klasma.github.io/Logging_2080/klagomål/A 56050-2020 FSC-klagomål.docx", "A 56050-2020")</f>
        <v/>
      </c>
      <c r="W28">
        <f>HYPERLINK("https://klasma.github.io/Logging_2080/klagomålsmail/A 56050-2020 FSC-klagomål mail.docx", "A 56050-2020")</f>
        <v/>
      </c>
      <c r="X28">
        <f>HYPERLINK("https://klasma.github.io/Logging_2080/tillsyn/A 56050-2020 tillsynsbegäran.docx", "A 56050-2020")</f>
        <v/>
      </c>
      <c r="Y28">
        <f>HYPERLINK("https://klasma.github.io/Logging_2080/tillsynsmail/A 56050-2020 tillsynsbegäran mail.docx", "A 56050-2020")</f>
        <v/>
      </c>
    </row>
    <row r="29" ht="15" customHeight="1">
      <c r="A29" t="inlineStr">
        <is>
          <t>A 19267-2021</t>
        </is>
      </c>
      <c r="B29" s="1" t="n">
        <v>44309</v>
      </c>
      <c r="C29" s="1" t="n">
        <v>45475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Bronshjon</t>
        </is>
      </c>
      <c r="S29">
        <f>HYPERLINK("https://klasma.github.io/Logging_2080/artfynd/A 19267-2021 artfynd.xlsx", "A 19267-2021")</f>
        <v/>
      </c>
      <c r="T29">
        <f>HYPERLINK("https://klasma.github.io/Logging_2080/kartor/A 19267-2021 karta.png", "A 19267-2021")</f>
        <v/>
      </c>
      <c r="V29">
        <f>HYPERLINK("https://klasma.github.io/Logging_2080/klagomål/A 19267-2021 FSC-klagomål.docx", "A 19267-2021")</f>
        <v/>
      </c>
      <c r="W29">
        <f>HYPERLINK("https://klasma.github.io/Logging_2080/klagomålsmail/A 19267-2021 FSC-klagomål mail.docx", "A 19267-2021")</f>
        <v/>
      </c>
      <c r="X29">
        <f>HYPERLINK("https://klasma.github.io/Logging_2080/tillsyn/A 19267-2021 tillsynsbegäran.docx", "A 19267-2021")</f>
        <v/>
      </c>
      <c r="Y29">
        <f>HYPERLINK("https://klasma.github.io/Logging_2080/tillsynsmail/A 19267-2021 tillsynsbegäran mail.docx", "A 19267-2021")</f>
        <v/>
      </c>
    </row>
    <row r="30" ht="15" customHeight="1">
      <c r="A30" t="inlineStr">
        <is>
          <t>A 62396-2022</t>
        </is>
      </c>
      <c r="B30" s="1" t="n">
        <v>44923</v>
      </c>
      <c r="C30" s="1" t="n">
        <v>45475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Mindre märgborre</t>
        </is>
      </c>
      <c r="S30">
        <f>HYPERLINK("https://klasma.github.io/Logging_2080/artfynd/A 62396-2022 artfynd.xlsx", "A 62396-2022")</f>
        <v/>
      </c>
      <c r="T30">
        <f>HYPERLINK("https://klasma.github.io/Logging_2080/kartor/A 62396-2022 karta.png", "A 62396-2022")</f>
        <v/>
      </c>
      <c r="V30">
        <f>HYPERLINK("https://klasma.github.io/Logging_2080/klagomål/A 62396-2022 FSC-klagomål.docx", "A 62396-2022")</f>
        <v/>
      </c>
      <c r="W30">
        <f>HYPERLINK("https://klasma.github.io/Logging_2080/klagomålsmail/A 62396-2022 FSC-klagomål mail.docx", "A 62396-2022")</f>
        <v/>
      </c>
      <c r="X30">
        <f>HYPERLINK("https://klasma.github.io/Logging_2080/tillsyn/A 62396-2022 tillsynsbegäran.docx", "A 62396-2022")</f>
        <v/>
      </c>
      <c r="Y30">
        <f>HYPERLINK("https://klasma.github.io/Logging_2080/tillsynsmail/A 62396-2022 tillsynsbegäran mail.docx", "A 62396-2022")</f>
        <v/>
      </c>
      <c r="Z30">
        <f>HYPERLINK("https://klasma.github.io/Logging_2080/fåglar/A 62396-2022 prioriterade fågelarter.docx", "A 62396-2022")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45475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17742-2023</t>
        </is>
      </c>
      <c r="B32" s="1" t="n">
        <v>45037</v>
      </c>
      <c r="C32" s="1" t="n">
        <v>45475</v>
      </c>
      <c r="D32" t="inlineStr">
        <is>
          <t>DALARNAS LÄN</t>
        </is>
      </c>
      <c r="E32" t="inlineStr">
        <is>
          <t>FALUN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Nästlav</t>
        </is>
      </c>
      <c r="S32">
        <f>HYPERLINK("https://klasma.github.io/Logging_2080/artfynd/A 17742-2023 artfynd.xlsx", "A 17742-2023")</f>
        <v/>
      </c>
      <c r="T32">
        <f>HYPERLINK("https://klasma.github.io/Logging_2080/kartor/A 17742-2023 karta.png", "A 17742-2023")</f>
        <v/>
      </c>
      <c r="V32">
        <f>HYPERLINK("https://klasma.github.io/Logging_2080/klagomål/A 17742-2023 FSC-klagomål.docx", "A 17742-2023")</f>
        <v/>
      </c>
      <c r="W32">
        <f>HYPERLINK("https://klasma.github.io/Logging_2080/klagomålsmail/A 17742-2023 FSC-klagomål mail.docx", "A 17742-2023")</f>
        <v/>
      </c>
      <c r="X32">
        <f>HYPERLINK("https://klasma.github.io/Logging_2080/tillsyn/A 17742-2023 tillsynsbegäran.docx", "A 17742-2023")</f>
        <v/>
      </c>
      <c r="Y32">
        <f>HYPERLINK("https://klasma.github.io/Logging_2080/tillsynsmail/A 17742-2023 tillsynsbegäran mail.docx", "A 17742-2023")</f>
        <v/>
      </c>
    </row>
    <row r="33" ht="15" customHeight="1">
      <c r="A33" t="inlineStr">
        <is>
          <t>A 18714-2023</t>
        </is>
      </c>
      <c r="B33" s="1" t="n">
        <v>45043</v>
      </c>
      <c r="C33" s="1" t="n">
        <v>45475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23753-2024</t>
        </is>
      </c>
      <c r="B34" s="1" t="n">
        <v>45455</v>
      </c>
      <c r="C34" s="1" t="n">
        <v>45475</v>
      </c>
      <c r="D34" t="inlineStr">
        <is>
          <t>DALARNAS LÄN</t>
        </is>
      </c>
      <c r="E34" t="inlineStr">
        <is>
          <t>FALUN</t>
        </is>
      </c>
      <c r="G34" t="n">
        <v>7.1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Gröngöling</t>
        </is>
      </c>
      <c r="S34">
        <f>HYPERLINK("https://klasma.github.io/Logging_2080/artfynd/A 23753-2024 artfynd.xlsx", "A 23753-2024")</f>
        <v/>
      </c>
      <c r="T34">
        <f>HYPERLINK("https://klasma.github.io/Logging_2080/kartor/A 23753-2024 karta.png", "A 23753-2024")</f>
        <v/>
      </c>
      <c r="V34">
        <f>HYPERLINK("https://klasma.github.io/Logging_2080/klagomål/A 23753-2024 FSC-klagomål.docx", "A 23753-2024")</f>
        <v/>
      </c>
      <c r="W34">
        <f>HYPERLINK("https://klasma.github.io/Logging_2080/klagomålsmail/A 23753-2024 FSC-klagomål mail.docx", "A 23753-2024")</f>
        <v/>
      </c>
      <c r="X34">
        <f>HYPERLINK("https://klasma.github.io/Logging_2080/tillsyn/A 23753-2024 tillsynsbegäran.docx", "A 23753-2024")</f>
        <v/>
      </c>
      <c r="Y34">
        <f>HYPERLINK("https://klasma.github.io/Logging_2080/tillsynsmail/A 23753-2024 tillsynsbegäran mail.docx", "A 23753-2024")</f>
        <v/>
      </c>
      <c r="Z34">
        <f>HYPERLINK("https://klasma.github.io/Logging_2080/fåglar/A 23753-2024 prioriterade fågelarter.docx", "A 23753-2024")</f>
        <v/>
      </c>
    </row>
    <row r="35" ht="15" customHeight="1">
      <c r="A35" t="inlineStr">
        <is>
          <t>A 25836-2024</t>
        </is>
      </c>
      <c r="B35" s="1" t="n">
        <v>45467</v>
      </c>
      <c r="C35" s="1" t="n">
        <v>45475</v>
      </c>
      <c r="D35" t="inlineStr">
        <is>
          <t>DALARNAS LÄN</t>
        </is>
      </c>
      <c r="E35" t="inlineStr">
        <is>
          <t>FALUN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HYPERLINK("https://klasma.github.io/Logging_2080/artfynd/A 25836-2024 artfynd.xlsx", "A 25836-2024")</f>
        <v/>
      </c>
      <c r="T35">
        <f>HYPERLINK("https://klasma.github.io/Logging_2080/kartor/A 25836-2024 karta.png", "A 25836-2024")</f>
        <v/>
      </c>
      <c r="V35">
        <f>HYPERLINK("https://klasma.github.io/Logging_2080/klagomål/A 25836-2024 FSC-klagomål.docx", "A 25836-2024")</f>
        <v/>
      </c>
      <c r="W35">
        <f>HYPERLINK("https://klasma.github.io/Logging_2080/klagomålsmail/A 25836-2024 FSC-klagomål mail.docx", "A 25836-2024")</f>
        <v/>
      </c>
      <c r="X35">
        <f>HYPERLINK("https://klasma.github.io/Logging_2080/tillsyn/A 25836-2024 tillsynsbegäran.docx", "A 25836-2024")</f>
        <v/>
      </c>
      <c r="Y35">
        <f>HYPERLINK("https://klasma.github.io/Logging_2080/tillsynsmail/A 25836-2024 tillsynsbegäran mail.docx", "A 25836-2024")</f>
        <v/>
      </c>
    </row>
    <row r="36" ht="15" customHeight="1">
      <c r="A36" t="inlineStr">
        <is>
          <t>A 37713-2020</t>
        </is>
      </c>
      <c r="B36" s="1" t="n">
        <v>44056</v>
      </c>
      <c r="C36" s="1" t="n">
        <v>45475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HYPERLINK("https://klasma.github.io/Logging_2080/artfynd/A 37713-2020 artfynd.xlsx", "A 37713-2020")</f>
        <v/>
      </c>
      <c r="T36">
        <f>HYPERLINK("https://klasma.github.io/Logging_2080/kartor/A 37713-2020 karta.png", "A 37713-2020")</f>
        <v/>
      </c>
      <c r="V36">
        <f>HYPERLINK("https://klasma.github.io/Logging_2080/klagomål/A 37713-2020 FSC-klagomål.docx", "A 37713-2020")</f>
        <v/>
      </c>
      <c r="W36">
        <f>HYPERLINK("https://klasma.github.io/Logging_2080/klagomålsmail/A 37713-2020 FSC-klagomål mail.docx", "A 37713-2020")</f>
        <v/>
      </c>
      <c r="X36">
        <f>HYPERLINK("https://klasma.github.io/Logging_2080/tillsyn/A 37713-2020 tillsynsbegäran.docx", "A 37713-2020")</f>
        <v/>
      </c>
      <c r="Y36">
        <f>HYPERLINK("https://klasma.github.io/Logging_2080/tillsynsmail/A 37713-2020 tillsynsbegäran mail.docx", "A 37713-2020")</f>
        <v/>
      </c>
    </row>
    <row r="37" ht="15" customHeight="1">
      <c r="A37" t="inlineStr">
        <is>
          <t>A 51342-2020</t>
        </is>
      </c>
      <c r="B37" s="1" t="n">
        <v>44112</v>
      </c>
      <c r="C37" s="1" t="n">
        <v>45475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HYPERLINK("https://klasma.github.io/Logging_2080/artfynd/A 51342-2020 artfynd.xlsx", "A 51342-2020")</f>
        <v/>
      </c>
      <c r="T37">
        <f>HYPERLINK("https://klasma.github.io/Logging_2080/kartor/A 51342-2020 karta.png", "A 51342-2020")</f>
        <v/>
      </c>
      <c r="U37">
        <f>HYPERLINK("https://klasma.github.io/Logging_2080/knärot/A 51342-2020 karta knärot.png", "A 51342-2020")</f>
        <v/>
      </c>
      <c r="V37">
        <f>HYPERLINK("https://klasma.github.io/Logging_2080/klagomål/A 51342-2020 FSC-klagomål.docx", "A 51342-2020")</f>
        <v/>
      </c>
      <c r="W37">
        <f>HYPERLINK("https://klasma.github.io/Logging_2080/klagomålsmail/A 51342-2020 FSC-klagomål mail.docx", "A 51342-2020")</f>
        <v/>
      </c>
      <c r="X37">
        <f>HYPERLINK("https://klasma.github.io/Logging_2080/tillsyn/A 51342-2020 tillsynsbegäran.docx", "A 51342-2020")</f>
        <v/>
      </c>
      <c r="Y37">
        <f>HYPERLINK("https://klasma.github.io/Logging_2080/tillsynsmail/A 51342-2020 tillsynsbegäran mail.docx", "A 51342-2020")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45475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50475-2022</t>
        </is>
      </c>
      <c r="B39" s="1" t="n">
        <v>44866</v>
      </c>
      <c r="C39" s="1" t="n">
        <v>45475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50475-2022 artfynd.xlsx", "A 50475-2022")</f>
        <v/>
      </c>
      <c r="T39">
        <f>HYPERLINK("https://klasma.github.io/Logging_2080/kartor/A 50475-2022 karta.png", "A 50475-2022")</f>
        <v/>
      </c>
      <c r="U39">
        <f>HYPERLINK("https://klasma.github.io/Logging_2080/knärot/A 50475-2022 karta knärot.png", "A 50475-2022")</f>
        <v/>
      </c>
      <c r="V39">
        <f>HYPERLINK("https://klasma.github.io/Logging_2080/klagomål/A 50475-2022 FSC-klagomål.docx", "A 50475-2022")</f>
        <v/>
      </c>
      <c r="W39">
        <f>HYPERLINK("https://klasma.github.io/Logging_2080/klagomålsmail/A 50475-2022 FSC-klagomål mail.docx", "A 50475-2022")</f>
        <v/>
      </c>
      <c r="X39">
        <f>HYPERLINK("https://klasma.github.io/Logging_2080/tillsyn/A 50475-2022 tillsynsbegäran.docx", "A 50475-2022")</f>
        <v/>
      </c>
      <c r="Y39">
        <f>HYPERLINK("https://klasma.github.io/Logging_2080/tillsynsmail/A 50475-2022 tillsynsbegäran mail.docx", "A 50475-2022")</f>
        <v/>
      </c>
    </row>
    <row r="40" ht="15" customHeight="1">
      <c r="A40" t="inlineStr">
        <is>
          <t>A 61535-2022</t>
        </is>
      </c>
      <c r="B40" s="1" t="n">
        <v>44916</v>
      </c>
      <c r="C40" s="1" t="n">
        <v>45475</v>
      </c>
      <c r="D40" t="inlineStr">
        <is>
          <t>DALARNAS LÄN</t>
        </is>
      </c>
      <c r="E40" t="inlineStr">
        <is>
          <t>FALUN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HYPERLINK("https://klasma.github.io/Logging_2080/artfynd/A 61535-2022 artfynd.xlsx", "A 61535-2022")</f>
        <v/>
      </c>
      <c r="T40">
        <f>HYPERLINK("https://klasma.github.io/Logging_2080/kartor/A 61535-2022 karta.png", "A 61535-2022")</f>
        <v/>
      </c>
      <c r="V40">
        <f>HYPERLINK("https://klasma.github.io/Logging_2080/klagomål/A 61535-2022 FSC-klagomål.docx", "A 61535-2022")</f>
        <v/>
      </c>
      <c r="W40">
        <f>HYPERLINK("https://klasma.github.io/Logging_2080/klagomålsmail/A 61535-2022 FSC-klagomål mail.docx", "A 61535-2022")</f>
        <v/>
      </c>
      <c r="X40">
        <f>HYPERLINK("https://klasma.github.io/Logging_2080/tillsyn/A 61535-2022 tillsynsbegäran.docx", "A 61535-2022")</f>
        <v/>
      </c>
      <c r="Y40">
        <f>HYPERLINK("https://klasma.github.io/Logging_2080/tillsynsmail/A 61535-2022 tillsynsbegäran mail.docx", "A 61535-2022")</f>
        <v/>
      </c>
      <c r="Z40">
        <f>HYPERLINK("https://klasma.github.io/Logging_2080/fåglar/A 61535-2022 prioriterade fågelarter.docx", "A 61535-2022")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45475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6317-2023</t>
        </is>
      </c>
      <c r="B42" s="1" t="n">
        <v>44965</v>
      </c>
      <c r="C42" s="1" t="n">
        <v>45475</v>
      </c>
      <c r="D42" t="inlineStr">
        <is>
          <t>DALARNAS LÄN</t>
        </is>
      </c>
      <c r="E42" t="inlineStr">
        <is>
          <t>FALUN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Sparvuggla</t>
        </is>
      </c>
      <c r="S42">
        <f>HYPERLINK("https://klasma.github.io/Logging_2080/artfynd/A 6317-2023 artfynd.xlsx", "A 6317-2023")</f>
        <v/>
      </c>
      <c r="T42">
        <f>HYPERLINK("https://klasma.github.io/Logging_2080/kartor/A 6317-2023 karta.png", "A 6317-2023")</f>
        <v/>
      </c>
      <c r="V42">
        <f>HYPERLINK("https://klasma.github.io/Logging_2080/klagomål/A 6317-2023 FSC-klagomål.docx", "A 6317-2023")</f>
        <v/>
      </c>
      <c r="W42">
        <f>HYPERLINK("https://klasma.github.io/Logging_2080/klagomålsmail/A 6317-2023 FSC-klagomål mail.docx", "A 6317-2023")</f>
        <v/>
      </c>
      <c r="X42">
        <f>HYPERLINK("https://klasma.github.io/Logging_2080/tillsyn/A 6317-2023 tillsynsbegäran.docx", "A 6317-2023")</f>
        <v/>
      </c>
      <c r="Y42">
        <f>HYPERLINK("https://klasma.github.io/Logging_2080/tillsynsmail/A 6317-2023 tillsynsbegäran mail.docx", "A 6317-2023")</f>
        <v/>
      </c>
      <c r="Z42">
        <f>HYPERLINK("https://klasma.github.io/Logging_2080/fåglar/A 6317-2023 prioriterade fågelarter.docx", "A 6317-2023")</f>
        <v/>
      </c>
    </row>
    <row r="43" ht="15" customHeight="1">
      <c r="A43" t="inlineStr">
        <is>
          <t>A 17199-2023</t>
        </is>
      </c>
      <c r="B43" s="1" t="n">
        <v>45034</v>
      </c>
      <c r="C43" s="1" t="n">
        <v>45475</v>
      </c>
      <c r="D43" t="inlineStr">
        <is>
          <t>DALARNAS LÄN</t>
        </is>
      </c>
      <c r="E43" t="inlineStr">
        <is>
          <t>FALUN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17199-2023 artfynd.xlsx", "A 17199-2023")</f>
        <v/>
      </c>
      <c r="T43">
        <f>HYPERLINK("https://klasma.github.io/Logging_2080/kartor/A 17199-2023 karta.png", "A 17199-2023")</f>
        <v/>
      </c>
      <c r="V43">
        <f>HYPERLINK("https://klasma.github.io/Logging_2080/klagomål/A 17199-2023 FSC-klagomål.docx", "A 17199-2023")</f>
        <v/>
      </c>
      <c r="W43">
        <f>HYPERLINK("https://klasma.github.io/Logging_2080/klagomålsmail/A 17199-2023 FSC-klagomål mail.docx", "A 17199-2023")</f>
        <v/>
      </c>
      <c r="X43">
        <f>HYPERLINK("https://klasma.github.io/Logging_2080/tillsyn/A 17199-2023 tillsynsbegäran.docx", "A 17199-2023")</f>
        <v/>
      </c>
      <c r="Y43">
        <f>HYPERLINK("https://klasma.github.io/Logging_2080/tillsynsmail/A 17199-2023 tillsynsbegäran mail.docx", "A 17199-2023")</f>
        <v/>
      </c>
    </row>
    <row r="44" ht="15" customHeight="1">
      <c r="A44" t="inlineStr">
        <is>
          <t>A 17743-2023</t>
        </is>
      </c>
      <c r="B44" s="1" t="n">
        <v>45037</v>
      </c>
      <c r="C44" s="1" t="n">
        <v>45475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17743-2023 artfynd.xlsx", "A 17743-2023")</f>
        <v/>
      </c>
      <c r="T44">
        <f>HYPERLINK("https://klasma.github.io/Logging_2080/kartor/A 17743-2023 karta.png", "A 17743-2023")</f>
        <v/>
      </c>
      <c r="V44">
        <f>HYPERLINK("https://klasma.github.io/Logging_2080/klagomål/A 17743-2023 FSC-klagomål.docx", "A 17743-2023")</f>
        <v/>
      </c>
      <c r="W44">
        <f>HYPERLINK("https://klasma.github.io/Logging_2080/klagomålsmail/A 17743-2023 FSC-klagomål mail.docx", "A 17743-2023")</f>
        <v/>
      </c>
      <c r="X44">
        <f>HYPERLINK("https://klasma.github.io/Logging_2080/tillsyn/A 17743-2023 tillsynsbegäran.docx", "A 17743-2023")</f>
        <v/>
      </c>
      <c r="Y44">
        <f>HYPERLINK("https://klasma.github.io/Logging_2080/tillsynsmail/A 17743-2023 tillsynsbegäran mail.docx", "A 17743-2023")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45475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45475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45475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44725-2023</t>
        </is>
      </c>
      <c r="B48" s="1" t="n">
        <v>45190</v>
      </c>
      <c r="C48" s="1" t="n">
        <v>45475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HYPERLINK("https://klasma.github.io/Logging_2080/artfynd/A 44725-2023 artfynd.xlsx", "A 44725-2023")</f>
        <v/>
      </c>
      <c r="T48">
        <f>HYPERLINK("https://klasma.github.io/Logging_2080/kartor/A 44725-2023 karta.png", "A 44725-2023")</f>
        <v/>
      </c>
      <c r="V48">
        <f>HYPERLINK("https://klasma.github.io/Logging_2080/klagomål/A 44725-2023 FSC-klagomål.docx", "A 44725-2023")</f>
        <v/>
      </c>
      <c r="W48">
        <f>HYPERLINK("https://klasma.github.io/Logging_2080/klagomålsmail/A 44725-2023 FSC-klagomål mail.docx", "A 44725-2023")</f>
        <v/>
      </c>
      <c r="X48">
        <f>HYPERLINK("https://klasma.github.io/Logging_2080/tillsyn/A 44725-2023 tillsynsbegäran.docx", "A 44725-2023")</f>
        <v/>
      </c>
      <c r="Y48">
        <f>HYPERLINK("https://klasma.github.io/Logging_2080/tillsynsmail/A 44725-2023 tillsynsbegäran mail.docx", "A 44725-2023")</f>
        <v/>
      </c>
    </row>
    <row r="49" ht="15" customHeight="1">
      <c r="A49" t="inlineStr">
        <is>
          <t>A 45166-2023</t>
        </is>
      </c>
      <c r="B49" s="1" t="n">
        <v>45191</v>
      </c>
      <c r="C49" s="1" t="n">
        <v>45475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HYPERLINK("https://klasma.github.io/Logging_2080/artfynd/A 45166-2023 artfynd.xlsx", "A 45166-2023")</f>
        <v/>
      </c>
      <c r="T49">
        <f>HYPERLINK("https://klasma.github.io/Logging_2080/kartor/A 45166-2023 karta.png", "A 45166-2023")</f>
        <v/>
      </c>
      <c r="V49">
        <f>HYPERLINK("https://klasma.github.io/Logging_2080/klagomål/A 45166-2023 FSC-klagomål.docx", "A 45166-2023")</f>
        <v/>
      </c>
      <c r="W49">
        <f>HYPERLINK("https://klasma.github.io/Logging_2080/klagomålsmail/A 45166-2023 FSC-klagomål mail.docx", "A 45166-2023")</f>
        <v/>
      </c>
      <c r="X49">
        <f>HYPERLINK("https://klasma.github.io/Logging_2080/tillsyn/A 45166-2023 tillsynsbegäran.docx", "A 45166-2023")</f>
        <v/>
      </c>
      <c r="Y49">
        <f>HYPERLINK("https://klasma.github.io/Logging_2080/tillsynsmail/A 45166-2023 tillsynsbegäran mail.docx", "A 45166-2023")</f>
        <v/>
      </c>
    </row>
    <row r="50" ht="15" customHeight="1">
      <c r="A50" t="inlineStr">
        <is>
          <t>A 45685-2023</t>
        </is>
      </c>
      <c r="B50" s="1" t="n">
        <v>45195</v>
      </c>
      <c r="C50" s="1" t="n">
        <v>45475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HYPERLINK("https://klasma.github.io/Logging_2080/artfynd/A 45685-2023 artfynd.xlsx", "A 45685-2023")</f>
        <v/>
      </c>
      <c r="T50">
        <f>HYPERLINK("https://klasma.github.io/Logging_2080/kartor/A 45685-2023 karta.png", "A 45685-2023")</f>
        <v/>
      </c>
      <c r="V50">
        <f>HYPERLINK("https://klasma.github.io/Logging_2080/klagomål/A 45685-2023 FSC-klagomål.docx", "A 45685-2023")</f>
        <v/>
      </c>
      <c r="W50">
        <f>HYPERLINK("https://klasma.github.io/Logging_2080/klagomålsmail/A 45685-2023 FSC-klagomål mail.docx", "A 45685-2023")</f>
        <v/>
      </c>
      <c r="X50">
        <f>HYPERLINK("https://klasma.github.io/Logging_2080/tillsyn/A 45685-2023 tillsynsbegäran.docx", "A 45685-2023")</f>
        <v/>
      </c>
      <c r="Y50">
        <f>HYPERLINK("https://klasma.github.io/Logging_2080/tillsynsmail/A 45685-2023 tillsynsbegäran mail.docx", "A 45685-2023")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45475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45475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45475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45475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45475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45475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45475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45475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45475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45475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45475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45475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45475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45475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45475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45475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45475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45475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45475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45475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45475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45475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45475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45475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45475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45475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45475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45475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45475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45475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45475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45475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45475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45475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45475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45475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45475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45475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45475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45475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45475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45475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45475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45475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45475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45475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45475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45475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45475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45475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45475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45475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45475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45475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45475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45475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45475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45475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45475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45475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45475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45475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45475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45475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45475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45475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45475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45475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45475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45475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45475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45475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45475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45475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45475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45475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45475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45475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45475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45475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45475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45475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45475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45475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45475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45475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45475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45475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45475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45475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45475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45475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45475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45475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45475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45475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45475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45475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45475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45475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45475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45475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45475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45475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45475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45475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45475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45475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45475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45475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45475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45475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45475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45475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45475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45475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45475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45475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45475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45475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45475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45475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45475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45475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45475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45475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45475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45475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45475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45475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45475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45475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45475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45475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45475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45475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45475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45475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45475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45475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45475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45475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45475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45475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45475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45475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45475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45475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45475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45475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45475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45475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45475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45475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45475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45475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45475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45475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45475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45475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45475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45475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45475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45475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45475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45475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45475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45475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45475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45475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45475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45475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45475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45475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45475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45475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45475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45475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45475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45475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45475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45475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45475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45475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45475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45475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45475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45475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45475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45475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45475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45475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45475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45475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45475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45475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45475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45475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45475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45475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45475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45475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45475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45475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45475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45475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45475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45475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45475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45475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45475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45475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45475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45475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45475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45475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45475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45475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45475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45475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45475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45475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45475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45475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45475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45475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45475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45475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45475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45475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45475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45475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45475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45475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45475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45475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45475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45475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45475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45475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45475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45475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45475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45475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45475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45475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45475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45475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45475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45475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45475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45475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45475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45475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45475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45475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45475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45475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45475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45475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45475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45475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45475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45475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45475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45475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45475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45475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45475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45475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45475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45475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45475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45475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45475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45475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45475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45475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45475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45475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45475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45475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45475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45475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45475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45475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45475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45475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45475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45475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45475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45475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45475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45475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45475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45475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45475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45475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45475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45475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45475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45475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45475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45475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45475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45475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45475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45475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45475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45475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45475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45475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45475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45475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45475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45475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45475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45475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45475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45475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45475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45475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45475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45475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45475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45475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45475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45475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45475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45475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45475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45475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45475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45475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45475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45475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45475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45475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45475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45475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45475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45475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45475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45475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45475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45475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45475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45475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45475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45475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45475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45475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45475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45475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45475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45475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45475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45475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45475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45475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45475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45475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45475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45475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45475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45475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45475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45475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45475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45475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45475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45475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45475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45475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45475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45475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45475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45475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45475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45475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45475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45475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45475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45475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45475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45475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45475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45475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45475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45475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45475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45475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45475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45475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45475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45475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45475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45475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45475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45475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45475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45475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45475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45475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45475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45475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45475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45475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45475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45475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45475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45475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45475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45475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45475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45475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45475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45475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45475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45475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45475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45475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45475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45475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45475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45475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45475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45475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45475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45475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45475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45475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45475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45475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45475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45475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45475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45475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45475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45475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45475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45475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45475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45475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45475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45475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45475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45475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45475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45475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45475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45475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45475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45475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45475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45475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45475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45475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45475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45475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45475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45475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45475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45475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45475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45475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45475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45475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45475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45475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45475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45475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45475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45475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45475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45475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45475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45475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45475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45475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45475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45475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45475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45475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45475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45475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45475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45475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45475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45475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45475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45475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45475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45475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45475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45475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45475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45475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45475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45475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45475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45475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45475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45475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45475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45475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45475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45475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45475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45475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45475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45475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45475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45475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45475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45475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45475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45475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45475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45475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45475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45475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45475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45475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45475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45475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45475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45475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45475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45475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45475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45475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45475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45475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45475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45475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45475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45475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45475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45475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45475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45475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45475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45475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45475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45475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45475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45475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45475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45475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45475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45475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45475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45475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45475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45475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45475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45475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45475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45475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45475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45475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45475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45475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45475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45475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45475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45475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45475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45475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45475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45475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45475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45475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45475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45475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45475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45475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45475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45475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45475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45475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45475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45475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45475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45475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45475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45475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45475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45475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45475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45475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45475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45475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45475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45475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45475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45475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45475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45475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45475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45475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45475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45475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45475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45475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45475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45475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45475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45475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45475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45475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45475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45475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45475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45475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45475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45475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45475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45475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45475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45475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45475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45475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45475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45475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45475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45475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45475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45475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45475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45475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45475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45475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45475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45475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45475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45475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45475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45475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45475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45475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45475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45475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45475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45475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45475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45475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45475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45475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45475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45475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45475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45475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45475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45475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45475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45475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45475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45475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45475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45475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45475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45475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45475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45475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45475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45475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45475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45475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45475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45475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45475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45475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45475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45475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45475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45475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45475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45475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45475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45475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45475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45475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45475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45475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45475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45475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45475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45475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45475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45475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45475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45475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45475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45475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45475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45475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45475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45475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45475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45475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45475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45475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45475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45475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45475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45475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45475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45475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45475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45475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45475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45475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45475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45475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45475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45475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45475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45475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45475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45475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45475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45475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45475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45475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45475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45475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45475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45475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45475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45475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45475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45475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45475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45475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45475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45475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45475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45475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45475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45475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45475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45475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45475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45475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45475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45475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45475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45475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45475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45475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45475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45475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45475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45475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45475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45475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45475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45475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45475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45475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45475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45475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45475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45475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45475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45475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45475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45475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45475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45475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45475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45475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45475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45475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45475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45475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45475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45475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45475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45475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45475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45475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45475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45475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45475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45475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45475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45475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45475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45475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45475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45475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45475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45475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45475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45475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45475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45475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45475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45475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45475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45475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45475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45475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45475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45475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45475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45475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45475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45475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45475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45475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45475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45475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45475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45475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45475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45475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45475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45475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45475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45475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45475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45475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45475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45475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45475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45475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45475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45475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45475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45475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45475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45475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45475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45475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45475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45475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45475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45475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45475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45475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45475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45475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45475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45475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45475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45475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45475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45475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45475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45475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45475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45475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45475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45475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45475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45475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45475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45475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45475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45475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45475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45475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45475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45475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45475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45475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45475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45475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45475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45475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45475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45475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45475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45475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45475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45475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45475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45475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45475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45475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45475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45475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45475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45475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45475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45475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45475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45475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45475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45475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45475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45475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45475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45475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45475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45475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45475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45475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45475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45475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45475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45475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45475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45475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45475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45475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45475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45475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45475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45475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45475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45475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45475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45475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45475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45475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45475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45475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45475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45475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45475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45475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45475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45475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45475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45475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45475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45475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45475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45475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45475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45475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45475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45475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45475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45475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45475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45475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45475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45475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45475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45475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45475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45475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45475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45475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45475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45475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45475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45475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45475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45475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45475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45475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45475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45475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45475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45475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45475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45475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45475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45475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45475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45475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45475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45475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45475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45475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45475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45475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45475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45475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45475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45475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45475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45475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45475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45475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45475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45475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45475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45475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45475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45475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45475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45475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45475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45475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45475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45475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45475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45475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45475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45475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45475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45475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45475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45475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45475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45475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45475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45475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45475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45475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45475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45475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45475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45475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45475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45475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45475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45475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45475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45475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45475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45475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45475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45475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45475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45475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45475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45475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45475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45475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45475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45475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45475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45475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45475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45475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45475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45475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45475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45475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45475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45475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45475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45475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45475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45475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45475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45475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45475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45475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45475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45475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45475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45475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45475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45475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45475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45475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45475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45475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45475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45475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45475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45475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45475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45475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45475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45475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45475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45475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45475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45475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45475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45475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45475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45475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45475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45475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45475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45475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45475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45475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45475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45475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45475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45475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45475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45475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45475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45475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22539-2024</t>
        </is>
      </c>
      <c r="B1139" s="1" t="n">
        <v>45447</v>
      </c>
      <c r="C1139" s="1" t="n">
        <v>45475</v>
      </c>
      <c r="D1139" t="inlineStr">
        <is>
          <t>DALARNAS LÄN</t>
        </is>
      </c>
      <c r="E1139" t="inlineStr">
        <is>
          <t>FALUN</t>
        </is>
      </c>
      <c r="G1139" t="n">
        <v>14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22645-2024</t>
        </is>
      </c>
      <c r="B1140" s="1" t="n">
        <v>45447</v>
      </c>
      <c r="C1140" s="1" t="n">
        <v>45475</v>
      </c>
      <c r="D1140" t="inlineStr">
        <is>
          <t>DALARNAS LÄN</t>
        </is>
      </c>
      <c r="E1140" t="inlineStr">
        <is>
          <t>FALUN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22646-2024</t>
        </is>
      </c>
      <c r="B1141" s="1" t="n">
        <v>45447</v>
      </c>
      <c r="C1141" s="1" t="n">
        <v>45475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22758-2024</t>
        </is>
      </c>
      <c r="B1142" s="1" t="n">
        <v>45448</v>
      </c>
      <c r="C1142" s="1" t="n">
        <v>45475</v>
      </c>
      <c r="D1142" t="inlineStr">
        <is>
          <t>DALARNAS LÄN</t>
        </is>
      </c>
      <c r="E1142" t="inlineStr">
        <is>
          <t>FALUN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22782-2024</t>
        </is>
      </c>
      <c r="B1143" s="1" t="n">
        <v>45448</v>
      </c>
      <c r="C1143" s="1" t="n">
        <v>45475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22875-2024</t>
        </is>
      </c>
      <c r="B1144" s="1" t="n">
        <v>45448</v>
      </c>
      <c r="C1144" s="1" t="n">
        <v>45475</v>
      </c>
      <c r="D1144" t="inlineStr">
        <is>
          <t>DALARNAS LÄN</t>
        </is>
      </c>
      <c r="E1144" t="inlineStr">
        <is>
          <t>FALUN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45475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22905-2024</t>
        </is>
      </c>
      <c r="B1146" s="1" t="n">
        <v>45448</v>
      </c>
      <c r="C1146" s="1" t="n">
        <v>45475</v>
      </c>
      <c r="D1146" t="inlineStr">
        <is>
          <t>DALARNAS LÄN</t>
        </is>
      </c>
      <c r="E1146" t="inlineStr">
        <is>
          <t>FALUN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45475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23119-2024</t>
        </is>
      </c>
      <c r="B1148" s="1" t="n">
        <v>45450</v>
      </c>
      <c r="C1148" s="1" t="n">
        <v>45475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45475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45475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23627-2024</t>
        </is>
      </c>
      <c r="B1151" s="1" t="n">
        <v>45454</v>
      </c>
      <c r="C1151" s="1" t="n">
        <v>45475</v>
      </c>
      <c r="D1151" t="inlineStr">
        <is>
          <t>DALARNAS LÄN</t>
        </is>
      </c>
      <c r="E1151" t="inlineStr">
        <is>
          <t>FALUN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23642-2024</t>
        </is>
      </c>
      <c r="B1152" s="1" t="n">
        <v>45454</v>
      </c>
      <c r="C1152" s="1" t="n">
        <v>45475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23636-2024</t>
        </is>
      </c>
      <c r="B1153" s="1" t="n">
        <v>45454</v>
      </c>
      <c r="C1153" s="1" t="n">
        <v>45475</v>
      </c>
      <c r="D1153" t="inlineStr">
        <is>
          <t>DALARNAS LÄN</t>
        </is>
      </c>
      <c r="E1153" t="inlineStr">
        <is>
          <t>FALUN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45475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45475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45475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45475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24292-2024</t>
        </is>
      </c>
      <c r="B1158" s="1" t="n">
        <v>45457</v>
      </c>
      <c r="C1158" s="1" t="n">
        <v>45475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45475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45475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24628-2024</t>
        </is>
      </c>
      <c r="B1161" s="1" t="n">
        <v>45460</v>
      </c>
      <c r="C1161" s="1" t="n">
        <v>45475</v>
      </c>
      <c r="D1161" t="inlineStr">
        <is>
          <t>DALARNAS LÄN</t>
        </is>
      </c>
      <c r="E1161" t="inlineStr">
        <is>
          <t>FALUN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24632-2024</t>
        </is>
      </c>
      <c r="B1162" s="1" t="n">
        <v>45460</v>
      </c>
      <c r="C1162" s="1" t="n">
        <v>45475</v>
      </c>
      <c r="D1162" t="inlineStr">
        <is>
          <t>DALARNAS LÄN</t>
        </is>
      </c>
      <c r="E1162" t="inlineStr">
        <is>
          <t>FALUN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24640-2024</t>
        </is>
      </c>
      <c r="B1163" s="1" t="n">
        <v>45460</v>
      </c>
      <c r="C1163" s="1" t="n">
        <v>45475</v>
      </c>
      <c r="D1163" t="inlineStr">
        <is>
          <t>DALARNAS LÄN</t>
        </is>
      </c>
      <c r="E1163" t="inlineStr">
        <is>
          <t>FALUN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24542-2024</t>
        </is>
      </c>
      <c r="B1164" s="1" t="n">
        <v>45460</v>
      </c>
      <c r="C1164" s="1" t="n">
        <v>45475</v>
      </c>
      <c r="D1164" t="inlineStr">
        <is>
          <t>DALARNAS LÄN</t>
        </is>
      </c>
      <c r="E1164" t="inlineStr">
        <is>
          <t>FALUN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24550-2024</t>
        </is>
      </c>
      <c r="B1165" s="1" t="n">
        <v>45460</v>
      </c>
      <c r="C1165" s="1" t="n">
        <v>45475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24625-2024</t>
        </is>
      </c>
      <c r="B1166" s="1" t="n">
        <v>45460</v>
      </c>
      <c r="C1166" s="1" t="n">
        <v>45475</v>
      </c>
      <c r="D1166" t="inlineStr">
        <is>
          <t>DALARNAS LÄN</t>
        </is>
      </c>
      <c r="E1166" t="inlineStr">
        <is>
          <t>FALUN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24639-2024</t>
        </is>
      </c>
      <c r="B1167" s="1" t="n">
        <v>45460</v>
      </c>
      <c r="C1167" s="1" t="n">
        <v>45475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45475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25501-2024</t>
        </is>
      </c>
      <c r="B1169" s="1" t="n">
        <v>45463</v>
      </c>
      <c r="C1169" s="1" t="n">
        <v>45475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25990-2024</t>
        </is>
      </c>
      <c r="B1170" s="1" t="n">
        <v>45467</v>
      </c>
      <c r="C1170" s="1" t="n">
        <v>45475</v>
      </c>
      <c r="D1170" t="inlineStr">
        <is>
          <t>DALARNAS LÄN</t>
        </is>
      </c>
      <c r="E1170" t="inlineStr">
        <is>
          <t>FALUN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26360-2024</t>
        </is>
      </c>
      <c r="B1171" s="1" t="n">
        <v>45469</v>
      </c>
      <c r="C1171" s="1" t="n">
        <v>45475</v>
      </c>
      <c r="D1171" t="inlineStr">
        <is>
          <t>DALARNAS LÄN</t>
        </is>
      </c>
      <c r="E1171" t="inlineStr">
        <is>
          <t>FALUN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26565-2024</t>
        </is>
      </c>
      <c r="B1172" s="1" t="n">
        <v>45469</v>
      </c>
      <c r="C1172" s="1" t="n">
        <v>45475</v>
      </c>
      <c r="D1172" t="inlineStr">
        <is>
          <t>DALARNAS LÄN</t>
        </is>
      </c>
      <c r="E1172" t="inlineStr">
        <is>
          <t>FALUN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26773-2024</t>
        </is>
      </c>
      <c r="B1173" s="1" t="n">
        <v>45470</v>
      </c>
      <c r="C1173" s="1" t="n">
        <v>45475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26770-2024</t>
        </is>
      </c>
      <c r="B1174" s="1" t="n">
        <v>45470</v>
      </c>
      <c r="C1174" s="1" t="n">
        <v>45475</v>
      </c>
      <c r="D1174" t="inlineStr">
        <is>
          <t>DALARNAS LÄN</t>
        </is>
      </c>
      <c r="E1174" t="inlineStr">
        <is>
          <t>FALUN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27008-2024</t>
        </is>
      </c>
      <c r="B1175" s="1" t="n">
        <v>45471</v>
      </c>
      <c r="C1175" s="1" t="n">
        <v>45475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2024-07-02T10:43:50Z</dcterms:created>
  <dcterms:modified xmlns:dcterms="http://purl.org/dc/terms/" xmlns:xsi="http://www.w3.org/2001/XMLSchema-instance" xsi:type="dcterms:W3CDTF">2024-07-02T10:43:51Z</dcterms:modified>
</cp:coreProperties>
</file>