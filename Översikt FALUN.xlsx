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46106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46106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46106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46106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46106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46106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46106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46106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46106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46106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46106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46106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46106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46106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46106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46106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46106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46106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5462-2024</t>
        </is>
      </c>
      <c r="B20" s="1" t="n">
        <v>45332</v>
      </c>
      <c r="C20" s="1" t="n">
        <v>46106</v>
      </c>
      <c r="D20" t="inlineStr">
        <is>
          <t>DALARNAS LÄN</t>
        </is>
      </c>
      <c r="E20" t="inlineStr">
        <is>
          <t>FALUN</t>
        </is>
      </c>
      <c r="F20" t="inlineStr">
        <is>
          <t>Kyrkan</t>
        </is>
      </c>
      <c r="G20" t="n">
        <v>11.1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Liten svartspik
Vitgrynig nållav
Vitplätt
Dropptaggsvamp
Mindre märgborre</t>
        </is>
      </c>
      <c r="S20">
        <f>HYPERLINK("https://klasma.github.io/Logging_2080/artfynd/A 5462-2024 artfynd.xlsx", "A 5462-2024")</f>
        <v/>
      </c>
      <c r="T20">
        <f>HYPERLINK("https://klasma.github.io/Logging_2080/kartor/A 5462-2024 karta.png", "A 5462-2024")</f>
        <v/>
      </c>
      <c r="V20">
        <f>HYPERLINK("https://klasma.github.io/Logging_2080/klagomål/A 5462-2024 FSC-klagomål.docx", "A 5462-2024")</f>
        <v/>
      </c>
      <c r="W20">
        <f>HYPERLINK("https://klasma.github.io/Logging_2080/klagomålsmail/A 5462-2024 FSC-klagomål mail.docx", "A 5462-2024")</f>
        <v/>
      </c>
      <c r="X20">
        <f>HYPERLINK("https://klasma.github.io/Logging_2080/tillsyn/A 5462-2024 tillsynsbegäran.docx", "A 5462-2024")</f>
        <v/>
      </c>
      <c r="Y20">
        <f>HYPERLINK("https://klasma.github.io/Logging_2080/tillsynsmail/A 5462-2024 tillsynsbegäran mail.docx", "A 5462-2024")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46106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46106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46106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180-2026</t>
        </is>
      </c>
      <c r="B24" s="1" t="n">
        <v>46025</v>
      </c>
      <c r="C24" s="1" t="n">
        <v>46106</v>
      </c>
      <c r="D24" t="inlineStr">
        <is>
          <t>DALARNAS LÄN</t>
        </is>
      </c>
      <c r="E24" t="inlineStr">
        <is>
          <t>FALUN</t>
        </is>
      </c>
      <c r="G24" t="n">
        <v>6.9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Dropptaggsvamp
Mindre märgborre</t>
        </is>
      </c>
      <c r="S24">
        <f>HYPERLINK("https://klasma.github.io/Logging_2080/artfynd/A 180-2026 artfynd.xlsx", "A 180-2026")</f>
        <v/>
      </c>
      <c r="T24">
        <f>HYPERLINK("https://klasma.github.io/Logging_2080/kartor/A 180-2026 karta.png", "A 180-2026")</f>
        <v/>
      </c>
      <c r="V24">
        <f>HYPERLINK("https://klasma.github.io/Logging_2080/klagomål/A 180-2026 FSC-klagomål.docx", "A 180-2026")</f>
        <v/>
      </c>
      <c r="W24">
        <f>HYPERLINK("https://klasma.github.io/Logging_2080/klagomålsmail/A 180-2026 FSC-klagomål mail.docx", "A 180-2026")</f>
        <v/>
      </c>
      <c r="X24">
        <f>HYPERLINK("https://klasma.github.io/Logging_2080/tillsyn/A 180-2026 tillsynsbegäran.docx", "A 180-2026")</f>
        <v/>
      </c>
      <c r="Y24">
        <f>HYPERLINK("https://klasma.github.io/Logging_2080/tillsynsmail/A 180-2026 tillsynsbegäran mail.docx", "A 180-2026")</f>
        <v/>
      </c>
      <c r="Z24">
        <f>HYPERLINK("https://klasma.github.io/Logging_2080/fåglar/A 180-2026 prioriterade fågelarter.docx", "A 180-2026")</f>
        <v/>
      </c>
    </row>
    <row r="25" ht="15" customHeight="1">
      <c r="A25" t="inlineStr">
        <is>
          <t>A 14878-2024</t>
        </is>
      </c>
      <c r="B25" s="1" t="n">
        <v>45398.53618055556</v>
      </c>
      <c r="C25" s="1" t="n">
        <v>46106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3383-2026</t>
        </is>
      </c>
      <c r="B26" s="1" t="n">
        <v>46042.36033564815</v>
      </c>
      <c r="C26" s="1" t="n">
        <v>46106</v>
      </c>
      <c r="D26" t="inlineStr">
        <is>
          <t>DALARNAS LÄN</t>
        </is>
      </c>
      <c r="E26" t="inlineStr">
        <is>
          <t>FALUN</t>
        </is>
      </c>
      <c r="G26" t="n">
        <v>15.7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Talltita
Dropptaggsvamp
Mindre märgborre
Kungsfågel</t>
        </is>
      </c>
      <c r="S26">
        <f>HYPERLINK("https://klasma.github.io/Logging_2080/artfynd/A 3383-2026 artfynd.xlsx", "A 3383-2026")</f>
        <v/>
      </c>
      <c r="T26">
        <f>HYPERLINK("https://klasma.github.io/Logging_2080/kartor/A 3383-2026 karta.png", "A 3383-2026")</f>
        <v/>
      </c>
      <c r="V26">
        <f>HYPERLINK("https://klasma.github.io/Logging_2080/klagomål/A 3383-2026 FSC-klagomål.docx", "A 3383-2026")</f>
        <v/>
      </c>
      <c r="W26">
        <f>HYPERLINK("https://klasma.github.io/Logging_2080/klagomålsmail/A 3383-2026 FSC-klagomål mail.docx", "A 3383-2026")</f>
        <v/>
      </c>
      <c r="X26">
        <f>HYPERLINK("https://klasma.github.io/Logging_2080/tillsyn/A 3383-2026 tillsynsbegäran.docx", "A 3383-2026")</f>
        <v/>
      </c>
      <c r="Y26">
        <f>HYPERLINK("https://klasma.github.io/Logging_2080/tillsynsmail/A 3383-2026 tillsynsbegäran mail.docx", "A 3383-2026")</f>
        <v/>
      </c>
      <c r="Z26">
        <f>HYPERLINK("https://klasma.github.io/Logging_2080/fåglar/A 3383-2026 prioriterade fågelarter.docx", "A 3383-2026")</f>
        <v/>
      </c>
    </row>
    <row r="27" ht="15" customHeight="1">
      <c r="A27" t="inlineStr">
        <is>
          <t>A 4468-2026</t>
        </is>
      </c>
      <c r="B27" s="1" t="n">
        <v>46045</v>
      </c>
      <c r="C27" s="1" t="n">
        <v>46106</v>
      </c>
      <c r="D27" t="inlineStr">
        <is>
          <t>DALARNAS LÄN</t>
        </is>
      </c>
      <c r="E27" t="inlineStr">
        <is>
          <t>FALUN</t>
        </is>
      </c>
      <c r="G27" t="n">
        <v>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Bronshjon
Dropptaggsvamp
Mindre märgborre</t>
        </is>
      </c>
      <c r="S27">
        <f>HYPERLINK("https://klasma.github.io/Logging_2080/artfynd/A 4468-2026 artfynd.xlsx", "A 4468-2026")</f>
        <v/>
      </c>
      <c r="T27">
        <f>HYPERLINK("https://klasma.github.io/Logging_2080/kartor/A 4468-2026 karta.png", "A 4468-2026")</f>
        <v/>
      </c>
      <c r="V27">
        <f>HYPERLINK("https://klasma.github.io/Logging_2080/klagomål/A 4468-2026 FSC-klagomål.docx", "A 4468-2026")</f>
        <v/>
      </c>
      <c r="W27">
        <f>HYPERLINK("https://klasma.github.io/Logging_2080/klagomålsmail/A 4468-2026 FSC-klagomål mail.docx", "A 4468-2026")</f>
        <v/>
      </c>
      <c r="X27">
        <f>HYPERLINK("https://klasma.github.io/Logging_2080/tillsyn/A 4468-2026 tillsynsbegäran.docx", "A 4468-2026")</f>
        <v/>
      </c>
      <c r="Y27">
        <f>HYPERLINK("https://klasma.github.io/Logging_2080/tillsynsmail/A 4468-2026 tillsynsbegäran mail.docx", "A 4468-2026")</f>
        <v/>
      </c>
      <c r="Z27">
        <f>HYPERLINK("https://klasma.github.io/Logging_2080/fåglar/A 4468-2026 prioriterade fågelarter.docx", "A 4468-2026")</f>
        <v/>
      </c>
    </row>
    <row r="28" ht="15" customHeight="1">
      <c r="A28" t="inlineStr">
        <is>
          <t>A 643-2026</t>
        </is>
      </c>
      <c r="B28" s="1" t="n">
        <v>46029</v>
      </c>
      <c r="C28" s="1" t="n">
        <v>46106</v>
      </c>
      <c r="D28" t="inlineStr">
        <is>
          <t>DALARNAS LÄN</t>
        </is>
      </c>
      <c r="E28" t="inlineStr">
        <is>
          <t>FALUN</t>
        </is>
      </c>
      <c r="G28" t="n">
        <v>41.8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Dropptaggsvamp
Större vattensalamander
Tjäder
Skogsödla</t>
        </is>
      </c>
      <c r="S28">
        <f>HYPERLINK("https://klasma.github.io/Logging_2080/artfynd/A 643-2026 artfynd.xlsx", "A 643-2026")</f>
        <v/>
      </c>
      <c r="T28">
        <f>HYPERLINK("https://klasma.github.io/Logging_2080/kartor/A 643-2026 karta.png", "A 643-2026")</f>
        <v/>
      </c>
      <c r="V28">
        <f>HYPERLINK("https://klasma.github.io/Logging_2080/klagomål/A 643-2026 FSC-klagomål.docx", "A 643-2026")</f>
        <v/>
      </c>
      <c r="W28">
        <f>HYPERLINK("https://klasma.github.io/Logging_2080/klagomålsmail/A 643-2026 FSC-klagomål mail.docx", "A 643-2026")</f>
        <v/>
      </c>
      <c r="X28">
        <f>HYPERLINK("https://klasma.github.io/Logging_2080/tillsyn/A 643-2026 tillsynsbegäran.docx", "A 643-2026")</f>
        <v/>
      </c>
      <c r="Y28">
        <f>HYPERLINK("https://klasma.github.io/Logging_2080/tillsynsmail/A 643-2026 tillsynsbegäran mail.docx", "A 643-2026")</f>
        <v/>
      </c>
      <c r="Z28">
        <f>HYPERLINK("https://klasma.github.io/Logging_2080/fåglar/A 643-2026 prioriterade fågelarter.docx", "A 643-2026")</f>
        <v/>
      </c>
    </row>
    <row r="29" ht="15" customHeight="1">
      <c r="A29" t="inlineStr">
        <is>
          <t>A 14313-2026</t>
        </is>
      </c>
      <c r="B29" s="1" t="n">
        <v>46099.82939814815</v>
      </c>
      <c r="C29" s="1" t="n">
        <v>46106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39.7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Motaggsvamp
Fläcknycklar
Revlummer</t>
        </is>
      </c>
      <c r="S29">
        <f>HYPERLINK("https://klasma.github.io/Logging_2080/artfynd/A 14313-2026 artfynd.xlsx", "A 14313-2026")</f>
        <v/>
      </c>
      <c r="T29">
        <f>HYPERLINK("https://klasma.github.io/Logging_2080/kartor/A 14313-2026 karta.png", "A 14313-2026")</f>
        <v/>
      </c>
      <c r="V29">
        <f>HYPERLINK("https://klasma.github.io/Logging_2080/klagomål/A 14313-2026 FSC-klagomål.docx", "A 14313-2026")</f>
        <v/>
      </c>
      <c r="W29">
        <f>HYPERLINK("https://klasma.github.io/Logging_2080/klagomålsmail/A 14313-2026 FSC-klagomål mail.docx", "A 14313-2026")</f>
        <v/>
      </c>
      <c r="X29">
        <f>HYPERLINK("https://klasma.github.io/Logging_2080/tillsyn/A 14313-2026 tillsynsbegäran.docx", "A 14313-2026")</f>
        <v/>
      </c>
      <c r="Y29">
        <f>HYPERLINK("https://klasma.github.io/Logging_2080/tillsynsmail/A 14313-2026 tillsynsbegäran mail.docx", "A 14313-2026")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46106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46106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46106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55132-2024</t>
        </is>
      </c>
      <c r="B33" s="1" t="n">
        <v>45621.4734375</v>
      </c>
      <c r="C33" s="1" t="n">
        <v>46106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16.9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Gultoppig fingersvamp
Papegojvaxing
Tibast</t>
        </is>
      </c>
      <c r="S33">
        <f>HYPERLINK("https://klasma.github.io/Logging_2080/artfynd/A 55132-2024 artfynd.xlsx", "A 55132-2024")</f>
        <v/>
      </c>
      <c r="T33">
        <f>HYPERLINK("https://klasma.github.io/Logging_2080/kartor/A 55132-2024 karta.png", "A 55132-2024")</f>
        <v/>
      </c>
      <c r="V33">
        <f>HYPERLINK("https://klasma.github.io/Logging_2080/klagomål/A 55132-2024 FSC-klagomål.docx", "A 55132-2024")</f>
        <v/>
      </c>
      <c r="W33">
        <f>HYPERLINK("https://klasma.github.io/Logging_2080/klagomålsmail/A 55132-2024 FSC-klagomål mail.docx", "A 55132-2024")</f>
        <v/>
      </c>
      <c r="X33">
        <f>HYPERLINK("https://klasma.github.io/Logging_2080/tillsyn/A 55132-2024 tillsynsbegäran.docx", "A 55132-2024")</f>
        <v/>
      </c>
      <c r="Y33">
        <f>HYPERLINK("https://klasma.github.io/Logging_2080/tillsynsmail/A 55132-2024 tillsynsbegäran mail.docx", "A 55132-2024")</f>
        <v/>
      </c>
    </row>
    <row r="34" ht="15" customHeight="1">
      <c r="A34" t="inlineStr">
        <is>
          <t>A 61535-2022</t>
        </is>
      </c>
      <c r="B34" s="1" t="n">
        <v>44916</v>
      </c>
      <c r="C34" s="1" t="n">
        <v>46106</v>
      </c>
      <c r="D34" t="inlineStr">
        <is>
          <t>DALARNAS LÄN</t>
        </is>
      </c>
      <c r="E34" t="inlineStr">
        <is>
          <t>FALUN</t>
        </is>
      </c>
      <c r="G34" t="n">
        <v>13.1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Spillkråka
Sparvuggla</t>
        </is>
      </c>
      <c r="S34">
        <f>HYPERLINK("https://klasma.github.io/Logging_2080/artfynd/A 61535-2022 artfynd.xlsx", "A 61535-2022")</f>
        <v/>
      </c>
      <c r="T34">
        <f>HYPERLINK("https://klasma.github.io/Logging_2080/kartor/A 61535-2022 karta.png", "A 61535-2022")</f>
        <v/>
      </c>
      <c r="U34">
        <f>HYPERLINK("https://klasma.github.io/Logging_2080/knärot/A 61535-2022 karta knärot.png", "A 61535-2022")</f>
        <v/>
      </c>
      <c r="V34">
        <f>HYPERLINK("https://klasma.github.io/Logging_2080/klagomål/A 61535-2022 FSC-klagomål.docx", "A 61535-2022")</f>
        <v/>
      </c>
      <c r="W34">
        <f>HYPERLINK("https://klasma.github.io/Logging_2080/klagomålsmail/A 61535-2022 FSC-klagomål mail.docx", "A 61535-2022")</f>
        <v/>
      </c>
      <c r="X34">
        <f>HYPERLINK("https://klasma.github.io/Logging_2080/tillsyn/A 61535-2022 tillsynsbegäran.docx", "A 61535-2022")</f>
        <v/>
      </c>
      <c r="Y34">
        <f>HYPERLINK("https://klasma.github.io/Logging_2080/tillsynsmail/A 61535-2022 tillsynsbegäran mail.docx", "A 61535-2022")</f>
        <v/>
      </c>
      <c r="Z34">
        <f>HYPERLINK("https://klasma.github.io/Logging_2080/fåglar/A 61535-2022 prioriterade fågelarter.docx", "A 61535-2022")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46106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6816-2026</t>
        </is>
      </c>
      <c r="B36" s="1" t="n">
        <v>46056</v>
      </c>
      <c r="C36" s="1" t="n">
        <v>46106</v>
      </c>
      <c r="D36" t="inlineStr">
        <is>
          <t>DALARNAS LÄN</t>
        </is>
      </c>
      <c r="E36" t="inlineStr">
        <is>
          <t>FALUN</t>
        </is>
      </c>
      <c r="F36" t="inlineStr">
        <is>
          <t>Allmännings- och besparingsskogar</t>
        </is>
      </c>
      <c r="G36" t="n">
        <v>9.5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Doftskinn
Gammelgransskål
Plattlummer</t>
        </is>
      </c>
      <c r="S36">
        <f>HYPERLINK("https://klasma.github.io/Logging_2080/artfynd/A 6816-2026 artfynd.xlsx", "A 6816-2026")</f>
        <v/>
      </c>
      <c r="T36">
        <f>HYPERLINK("https://klasma.github.io/Logging_2080/kartor/A 6816-2026 karta.png", "A 6816-2026")</f>
        <v/>
      </c>
      <c r="V36">
        <f>HYPERLINK("https://klasma.github.io/Logging_2080/klagomål/A 6816-2026 FSC-klagomål.docx", "A 6816-2026")</f>
        <v/>
      </c>
      <c r="W36">
        <f>HYPERLINK("https://klasma.github.io/Logging_2080/klagomålsmail/A 6816-2026 FSC-klagomål mail.docx", "A 6816-2026")</f>
        <v/>
      </c>
      <c r="X36">
        <f>HYPERLINK("https://klasma.github.io/Logging_2080/tillsyn/A 6816-2026 tillsynsbegäran.docx", "A 6816-2026")</f>
        <v/>
      </c>
      <c r="Y36">
        <f>HYPERLINK("https://klasma.github.io/Logging_2080/tillsynsmail/A 6816-2026 tillsynsbegäran mail.docx", "A 6816-2026")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46106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2556-2023</t>
        </is>
      </c>
      <c r="B38" s="1" t="n">
        <v>44943</v>
      </c>
      <c r="C38" s="1" t="n">
        <v>46106</v>
      </c>
      <c r="D38" t="inlineStr">
        <is>
          <t>DALARNAS LÄN</t>
        </is>
      </c>
      <c r="E38" t="inlineStr">
        <is>
          <t>FALUN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Trolldruvemätare
Svart trolldruva</t>
        </is>
      </c>
      <c r="S38">
        <f>HYPERLINK("https://klasma.github.io/Logging_2080/artfynd/A 2556-2023 artfynd.xlsx", "A 2556-2023")</f>
        <v/>
      </c>
      <c r="T38">
        <f>HYPERLINK("https://klasma.github.io/Logging_2080/kartor/A 2556-2023 karta.png", "A 2556-2023")</f>
        <v/>
      </c>
      <c r="V38">
        <f>HYPERLINK("https://klasma.github.io/Logging_2080/klagomål/A 2556-2023 FSC-klagomål.docx", "A 2556-2023")</f>
        <v/>
      </c>
      <c r="W38">
        <f>HYPERLINK("https://klasma.github.io/Logging_2080/klagomålsmail/A 2556-2023 FSC-klagomål mail.docx", "A 2556-2023")</f>
        <v/>
      </c>
      <c r="X38">
        <f>HYPERLINK("https://klasma.github.io/Logging_2080/tillsyn/A 2556-2023 tillsynsbegäran.docx", "A 2556-2023")</f>
        <v/>
      </c>
      <c r="Y38">
        <f>HYPERLINK("https://klasma.github.io/Logging_2080/tillsynsmail/A 2556-2023 tillsynsbegäran mail.docx", "A 2556-2023")</f>
        <v/>
      </c>
    </row>
    <row r="39" ht="15" customHeight="1">
      <c r="A39" t="inlineStr">
        <is>
          <t>A 14308-2026</t>
        </is>
      </c>
      <c r="B39" s="1" t="n">
        <v>46099.82643518518</v>
      </c>
      <c r="C39" s="1" t="n">
        <v>46106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44.5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Järpe
Kungsörn</t>
        </is>
      </c>
      <c r="S39">
        <f>HYPERLINK("https://klasma.github.io/Logging_2080/artfynd/A 14308-2026 artfynd.xlsx", "A 14308-2026")</f>
        <v/>
      </c>
      <c r="T39">
        <f>HYPERLINK("https://klasma.github.io/Logging_2080/kartor/A 14308-2026 karta.png", "A 14308-2026")</f>
        <v/>
      </c>
      <c r="V39">
        <f>HYPERLINK("https://klasma.github.io/Logging_2080/klagomål/A 14308-2026 FSC-klagomål.docx", "A 14308-2026")</f>
        <v/>
      </c>
      <c r="W39">
        <f>HYPERLINK("https://klasma.github.io/Logging_2080/klagomålsmail/A 14308-2026 FSC-klagomål mail.docx", "A 14308-2026")</f>
        <v/>
      </c>
      <c r="X39">
        <f>HYPERLINK("https://klasma.github.io/Logging_2080/tillsyn/A 14308-2026 tillsynsbegäran.docx", "A 14308-2026")</f>
        <v/>
      </c>
      <c r="Y39">
        <f>HYPERLINK("https://klasma.github.io/Logging_2080/tillsynsmail/A 14308-2026 tillsynsbegäran mail.docx", "A 14308-2026")</f>
        <v/>
      </c>
      <c r="Z39">
        <f>HYPERLINK("https://klasma.github.io/Logging_2080/fåglar/A 14308-2026 prioriterade fågelarter.docx", "A 14308-2026")</f>
        <v/>
      </c>
    </row>
    <row r="40" ht="15" customHeight="1">
      <c r="A40" t="inlineStr">
        <is>
          <t>A 13961-2026</t>
        </is>
      </c>
      <c r="B40" s="1" t="n">
        <v>46098.56763888889</v>
      </c>
      <c r="C40" s="1" t="n">
        <v>46106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18.7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Plattlummer</t>
        </is>
      </c>
      <c r="S40">
        <f>HYPERLINK("https://klasma.github.io/Logging_2080/artfynd/A 13961-2026 artfynd.xlsx", "A 13961-2026")</f>
        <v/>
      </c>
      <c r="T40">
        <f>HYPERLINK("https://klasma.github.io/Logging_2080/kartor/A 13961-2026 karta.png", "A 13961-2026")</f>
        <v/>
      </c>
      <c r="V40">
        <f>HYPERLINK("https://klasma.github.io/Logging_2080/klagomål/A 13961-2026 FSC-klagomål.docx", "A 13961-2026")</f>
        <v/>
      </c>
      <c r="W40">
        <f>HYPERLINK("https://klasma.github.io/Logging_2080/klagomålsmail/A 13961-2026 FSC-klagomål mail.docx", "A 13961-2026")</f>
        <v/>
      </c>
      <c r="X40">
        <f>HYPERLINK("https://klasma.github.io/Logging_2080/tillsyn/A 13961-2026 tillsynsbegäran.docx", "A 13961-2026")</f>
        <v/>
      </c>
      <c r="Y40">
        <f>HYPERLINK("https://klasma.github.io/Logging_2080/tillsynsmail/A 13961-2026 tillsynsbegäran mail.docx", "A 13961-2026")</f>
        <v/>
      </c>
    </row>
    <row r="41" ht="15" customHeight="1">
      <c r="A41" t="inlineStr">
        <is>
          <t>A 6965-2026</t>
        </is>
      </c>
      <c r="B41" s="1" t="n">
        <v>46056</v>
      </c>
      <c r="C41" s="1" t="n">
        <v>46106</v>
      </c>
      <c r="D41" t="inlineStr">
        <is>
          <t>DALARNAS LÄN</t>
        </is>
      </c>
      <c r="E41" t="inlineStr">
        <is>
          <t>FALUN</t>
        </is>
      </c>
      <c r="F41" t="inlineStr">
        <is>
          <t>Allmännings- och besparingsskogar</t>
        </is>
      </c>
      <c r="G41" t="n">
        <v>29.7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Tallticka</t>
        </is>
      </c>
      <c r="S41">
        <f>HYPERLINK("https://klasma.github.io/Logging_2080/artfynd/A 6965-2026 artfynd.xlsx", "A 6965-2026")</f>
        <v/>
      </c>
      <c r="T41">
        <f>HYPERLINK("https://klasma.github.io/Logging_2080/kartor/A 6965-2026 karta.png", "A 6965-2026")</f>
        <v/>
      </c>
      <c r="V41">
        <f>HYPERLINK("https://klasma.github.io/Logging_2080/klagomål/A 6965-2026 FSC-klagomål.docx", "A 6965-2026")</f>
        <v/>
      </c>
      <c r="W41">
        <f>HYPERLINK("https://klasma.github.io/Logging_2080/klagomålsmail/A 6965-2026 FSC-klagomål mail.docx", "A 6965-2026")</f>
        <v/>
      </c>
      <c r="X41">
        <f>HYPERLINK("https://klasma.github.io/Logging_2080/tillsyn/A 6965-2026 tillsynsbegäran.docx", "A 6965-2026")</f>
        <v/>
      </c>
      <c r="Y41">
        <f>HYPERLINK("https://klasma.github.io/Logging_2080/tillsynsmail/A 6965-2026 tillsynsbegäran mail.docx", "A 6965-2026")</f>
        <v/>
      </c>
    </row>
    <row r="42" ht="15" customHeight="1">
      <c r="A42" t="inlineStr">
        <is>
          <t>A 28119-2025</t>
        </is>
      </c>
      <c r="B42" s="1" t="n">
        <v>45818</v>
      </c>
      <c r="C42" s="1" t="n">
        <v>46106</v>
      </c>
      <c r="D42" t="inlineStr">
        <is>
          <t>DALARNAS LÄN</t>
        </is>
      </c>
      <c r="E42" t="inlineStr">
        <is>
          <t>FALUN</t>
        </is>
      </c>
      <c r="G42" t="n">
        <v>7.4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Pudrad kärrtrollslända</t>
        </is>
      </c>
      <c r="S42">
        <f>HYPERLINK("https://klasma.github.io/Logging_2080/artfynd/A 28119-2025 artfynd.xlsx", "A 28119-2025")</f>
        <v/>
      </c>
      <c r="T42">
        <f>HYPERLINK("https://klasma.github.io/Logging_2080/kartor/A 28119-2025 karta.png", "A 28119-2025")</f>
        <v/>
      </c>
      <c r="V42">
        <f>HYPERLINK("https://klasma.github.io/Logging_2080/klagomål/A 28119-2025 FSC-klagomål.docx", "A 28119-2025")</f>
        <v/>
      </c>
      <c r="W42">
        <f>HYPERLINK("https://klasma.github.io/Logging_2080/klagomålsmail/A 28119-2025 FSC-klagomål mail.docx", "A 28119-2025")</f>
        <v/>
      </c>
      <c r="X42">
        <f>HYPERLINK("https://klasma.github.io/Logging_2080/tillsyn/A 28119-2025 tillsynsbegäran.docx", "A 28119-2025")</f>
        <v/>
      </c>
      <c r="Y42">
        <f>HYPERLINK("https://klasma.github.io/Logging_2080/tillsynsmail/A 28119-2025 tillsynsbegäran mail.docx", "A 28119-2025")</f>
        <v/>
      </c>
    </row>
    <row r="43" ht="15" customHeight="1">
      <c r="A43" t="inlineStr">
        <is>
          <t>A 18714-2023</t>
        </is>
      </c>
      <c r="B43" s="1" t="n">
        <v>45043.64988425926</v>
      </c>
      <c r="C43" s="1" t="n">
        <v>46106</v>
      </c>
      <c r="D43" t="inlineStr">
        <is>
          <t>DALARNAS LÄN</t>
        </is>
      </c>
      <c r="E43" t="inlineStr">
        <is>
          <t>FALUN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Bronshjon</t>
        </is>
      </c>
      <c r="S43">
        <f>HYPERLINK("https://klasma.github.io/Logging_2080/artfynd/A 18714-2023 artfynd.xlsx", "A 18714-2023")</f>
        <v/>
      </c>
      <c r="T43">
        <f>HYPERLINK("https://klasma.github.io/Logging_2080/kartor/A 18714-2023 karta.png", "A 18714-2023")</f>
        <v/>
      </c>
      <c r="V43">
        <f>HYPERLINK("https://klasma.github.io/Logging_2080/klagomål/A 18714-2023 FSC-klagomål.docx", "A 18714-2023")</f>
        <v/>
      </c>
      <c r="W43">
        <f>HYPERLINK("https://klasma.github.io/Logging_2080/klagomålsmail/A 18714-2023 FSC-klagomål mail.docx", "A 18714-2023")</f>
        <v/>
      </c>
      <c r="X43">
        <f>HYPERLINK("https://klasma.github.io/Logging_2080/tillsyn/A 18714-2023 tillsynsbegäran.docx", "A 18714-2023")</f>
        <v/>
      </c>
      <c r="Y43">
        <f>HYPERLINK("https://klasma.github.io/Logging_2080/tillsynsmail/A 18714-2023 tillsynsbegäran mail.docx", "A 18714-2023")</f>
        <v/>
      </c>
    </row>
    <row r="44" ht="15" customHeight="1">
      <c r="A44" t="inlineStr">
        <is>
          <t>A 1919-2025</t>
        </is>
      </c>
      <c r="B44" s="1" t="n">
        <v>45671</v>
      </c>
      <c r="C44" s="1" t="n">
        <v>46106</v>
      </c>
      <c r="D44" t="inlineStr">
        <is>
          <t>DALARNAS LÄN</t>
        </is>
      </c>
      <c r="E44" t="inlineStr">
        <is>
          <t>FALUN</t>
        </is>
      </c>
      <c r="G44" t="n">
        <v>4.8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Dropptaggsvamp</t>
        </is>
      </c>
      <c r="S44">
        <f>HYPERLINK("https://klasma.github.io/Logging_2080/artfynd/A 1919-2025 artfynd.xlsx", "A 1919-2025")</f>
        <v/>
      </c>
      <c r="T44">
        <f>HYPERLINK("https://klasma.github.io/Logging_2080/kartor/A 1919-2025 karta.png", "A 1919-2025")</f>
        <v/>
      </c>
      <c r="V44">
        <f>HYPERLINK("https://klasma.github.io/Logging_2080/klagomål/A 1919-2025 FSC-klagomål.docx", "A 1919-2025")</f>
        <v/>
      </c>
      <c r="W44">
        <f>HYPERLINK("https://klasma.github.io/Logging_2080/klagomålsmail/A 1919-2025 FSC-klagomål mail.docx", "A 1919-2025")</f>
        <v/>
      </c>
      <c r="X44">
        <f>HYPERLINK("https://klasma.github.io/Logging_2080/tillsyn/A 1919-2025 tillsynsbegäran.docx", "A 1919-2025")</f>
        <v/>
      </c>
      <c r="Y44">
        <f>HYPERLINK("https://klasma.github.io/Logging_2080/tillsynsmail/A 1919-2025 tillsynsbegäran mail.docx", "A 1919-2025")</f>
        <v/>
      </c>
    </row>
    <row r="45" ht="15" customHeight="1">
      <c r="A45" t="inlineStr">
        <is>
          <t>A 11777-2025</t>
        </is>
      </c>
      <c r="B45" s="1" t="n">
        <v>45727.70813657407</v>
      </c>
      <c r="C45" s="1" t="n">
        <v>46106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Revlummer</t>
        </is>
      </c>
      <c r="S45">
        <f>HYPERLINK("https://klasma.github.io/Logging_2080/artfynd/A 11777-2025 artfynd.xlsx", "A 11777-2025")</f>
        <v/>
      </c>
      <c r="T45">
        <f>HYPERLINK("https://klasma.github.io/Logging_2080/kartor/A 11777-2025 karta.png", "A 11777-2025")</f>
        <v/>
      </c>
      <c r="U45">
        <f>HYPERLINK("https://klasma.github.io/Logging_2080/knärot/A 11777-2025 karta knärot.png", "A 11777-2025")</f>
        <v/>
      </c>
      <c r="V45">
        <f>HYPERLINK("https://klasma.github.io/Logging_2080/klagomål/A 11777-2025 FSC-klagomål.docx", "A 11777-2025")</f>
        <v/>
      </c>
      <c r="W45">
        <f>HYPERLINK("https://klasma.github.io/Logging_2080/klagomålsmail/A 11777-2025 FSC-klagomål mail.docx", "A 11777-2025")</f>
        <v/>
      </c>
      <c r="X45">
        <f>HYPERLINK("https://klasma.github.io/Logging_2080/tillsyn/A 11777-2025 tillsynsbegäran.docx", "A 11777-2025")</f>
        <v/>
      </c>
      <c r="Y45">
        <f>HYPERLINK("https://klasma.github.io/Logging_2080/tillsynsmail/A 11777-2025 tillsynsbegäran mail.docx", "A 11777-2025")</f>
        <v/>
      </c>
    </row>
    <row r="46" ht="15" customHeight="1">
      <c r="A46" t="inlineStr">
        <is>
          <t>A 36197-2025</t>
        </is>
      </c>
      <c r="B46" s="1" t="n">
        <v>45867.43554398148</v>
      </c>
      <c r="C46" s="1" t="n">
        <v>46106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27.9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HYPERLINK("https://klasma.github.io/Logging_2080/artfynd/A 36197-2025 artfynd.xlsx", "A 36197-2025")</f>
        <v/>
      </c>
      <c r="T46">
        <f>HYPERLINK("https://klasma.github.io/Logging_2080/kartor/A 36197-2025 karta.png", "A 36197-2025")</f>
        <v/>
      </c>
      <c r="U46">
        <f>HYPERLINK("https://klasma.github.io/Logging_2080/knärot/A 36197-2025 karta knärot.png", "A 36197-2025")</f>
        <v/>
      </c>
      <c r="V46">
        <f>HYPERLINK("https://klasma.github.io/Logging_2080/klagomål/A 36197-2025 FSC-klagomål.docx", "A 36197-2025")</f>
        <v/>
      </c>
      <c r="W46">
        <f>HYPERLINK("https://klasma.github.io/Logging_2080/klagomålsmail/A 36197-2025 FSC-klagomål mail.docx", "A 36197-2025")</f>
        <v/>
      </c>
      <c r="X46">
        <f>HYPERLINK("https://klasma.github.io/Logging_2080/tillsyn/A 36197-2025 tillsynsbegäran.docx", "A 36197-2025")</f>
        <v/>
      </c>
      <c r="Y46">
        <f>HYPERLINK("https://klasma.github.io/Logging_2080/tillsynsmail/A 36197-2025 tillsynsbegäran mail.docx", "A 36197-2025")</f>
        <v/>
      </c>
    </row>
    <row r="47" ht="15" customHeight="1">
      <c r="A47" t="inlineStr">
        <is>
          <t>A 2055-2025</t>
        </is>
      </c>
      <c r="B47" s="1" t="n">
        <v>45671</v>
      </c>
      <c r="C47" s="1" t="n">
        <v>46106</v>
      </c>
      <c r="D47" t="inlineStr">
        <is>
          <t>DALARNAS LÄN</t>
        </is>
      </c>
      <c r="E47" t="inlineStr">
        <is>
          <t>FALUN</t>
        </is>
      </c>
      <c r="G47" t="n">
        <v>1.5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HYPERLINK("https://klasma.github.io/Logging_2080/artfynd/A 2055-2025 artfynd.xlsx", "A 2055-2025")</f>
        <v/>
      </c>
      <c r="T47">
        <f>HYPERLINK("https://klasma.github.io/Logging_2080/kartor/A 2055-2025 karta.png", "A 2055-2025")</f>
        <v/>
      </c>
      <c r="U47">
        <f>HYPERLINK("https://klasma.github.io/Logging_2080/knärot/A 2055-2025 karta knärot.png", "A 2055-2025")</f>
        <v/>
      </c>
      <c r="V47">
        <f>HYPERLINK("https://klasma.github.io/Logging_2080/klagomål/A 2055-2025 FSC-klagomål.docx", "A 2055-2025")</f>
        <v/>
      </c>
      <c r="W47">
        <f>HYPERLINK("https://klasma.github.io/Logging_2080/klagomålsmail/A 2055-2025 FSC-klagomål mail.docx", "A 2055-2025")</f>
        <v/>
      </c>
      <c r="X47">
        <f>HYPERLINK("https://klasma.github.io/Logging_2080/tillsyn/A 2055-2025 tillsynsbegäran.docx", "A 2055-2025")</f>
        <v/>
      </c>
      <c r="Y47">
        <f>HYPERLINK("https://klasma.github.io/Logging_2080/tillsynsmail/A 2055-2025 tillsynsbegäran mail.docx", "A 2055-2025")</f>
        <v/>
      </c>
    </row>
    <row r="48" ht="15" customHeight="1">
      <c r="A48" t="inlineStr">
        <is>
          <t>A 9222-2025</t>
        </is>
      </c>
      <c r="B48" s="1" t="n">
        <v>45714.52729166667</v>
      </c>
      <c r="C48" s="1" t="n">
        <v>46106</v>
      </c>
      <c r="D48" t="inlineStr">
        <is>
          <t>DALARNAS LÄN</t>
        </is>
      </c>
      <c r="E48" t="inlineStr">
        <is>
          <t>FALUN</t>
        </is>
      </c>
      <c r="G48" t="n">
        <v>1.1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HYPERLINK("https://klasma.github.io/Logging_2080/artfynd/A 9222-2025 artfynd.xlsx", "A 9222-2025")</f>
        <v/>
      </c>
      <c r="T48">
        <f>HYPERLINK("https://klasma.github.io/Logging_2080/kartor/A 9222-2025 karta.png", "A 9222-2025")</f>
        <v/>
      </c>
      <c r="U48">
        <f>HYPERLINK("https://klasma.github.io/Logging_2080/knärot/A 9222-2025 karta knärot.png", "A 9222-2025")</f>
        <v/>
      </c>
      <c r="V48">
        <f>HYPERLINK("https://klasma.github.io/Logging_2080/klagomål/A 9222-2025 FSC-klagomål.docx", "A 9222-2025")</f>
        <v/>
      </c>
      <c r="W48">
        <f>HYPERLINK("https://klasma.github.io/Logging_2080/klagomålsmail/A 9222-2025 FSC-klagomål mail.docx", "A 9222-2025")</f>
        <v/>
      </c>
      <c r="X48">
        <f>HYPERLINK("https://klasma.github.io/Logging_2080/tillsyn/A 9222-2025 tillsynsbegäran.docx", "A 9222-2025")</f>
        <v/>
      </c>
      <c r="Y48">
        <f>HYPERLINK("https://klasma.github.io/Logging_2080/tillsynsmail/A 9222-2025 tillsynsbegäran mail.docx", "A 9222-2025")</f>
        <v/>
      </c>
    </row>
    <row r="49" ht="15" customHeight="1">
      <c r="A49" t="inlineStr">
        <is>
          <t>A 28930-2025</t>
        </is>
      </c>
      <c r="B49" s="1" t="n">
        <v>45820</v>
      </c>
      <c r="C49" s="1" t="n">
        <v>46106</v>
      </c>
      <c r="D49" t="inlineStr">
        <is>
          <t>DALARNAS LÄN</t>
        </is>
      </c>
      <c r="E49" t="inlineStr">
        <is>
          <t>FALUN</t>
        </is>
      </c>
      <c r="G49" t="n">
        <v>1.6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Kungsfågel</t>
        </is>
      </c>
      <c r="S49">
        <f>HYPERLINK("https://klasma.github.io/Logging_2080/artfynd/A 28930-2025 artfynd.xlsx", "A 28930-2025")</f>
        <v/>
      </c>
      <c r="T49">
        <f>HYPERLINK("https://klasma.github.io/Logging_2080/kartor/A 28930-2025 karta.png", "A 28930-2025")</f>
        <v/>
      </c>
      <c r="U49">
        <f>HYPERLINK("https://klasma.github.io/Logging_2080/knärot/A 28930-2025 karta knärot.png", "A 28930-2025")</f>
        <v/>
      </c>
      <c r="V49">
        <f>HYPERLINK("https://klasma.github.io/Logging_2080/klagomål/A 28930-2025 FSC-klagomål.docx", "A 28930-2025")</f>
        <v/>
      </c>
      <c r="W49">
        <f>HYPERLINK("https://klasma.github.io/Logging_2080/klagomålsmail/A 28930-2025 FSC-klagomål mail.docx", "A 28930-2025")</f>
        <v/>
      </c>
      <c r="X49">
        <f>HYPERLINK("https://klasma.github.io/Logging_2080/tillsyn/A 28930-2025 tillsynsbegäran.docx", "A 28930-2025")</f>
        <v/>
      </c>
      <c r="Y49">
        <f>HYPERLINK("https://klasma.github.io/Logging_2080/tillsynsmail/A 28930-2025 tillsynsbegäran mail.docx", "A 28930-2025")</f>
        <v/>
      </c>
      <c r="Z49">
        <f>HYPERLINK("https://klasma.github.io/Logging_2080/fåglar/A 28930-2025 prioriterade fågelarter.docx", "A 28930-2025")</f>
        <v/>
      </c>
    </row>
    <row r="50" ht="15" customHeight="1">
      <c r="A50" t="inlineStr">
        <is>
          <t>A 47005-2025</t>
        </is>
      </c>
      <c r="B50" s="1" t="n">
        <v>45929.55561342592</v>
      </c>
      <c r="C50" s="1" t="n">
        <v>46106</v>
      </c>
      <c r="D50" t="inlineStr">
        <is>
          <t>DALARNAS LÄN</t>
        </is>
      </c>
      <c r="E50" t="inlineStr">
        <is>
          <t>FALUN</t>
        </is>
      </c>
      <c r="G50" t="n">
        <v>2.7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 gräsfjäril
Revlummer</t>
        </is>
      </c>
      <c r="S50">
        <f>HYPERLINK("https://klasma.github.io/Logging_2080/artfynd/A 47005-2025 artfynd.xlsx", "A 47005-2025")</f>
        <v/>
      </c>
      <c r="T50">
        <f>HYPERLINK("https://klasma.github.io/Logging_2080/kartor/A 47005-2025 karta.png", "A 47005-2025")</f>
        <v/>
      </c>
      <c r="V50">
        <f>HYPERLINK("https://klasma.github.io/Logging_2080/klagomål/A 47005-2025 FSC-klagomål.docx", "A 47005-2025")</f>
        <v/>
      </c>
      <c r="W50">
        <f>HYPERLINK("https://klasma.github.io/Logging_2080/klagomålsmail/A 47005-2025 FSC-klagomål mail.docx", "A 47005-2025")</f>
        <v/>
      </c>
      <c r="X50">
        <f>HYPERLINK("https://klasma.github.io/Logging_2080/tillsyn/A 47005-2025 tillsynsbegäran.docx", "A 47005-2025")</f>
        <v/>
      </c>
      <c r="Y50">
        <f>HYPERLINK("https://klasma.github.io/Logging_2080/tillsynsmail/A 47005-2025 tillsynsbegäran mail.docx", "A 47005-2025")</f>
        <v/>
      </c>
    </row>
    <row r="51" ht="15" customHeight="1">
      <c r="A51" t="inlineStr">
        <is>
          <t>A 64073-2025</t>
        </is>
      </c>
      <c r="B51" s="1" t="n">
        <v>46021.65603009259</v>
      </c>
      <c r="C51" s="1" t="n">
        <v>46106</v>
      </c>
      <c r="D51" t="inlineStr">
        <is>
          <t>DALARNAS LÄN</t>
        </is>
      </c>
      <c r="E51" t="inlineStr">
        <is>
          <t>FALUN</t>
        </is>
      </c>
      <c r="G51" t="n">
        <v>2.9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Stare
Blåsippa</t>
        </is>
      </c>
      <c r="S51">
        <f>HYPERLINK("https://klasma.github.io/Logging_2080/artfynd/A 64073-2025 artfynd.xlsx", "A 64073-2025")</f>
        <v/>
      </c>
      <c r="T51">
        <f>HYPERLINK("https://klasma.github.io/Logging_2080/kartor/A 64073-2025 karta.png", "A 64073-2025")</f>
        <v/>
      </c>
      <c r="V51">
        <f>HYPERLINK("https://klasma.github.io/Logging_2080/klagomål/A 64073-2025 FSC-klagomål.docx", "A 64073-2025")</f>
        <v/>
      </c>
      <c r="W51">
        <f>HYPERLINK("https://klasma.github.io/Logging_2080/klagomålsmail/A 64073-2025 FSC-klagomål mail.docx", "A 64073-2025")</f>
        <v/>
      </c>
      <c r="X51">
        <f>HYPERLINK("https://klasma.github.io/Logging_2080/tillsyn/A 64073-2025 tillsynsbegäran.docx", "A 64073-2025")</f>
        <v/>
      </c>
      <c r="Y51">
        <f>HYPERLINK("https://klasma.github.io/Logging_2080/tillsynsmail/A 64073-2025 tillsynsbegäran mail.docx", "A 64073-2025")</f>
        <v/>
      </c>
    </row>
    <row r="52" ht="15" customHeight="1">
      <c r="A52" t="inlineStr">
        <is>
          <t>A 98-2026</t>
        </is>
      </c>
      <c r="B52" s="1" t="n">
        <v>46024.49847222222</v>
      </c>
      <c r="C52" s="1" t="n">
        <v>46106</v>
      </c>
      <c r="D52" t="inlineStr">
        <is>
          <t>DALARNAS LÄN</t>
        </is>
      </c>
      <c r="E52" t="inlineStr">
        <is>
          <t>FALUN</t>
        </is>
      </c>
      <c r="G52" t="n">
        <v>5.4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Rosenticka</t>
        </is>
      </c>
      <c r="S52">
        <f>HYPERLINK("https://klasma.github.io/Logging_2080/artfynd/A 98-2026 artfynd.xlsx", "A 98-2026")</f>
        <v/>
      </c>
      <c r="T52">
        <f>HYPERLINK("https://klasma.github.io/Logging_2080/kartor/A 98-2026 karta.png", "A 98-2026")</f>
        <v/>
      </c>
      <c r="V52">
        <f>HYPERLINK("https://klasma.github.io/Logging_2080/klagomål/A 98-2026 FSC-klagomål.docx", "A 98-2026")</f>
        <v/>
      </c>
      <c r="W52">
        <f>HYPERLINK("https://klasma.github.io/Logging_2080/klagomålsmail/A 98-2026 FSC-klagomål mail.docx", "A 98-2026")</f>
        <v/>
      </c>
      <c r="X52">
        <f>HYPERLINK("https://klasma.github.io/Logging_2080/tillsyn/A 98-2026 tillsynsbegäran.docx", "A 98-2026")</f>
        <v/>
      </c>
      <c r="Y52">
        <f>HYPERLINK("https://klasma.github.io/Logging_2080/tillsynsmail/A 98-2026 tillsynsbegäran mail.docx", "A 98-2026")</f>
        <v/>
      </c>
      <c r="Z52">
        <f>HYPERLINK("https://klasma.github.io/Logging_2080/fåglar/A 98-2026 prioriterade fågelarter.docx", "A 98-2026")</f>
        <v/>
      </c>
    </row>
    <row r="53" ht="15" customHeight="1">
      <c r="A53" t="inlineStr">
        <is>
          <t>A 2968-2026</t>
        </is>
      </c>
      <c r="B53" s="1" t="n">
        <v>46037</v>
      </c>
      <c r="C53" s="1" t="n">
        <v>46106</v>
      </c>
      <c r="D53" t="inlineStr">
        <is>
          <t>DALARNAS LÄN</t>
        </is>
      </c>
      <c r="E53" t="inlineStr">
        <is>
          <t>FALUN</t>
        </is>
      </c>
      <c r="G53" t="n">
        <v>12.6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Tjäder</t>
        </is>
      </c>
      <c r="S53">
        <f>HYPERLINK("https://klasma.github.io/Logging_2080/artfynd/A 2968-2026 artfynd.xlsx", "A 2968-2026")</f>
        <v/>
      </c>
      <c r="T53">
        <f>HYPERLINK("https://klasma.github.io/Logging_2080/kartor/A 2968-2026 karta.png", "A 2968-2026")</f>
        <v/>
      </c>
      <c r="V53">
        <f>HYPERLINK("https://klasma.github.io/Logging_2080/klagomål/A 2968-2026 FSC-klagomål.docx", "A 2968-2026")</f>
        <v/>
      </c>
      <c r="W53">
        <f>HYPERLINK("https://klasma.github.io/Logging_2080/klagomålsmail/A 2968-2026 FSC-klagomål mail.docx", "A 2968-2026")</f>
        <v/>
      </c>
      <c r="X53">
        <f>HYPERLINK("https://klasma.github.io/Logging_2080/tillsyn/A 2968-2026 tillsynsbegäran.docx", "A 2968-2026")</f>
        <v/>
      </c>
      <c r="Y53">
        <f>HYPERLINK("https://klasma.github.io/Logging_2080/tillsynsmail/A 2968-2026 tillsynsbegäran mail.docx", "A 2968-2026")</f>
        <v/>
      </c>
      <c r="Z53">
        <f>HYPERLINK("https://klasma.github.io/Logging_2080/fåglar/A 2968-2026 prioriterade fågelarter.docx", "A 2968-2026")</f>
        <v/>
      </c>
    </row>
    <row r="54" ht="15" customHeight="1">
      <c r="A54" t="inlineStr">
        <is>
          <t>A 11979-2026</t>
        </is>
      </c>
      <c r="B54" s="1" t="n">
        <v>46085.6378587963</v>
      </c>
      <c r="C54" s="1" t="n">
        <v>46106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Kopparödla</t>
        </is>
      </c>
      <c r="S54">
        <f>HYPERLINK("https://klasma.github.io/Logging_2080/artfynd/A 11979-2026 artfynd.xlsx", "A 11979-2026")</f>
        <v/>
      </c>
      <c r="T54">
        <f>HYPERLINK("https://klasma.github.io/Logging_2080/kartor/A 11979-2026 karta.png", "A 11979-2026")</f>
        <v/>
      </c>
      <c r="V54">
        <f>HYPERLINK("https://klasma.github.io/Logging_2080/klagomål/A 11979-2026 FSC-klagomål.docx", "A 11979-2026")</f>
        <v/>
      </c>
      <c r="W54">
        <f>HYPERLINK("https://klasma.github.io/Logging_2080/klagomålsmail/A 11979-2026 FSC-klagomål mail.docx", "A 11979-2026")</f>
        <v/>
      </c>
      <c r="X54">
        <f>HYPERLINK("https://klasma.github.io/Logging_2080/tillsyn/A 11979-2026 tillsynsbegäran.docx", "A 11979-2026")</f>
        <v/>
      </c>
      <c r="Y54">
        <f>HYPERLINK("https://klasma.github.io/Logging_2080/tillsynsmail/A 11979-2026 tillsynsbegäran mail.docx", "A 11979-2026")</f>
        <v/>
      </c>
      <c r="Z54">
        <f>HYPERLINK("https://klasma.github.io/Logging_2080/fåglar/A 11979-2026 prioriterade fågelarter.docx", "A 11979-2026")</f>
        <v/>
      </c>
    </row>
    <row r="55" ht="15" customHeight="1">
      <c r="A55" t="inlineStr">
        <is>
          <t>A 11348-2026</t>
        </is>
      </c>
      <c r="B55" s="1" t="n">
        <v>46082</v>
      </c>
      <c r="C55" s="1" t="n">
        <v>46106</v>
      </c>
      <c r="D55" t="inlineStr">
        <is>
          <t>DALARNAS LÄN</t>
        </is>
      </c>
      <c r="E55" t="inlineStr">
        <is>
          <t>FALUN</t>
        </is>
      </c>
      <c r="G55" t="n">
        <v>36.7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Plattlummer</t>
        </is>
      </c>
      <c r="S55">
        <f>HYPERLINK("https://klasma.github.io/Logging_2080/artfynd/A 11348-2026 artfynd.xlsx", "A 11348-2026")</f>
        <v/>
      </c>
      <c r="T55">
        <f>HYPERLINK("https://klasma.github.io/Logging_2080/kartor/A 11348-2026 karta.png", "A 11348-2026")</f>
        <v/>
      </c>
      <c r="U55">
        <f>HYPERLINK("https://klasma.github.io/Logging_2080/knärot/A 11348-2026 karta knärot.png", "A 11348-2026")</f>
        <v/>
      </c>
      <c r="V55">
        <f>HYPERLINK("https://klasma.github.io/Logging_2080/klagomål/A 11348-2026 FSC-klagomål.docx", "A 11348-2026")</f>
        <v/>
      </c>
      <c r="W55">
        <f>HYPERLINK("https://klasma.github.io/Logging_2080/klagomålsmail/A 11348-2026 FSC-klagomål mail.docx", "A 11348-2026")</f>
        <v/>
      </c>
      <c r="X55">
        <f>HYPERLINK("https://klasma.github.io/Logging_2080/tillsyn/A 11348-2026 tillsynsbegäran.docx", "A 11348-2026")</f>
        <v/>
      </c>
      <c r="Y55">
        <f>HYPERLINK("https://klasma.github.io/Logging_2080/tillsynsmail/A 11348-2026 tillsynsbegäran mail.docx", "A 11348-2026")</f>
        <v/>
      </c>
      <c r="Z55">
        <f>HYPERLINK("https://klasma.github.io/Logging_2080/fåglar/A 11348-2026 prioriterade fågelarter.docx", "A 11348-2026")</f>
        <v/>
      </c>
    </row>
    <row r="56" ht="15" customHeight="1">
      <c r="A56" t="inlineStr">
        <is>
          <t>A 5280-2026</t>
        </is>
      </c>
      <c r="B56" s="1" t="n">
        <v>46050</v>
      </c>
      <c r="C56" s="1" t="n">
        <v>46106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5.5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Tjäder</t>
        </is>
      </c>
      <c r="S56">
        <f>HYPERLINK("https://klasma.github.io/Logging_2080/artfynd/A 5280-2026 artfynd.xlsx", "A 5280-2026")</f>
        <v/>
      </c>
      <c r="T56">
        <f>HYPERLINK("https://klasma.github.io/Logging_2080/kartor/A 5280-2026 karta.png", "A 5280-2026")</f>
        <v/>
      </c>
      <c r="V56">
        <f>HYPERLINK("https://klasma.github.io/Logging_2080/klagomål/A 5280-2026 FSC-klagomål.docx", "A 5280-2026")</f>
        <v/>
      </c>
      <c r="W56">
        <f>HYPERLINK("https://klasma.github.io/Logging_2080/klagomålsmail/A 5280-2026 FSC-klagomål mail.docx", "A 5280-2026")</f>
        <v/>
      </c>
      <c r="X56">
        <f>HYPERLINK("https://klasma.github.io/Logging_2080/tillsyn/A 5280-2026 tillsynsbegäran.docx", "A 5280-2026")</f>
        <v/>
      </c>
      <c r="Y56">
        <f>HYPERLINK("https://klasma.github.io/Logging_2080/tillsynsmail/A 5280-2026 tillsynsbegäran mail.docx", "A 5280-2026")</f>
        <v/>
      </c>
      <c r="Z56">
        <f>HYPERLINK("https://klasma.github.io/Logging_2080/fåglar/A 5280-2026 prioriterade fågelarter.docx", "A 5280-2026")</f>
        <v/>
      </c>
    </row>
    <row r="57" ht="15" customHeight="1">
      <c r="A57" t="inlineStr">
        <is>
          <t>A 49335-2024</t>
        </is>
      </c>
      <c r="B57" s="1" t="n">
        <v>45595.5858912037</v>
      </c>
      <c r="C57" s="1" t="n">
        <v>46106</v>
      </c>
      <c r="D57" t="inlineStr">
        <is>
          <t>DALARNAS LÄN</t>
        </is>
      </c>
      <c r="E57" t="inlineStr">
        <is>
          <t>FALUN</t>
        </is>
      </c>
      <c r="G57" t="n">
        <v>4.3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Rynkskinn
Rosenticka</t>
        </is>
      </c>
      <c r="S57">
        <f>HYPERLINK("https://klasma.github.io/Logging_2080/artfynd/A 49335-2024 artfynd.xlsx", "A 49335-2024")</f>
        <v/>
      </c>
      <c r="T57">
        <f>HYPERLINK("https://klasma.github.io/Logging_2080/kartor/A 49335-2024 karta.png", "A 49335-2024")</f>
        <v/>
      </c>
      <c r="V57">
        <f>HYPERLINK("https://klasma.github.io/Logging_2080/klagomål/A 49335-2024 FSC-klagomål.docx", "A 49335-2024")</f>
        <v/>
      </c>
      <c r="W57">
        <f>HYPERLINK("https://klasma.github.io/Logging_2080/klagomålsmail/A 49335-2024 FSC-klagomål mail.docx", "A 49335-2024")</f>
        <v/>
      </c>
      <c r="X57">
        <f>HYPERLINK("https://klasma.github.io/Logging_2080/tillsyn/A 49335-2024 tillsynsbegäran.docx", "A 49335-2024")</f>
        <v/>
      </c>
      <c r="Y57">
        <f>HYPERLINK("https://klasma.github.io/Logging_2080/tillsynsmail/A 49335-2024 tillsynsbegäran mail.docx", "A 49335-2024")</f>
        <v/>
      </c>
    </row>
    <row r="58" ht="15" customHeight="1">
      <c r="A58" t="inlineStr">
        <is>
          <t>A 13072-2026</t>
        </is>
      </c>
      <c r="B58" s="1" t="n">
        <v>46093</v>
      </c>
      <c r="C58" s="1" t="n">
        <v>46106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16.5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Kolflarnlav</t>
        </is>
      </c>
      <c r="S58">
        <f>HYPERLINK("https://klasma.github.io/Logging_2080/artfynd/A 13072-2026 artfynd.xlsx", "A 13072-2026")</f>
        <v/>
      </c>
      <c r="T58">
        <f>HYPERLINK("https://klasma.github.io/Logging_2080/kartor/A 13072-2026 karta.png", "A 13072-2026")</f>
        <v/>
      </c>
      <c r="V58">
        <f>HYPERLINK("https://klasma.github.io/Logging_2080/klagomål/A 13072-2026 FSC-klagomål.docx", "A 13072-2026")</f>
        <v/>
      </c>
      <c r="W58">
        <f>HYPERLINK("https://klasma.github.io/Logging_2080/klagomålsmail/A 13072-2026 FSC-klagomål mail.docx", "A 13072-2026")</f>
        <v/>
      </c>
      <c r="X58">
        <f>HYPERLINK("https://klasma.github.io/Logging_2080/tillsyn/A 13072-2026 tillsynsbegäran.docx", "A 13072-2026")</f>
        <v/>
      </c>
      <c r="Y58">
        <f>HYPERLINK("https://klasma.github.io/Logging_2080/tillsynsmail/A 13072-2026 tillsynsbegäran mail.docx", "A 13072-2026")</f>
        <v/>
      </c>
    </row>
    <row r="59" ht="15" customHeight="1">
      <c r="A59" t="inlineStr">
        <is>
          <t>A 26601-2023</t>
        </is>
      </c>
      <c r="B59" s="1" t="n">
        <v>45092.6859375</v>
      </c>
      <c r="C59" s="1" t="n">
        <v>46106</v>
      </c>
      <c r="D59" t="inlineStr">
        <is>
          <t>DALARNAS LÄN</t>
        </is>
      </c>
      <c r="E59" t="inlineStr">
        <is>
          <t>FALUN</t>
        </is>
      </c>
      <c r="G59" t="n">
        <v>0.8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Kungsfågel</t>
        </is>
      </c>
      <c r="S59">
        <f>HYPERLINK("https://klasma.github.io/Logging_2080/artfynd/A 26601-2023 artfynd.xlsx", "A 26601-2023")</f>
        <v/>
      </c>
      <c r="T59">
        <f>HYPERLINK("https://klasma.github.io/Logging_2080/kartor/A 26601-2023 karta.png", "A 26601-2023")</f>
        <v/>
      </c>
      <c r="V59">
        <f>HYPERLINK("https://klasma.github.io/Logging_2080/klagomål/A 26601-2023 FSC-klagomål.docx", "A 26601-2023")</f>
        <v/>
      </c>
      <c r="W59">
        <f>HYPERLINK("https://klasma.github.io/Logging_2080/klagomålsmail/A 26601-2023 FSC-klagomål mail.docx", "A 26601-2023")</f>
        <v/>
      </c>
      <c r="X59">
        <f>HYPERLINK("https://klasma.github.io/Logging_2080/tillsyn/A 26601-2023 tillsynsbegäran.docx", "A 26601-2023")</f>
        <v/>
      </c>
      <c r="Y59">
        <f>HYPERLINK("https://klasma.github.io/Logging_2080/tillsynsmail/A 26601-2023 tillsynsbegäran mail.docx", "A 26601-2023")</f>
        <v/>
      </c>
      <c r="Z59">
        <f>HYPERLINK("https://klasma.github.io/Logging_2080/fåglar/A 26601-2023 prioriterade fågelarter.docx", "A 26601-2023")</f>
        <v/>
      </c>
    </row>
    <row r="60" ht="15" customHeight="1">
      <c r="A60" t="inlineStr">
        <is>
          <t>A 1462-2023</t>
        </is>
      </c>
      <c r="B60" s="1" t="n">
        <v>44937</v>
      </c>
      <c r="C60" s="1" t="n">
        <v>46106</v>
      </c>
      <c r="D60" t="inlineStr">
        <is>
          <t>DALARNAS LÄN</t>
        </is>
      </c>
      <c r="E60" t="inlineStr">
        <is>
          <t>FALUN</t>
        </is>
      </c>
      <c r="G60" t="n">
        <v>8.199999999999999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HYPERLINK("https://klasma.github.io/Logging_2080/artfynd/A 1462-2023 artfynd.xlsx", "A 1462-2023")</f>
        <v/>
      </c>
      <c r="T60">
        <f>HYPERLINK("https://klasma.github.io/Logging_2080/kartor/A 1462-2023 karta.png", "A 1462-2023")</f>
        <v/>
      </c>
      <c r="V60">
        <f>HYPERLINK("https://klasma.github.io/Logging_2080/klagomål/A 1462-2023 FSC-klagomål.docx", "A 1462-2023")</f>
        <v/>
      </c>
      <c r="W60">
        <f>HYPERLINK("https://klasma.github.io/Logging_2080/klagomålsmail/A 1462-2023 FSC-klagomål mail.docx", "A 1462-2023")</f>
        <v/>
      </c>
      <c r="X60">
        <f>HYPERLINK("https://klasma.github.io/Logging_2080/tillsyn/A 1462-2023 tillsynsbegäran.docx", "A 1462-2023")</f>
        <v/>
      </c>
      <c r="Y60">
        <f>HYPERLINK("https://klasma.github.io/Logging_2080/tillsynsmail/A 1462-2023 tillsynsbegäran mail.docx", "A 1462-2023")</f>
        <v/>
      </c>
      <c r="Z60">
        <f>HYPERLINK("https://klasma.github.io/Logging_2080/fåglar/A 1462-2023 prioriterade fågelarter.docx", "A 1462-2023")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46106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HYPERLINK("https://klasma.github.io/Logging_2080/artfynd/A 22969-2025 artfynd.xlsx", "A 22969-2025")</f>
        <v/>
      </c>
      <c r="T61">
        <f>HYPERLINK("https://klasma.github.io/Logging_2080/kartor/A 22969-2025 karta.png", "A 22969-2025")</f>
        <v/>
      </c>
      <c r="V61">
        <f>HYPERLINK("https://klasma.github.io/Logging_2080/klagomål/A 22969-2025 FSC-klagomål.docx", "A 22969-2025")</f>
        <v/>
      </c>
      <c r="W61">
        <f>HYPERLINK("https://klasma.github.io/Logging_2080/klagomålsmail/A 22969-2025 FSC-klagomål mail.docx", "A 22969-2025")</f>
        <v/>
      </c>
      <c r="X61">
        <f>HYPERLINK("https://klasma.github.io/Logging_2080/tillsyn/A 22969-2025 tillsynsbegäran.docx", "A 22969-2025")</f>
        <v/>
      </c>
      <c r="Y61">
        <f>HYPERLINK("https://klasma.github.io/Logging_2080/tillsynsmail/A 22969-2025 tillsynsbegäran mail.docx", "A 22969-2025")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46106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46106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46106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46106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34506-2024</t>
        </is>
      </c>
      <c r="B66" s="1" t="n">
        <v>45525.64815972222</v>
      </c>
      <c r="C66" s="1" t="n">
        <v>46106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34506-2024 artfynd.xlsx", "A 34506-2024")</f>
        <v/>
      </c>
      <c r="T66">
        <f>HYPERLINK("https://klasma.github.io/Logging_2080/kartor/A 34506-2024 karta.png", "A 34506-2024")</f>
        <v/>
      </c>
      <c r="U66">
        <f>HYPERLINK("https://klasma.github.io/Logging_2080/knärot/A 34506-2024 karta knärot.png", "A 34506-2024")</f>
        <v/>
      </c>
      <c r="V66">
        <f>HYPERLINK("https://klasma.github.io/Logging_2080/klagomål/A 34506-2024 FSC-klagomål.docx", "A 34506-2024")</f>
        <v/>
      </c>
      <c r="W66">
        <f>HYPERLINK("https://klasma.github.io/Logging_2080/klagomålsmail/A 34506-2024 FSC-klagomål mail.docx", "A 34506-2024")</f>
        <v/>
      </c>
      <c r="X66">
        <f>HYPERLINK("https://klasma.github.io/Logging_2080/tillsyn/A 34506-2024 tillsynsbegäran.docx", "A 34506-2024")</f>
        <v/>
      </c>
      <c r="Y66">
        <f>HYPERLINK("https://klasma.github.io/Logging_2080/tillsynsmail/A 34506-2024 tillsynsbegäran mail.docx", "A 34506-2024")</f>
        <v/>
      </c>
    </row>
    <row r="67" ht="15" customHeight="1">
      <c r="A67" t="inlineStr">
        <is>
          <t>A 46963-2023</t>
        </is>
      </c>
      <c r="B67" s="1" t="n">
        <v>45201</v>
      </c>
      <c r="C67" s="1" t="n">
        <v>46106</v>
      </c>
      <c r="D67" t="inlineStr">
        <is>
          <t>DALARNAS LÄN</t>
        </is>
      </c>
      <c r="E67" t="inlineStr">
        <is>
          <t>FALUN</t>
        </is>
      </c>
      <c r="G67" t="n">
        <v>13.6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HYPERLINK("https://klasma.github.io/Logging_2080/artfynd/A 46963-2023 artfynd.xlsx", "A 46963-2023")</f>
        <v/>
      </c>
      <c r="T67">
        <f>HYPERLINK("https://klasma.github.io/Logging_2080/kartor/A 46963-2023 karta.png", "A 46963-2023")</f>
        <v/>
      </c>
      <c r="V67">
        <f>HYPERLINK("https://klasma.github.io/Logging_2080/klagomål/A 46963-2023 FSC-klagomål.docx", "A 46963-2023")</f>
        <v/>
      </c>
      <c r="W67">
        <f>HYPERLINK("https://klasma.github.io/Logging_2080/klagomålsmail/A 46963-2023 FSC-klagomål mail.docx", "A 46963-2023")</f>
        <v/>
      </c>
      <c r="X67">
        <f>HYPERLINK("https://klasma.github.io/Logging_2080/tillsyn/A 46963-2023 tillsynsbegäran.docx", "A 46963-2023")</f>
        <v/>
      </c>
      <c r="Y67">
        <f>HYPERLINK("https://klasma.github.io/Logging_2080/tillsynsmail/A 46963-2023 tillsynsbegäran mail.docx", "A 46963-2023")</f>
        <v/>
      </c>
      <c r="Z67">
        <f>HYPERLINK("https://klasma.github.io/Logging_2080/fåglar/A 46963-2023 prioriterade fågelarter.docx", "A 46963-2023")</f>
        <v/>
      </c>
    </row>
    <row r="68" ht="15" customHeight="1">
      <c r="A68" t="inlineStr">
        <is>
          <t>A 6968-2026</t>
        </is>
      </c>
      <c r="B68" s="1" t="n">
        <v>46056</v>
      </c>
      <c r="C68" s="1" t="n">
        <v>46106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HYPERLINK("https://klasma.github.io/Logging_2080/artfynd/A 6968-2026 artfynd.xlsx", "A 6968-2026")</f>
        <v/>
      </c>
      <c r="T68">
        <f>HYPERLINK("https://klasma.github.io/Logging_2080/kartor/A 6968-2026 karta.png", "A 6968-2026")</f>
        <v/>
      </c>
      <c r="V68">
        <f>HYPERLINK("https://klasma.github.io/Logging_2080/klagomål/A 6968-2026 FSC-klagomål.docx", "A 6968-2026")</f>
        <v/>
      </c>
      <c r="W68">
        <f>HYPERLINK("https://klasma.github.io/Logging_2080/klagomålsmail/A 6968-2026 FSC-klagomål mail.docx", "A 6968-2026")</f>
        <v/>
      </c>
      <c r="X68">
        <f>HYPERLINK("https://klasma.github.io/Logging_2080/tillsyn/A 6968-2026 tillsynsbegäran.docx", "A 6968-2026")</f>
        <v/>
      </c>
      <c r="Y68">
        <f>HYPERLINK("https://klasma.github.io/Logging_2080/tillsynsmail/A 6968-2026 tillsynsbegäran mail.docx", "A 6968-2026")</f>
        <v/>
      </c>
    </row>
    <row r="69" ht="15" customHeight="1">
      <c r="A69" t="inlineStr">
        <is>
          <t>A 13226-2026</t>
        </is>
      </c>
      <c r="B69" s="1" t="n">
        <v>46093</v>
      </c>
      <c r="C69" s="1" t="n">
        <v>46106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13226-2026 artfynd.xlsx", "A 13226-2026")</f>
        <v/>
      </c>
      <c r="T69">
        <f>HYPERLINK("https://klasma.github.io/Logging_2080/kartor/A 13226-2026 karta.png", "A 13226-2026")</f>
        <v/>
      </c>
      <c r="V69">
        <f>HYPERLINK("https://klasma.github.io/Logging_2080/klagomål/A 13226-2026 FSC-klagomål.docx", "A 13226-2026")</f>
        <v/>
      </c>
      <c r="W69">
        <f>HYPERLINK("https://klasma.github.io/Logging_2080/klagomålsmail/A 13226-2026 FSC-klagomål mail.docx", "A 13226-2026")</f>
        <v/>
      </c>
      <c r="X69">
        <f>HYPERLINK("https://klasma.github.io/Logging_2080/tillsyn/A 13226-2026 tillsynsbegäran.docx", "A 13226-2026")</f>
        <v/>
      </c>
      <c r="Y69">
        <f>HYPERLINK("https://klasma.github.io/Logging_2080/tillsynsmail/A 13226-2026 tillsynsbegäran mail.docx", "A 13226-2026")</f>
        <v/>
      </c>
    </row>
    <row r="70" ht="15" customHeight="1">
      <c r="A70" t="inlineStr">
        <is>
          <t>A 50960-2024</t>
        </is>
      </c>
      <c r="B70" s="1" t="n">
        <v>45603.3166550926</v>
      </c>
      <c r="C70" s="1" t="n">
        <v>46106</v>
      </c>
      <c r="D70" t="inlineStr">
        <is>
          <t>DALARNAS LÄN</t>
        </is>
      </c>
      <c r="E70" t="inlineStr">
        <is>
          <t>FALUN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HYPERLINK("https://klasma.github.io/Logging_2080/artfynd/A 50960-2024 artfynd.xlsx", "A 50960-2024")</f>
        <v/>
      </c>
      <c r="T70">
        <f>HYPERLINK("https://klasma.github.io/Logging_2080/kartor/A 50960-2024 karta.png", "A 50960-2024")</f>
        <v/>
      </c>
      <c r="V70">
        <f>HYPERLINK("https://klasma.github.io/Logging_2080/klagomål/A 50960-2024 FSC-klagomål.docx", "A 50960-2024")</f>
        <v/>
      </c>
      <c r="W70">
        <f>HYPERLINK("https://klasma.github.io/Logging_2080/klagomålsmail/A 50960-2024 FSC-klagomål mail.docx", "A 50960-2024")</f>
        <v/>
      </c>
      <c r="X70">
        <f>HYPERLINK("https://klasma.github.io/Logging_2080/tillsyn/A 50960-2024 tillsynsbegäran.docx", "A 50960-2024")</f>
        <v/>
      </c>
      <c r="Y70">
        <f>HYPERLINK("https://klasma.github.io/Logging_2080/tillsynsmail/A 50960-2024 tillsynsbegäran mail.docx", "A 50960-2024")</f>
        <v/>
      </c>
      <c r="Z70">
        <f>HYPERLINK("https://klasma.github.io/Logging_2080/fåglar/A 50960-2024 prioriterade fågelarter.docx", "A 50960-2024")</f>
        <v/>
      </c>
    </row>
    <row r="71" ht="15" customHeight="1">
      <c r="A71" t="inlineStr">
        <is>
          <t>A 41050-2025</t>
        </is>
      </c>
      <c r="B71" s="1" t="n">
        <v>45898.40256944444</v>
      </c>
      <c r="C71" s="1" t="n">
        <v>46106</v>
      </c>
      <c r="D71" t="inlineStr">
        <is>
          <t>DALARNAS LÄN</t>
        </is>
      </c>
      <c r="E71" t="inlineStr">
        <is>
          <t>FALUN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HYPERLINK("https://klasma.github.io/Logging_2080/artfynd/A 41050-2025 artfynd.xlsx", "A 41050-2025")</f>
        <v/>
      </c>
      <c r="T71">
        <f>HYPERLINK("https://klasma.github.io/Logging_2080/kartor/A 41050-2025 karta.png", "A 41050-2025")</f>
        <v/>
      </c>
      <c r="U71">
        <f>HYPERLINK("https://klasma.github.io/Logging_2080/knärot/A 41050-2025 karta knärot.png", "A 41050-2025")</f>
        <v/>
      </c>
      <c r="V71">
        <f>HYPERLINK("https://klasma.github.io/Logging_2080/klagomål/A 41050-2025 FSC-klagomål.docx", "A 41050-2025")</f>
        <v/>
      </c>
      <c r="W71">
        <f>HYPERLINK("https://klasma.github.io/Logging_2080/klagomålsmail/A 41050-2025 FSC-klagomål mail.docx", "A 41050-2025")</f>
        <v/>
      </c>
      <c r="X71">
        <f>HYPERLINK("https://klasma.github.io/Logging_2080/tillsyn/A 41050-2025 tillsynsbegäran.docx", "A 41050-2025")</f>
        <v/>
      </c>
      <c r="Y71">
        <f>HYPERLINK("https://klasma.github.io/Logging_2080/tillsynsmail/A 41050-2025 tillsynsbegäran mail.docx", "A 41050-2025")</f>
        <v/>
      </c>
    </row>
    <row r="72" ht="15" customHeight="1">
      <c r="A72" t="inlineStr">
        <is>
          <t>A 9695-2026</t>
        </is>
      </c>
      <c r="B72" s="1" t="n">
        <v>46072</v>
      </c>
      <c r="C72" s="1" t="n">
        <v>46106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32.8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Flodpärlmussla</t>
        </is>
      </c>
      <c r="S72">
        <f>HYPERLINK("https://klasma.github.io/Logging_2080/artfynd/A 9695-2026 artfynd.xlsx", "A 9695-2026")</f>
        <v/>
      </c>
      <c r="T72">
        <f>HYPERLINK("https://klasma.github.io/Logging_2080/kartor/A 9695-2026 karta.png", "A 9695-2026")</f>
        <v/>
      </c>
      <c r="V72">
        <f>HYPERLINK("https://klasma.github.io/Logging_2080/klagomål/A 9695-2026 FSC-klagomål.docx", "A 9695-2026")</f>
        <v/>
      </c>
      <c r="W72">
        <f>HYPERLINK("https://klasma.github.io/Logging_2080/klagomålsmail/A 9695-2026 FSC-klagomål mail.docx", "A 9695-2026")</f>
        <v/>
      </c>
      <c r="X72">
        <f>HYPERLINK("https://klasma.github.io/Logging_2080/tillsyn/A 9695-2026 tillsynsbegäran.docx", "A 9695-2026")</f>
        <v/>
      </c>
      <c r="Y72">
        <f>HYPERLINK("https://klasma.github.io/Logging_2080/tillsynsmail/A 9695-2026 tillsynsbegäran mail.docx", "A 9695-2026")</f>
        <v/>
      </c>
    </row>
    <row r="73" ht="15" customHeight="1">
      <c r="A73" t="inlineStr">
        <is>
          <t>A 43052-2025</t>
        </is>
      </c>
      <c r="B73" s="1" t="n">
        <v>45909.56905092593</v>
      </c>
      <c r="C73" s="1" t="n">
        <v>46106</v>
      </c>
      <c r="D73" t="inlineStr">
        <is>
          <t>DALARNAS LÄN</t>
        </is>
      </c>
      <c r="E73" t="inlineStr">
        <is>
          <t>FALUN</t>
        </is>
      </c>
      <c r="G73" t="n">
        <v>10.3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HYPERLINK("https://klasma.github.io/Logging_2080/artfynd/A 43052-2025 artfynd.xlsx", "A 43052-2025")</f>
        <v/>
      </c>
      <c r="T73">
        <f>HYPERLINK("https://klasma.github.io/Logging_2080/kartor/A 43052-2025 karta.png", "A 43052-2025")</f>
        <v/>
      </c>
      <c r="V73">
        <f>HYPERLINK("https://klasma.github.io/Logging_2080/klagomål/A 43052-2025 FSC-klagomål.docx", "A 43052-2025")</f>
        <v/>
      </c>
      <c r="W73">
        <f>HYPERLINK("https://klasma.github.io/Logging_2080/klagomålsmail/A 43052-2025 FSC-klagomål mail.docx", "A 43052-2025")</f>
        <v/>
      </c>
      <c r="X73">
        <f>HYPERLINK("https://klasma.github.io/Logging_2080/tillsyn/A 43052-2025 tillsynsbegäran.docx", "A 43052-2025")</f>
        <v/>
      </c>
      <c r="Y73">
        <f>HYPERLINK("https://klasma.github.io/Logging_2080/tillsynsmail/A 43052-2025 tillsynsbegäran mail.docx", "A 43052-2025")</f>
        <v/>
      </c>
    </row>
    <row r="74" ht="15" customHeight="1">
      <c r="A74" t="inlineStr">
        <is>
          <t>A 10071-2026</t>
        </is>
      </c>
      <c r="B74" s="1" t="n">
        <v>46073.64405092593</v>
      </c>
      <c r="C74" s="1" t="n">
        <v>46106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9.699999999999999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HYPERLINK("https://klasma.github.io/Logging_2080/artfynd/A 10071-2026 artfynd.xlsx", "A 10071-2026")</f>
        <v/>
      </c>
      <c r="T74">
        <f>HYPERLINK("https://klasma.github.io/Logging_2080/kartor/A 10071-2026 karta.png", "A 10071-2026")</f>
        <v/>
      </c>
      <c r="V74">
        <f>HYPERLINK("https://klasma.github.io/Logging_2080/klagomål/A 10071-2026 FSC-klagomål.docx", "A 10071-2026")</f>
        <v/>
      </c>
      <c r="W74">
        <f>HYPERLINK("https://klasma.github.io/Logging_2080/klagomålsmail/A 10071-2026 FSC-klagomål mail.docx", "A 10071-2026")</f>
        <v/>
      </c>
      <c r="X74">
        <f>HYPERLINK("https://klasma.github.io/Logging_2080/tillsyn/A 10071-2026 tillsynsbegäran.docx", "A 10071-2026")</f>
        <v/>
      </c>
      <c r="Y74">
        <f>HYPERLINK("https://klasma.github.io/Logging_2080/tillsynsmail/A 10071-2026 tillsynsbegäran mail.docx", "A 10071-2026")</f>
        <v/>
      </c>
    </row>
    <row r="75" ht="15" customHeight="1">
      <c r="A75" t="inlineStr">
        <is>
          <t>A 61661-2024</t>
        </is>
      </c>
      <c r="B75" s="1" t="n">
        <v>45646.84287037037</v>
      </c>
      <c r="C75" s="1" t="n">
        <v>46106</v>
      </c>
      <c r="D75" t="inlineStr">
        <is>
          <t>DALARNAS LÄN</t>
        </is>
      </c>
      <c r="E75" t="inlineStr">
        <is>
          <t>FALUN</t>
        </is>
      </c>
      <c r="G75" t="n">
        <v>9.300000000000001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HYPERLINK("https://klasma.github.io/Logging_2080/artfynd/A 61661-2024 artfynd.xlsx", "A 61661-2024")</f>
        <v/>
      </c>
      <c r="T75">
        <f>HYPERLINK("https://klasma.github.io/Logging_2080/kartor/A 61661-2024 karta.png", "A 61661-2024")</f>
        <v/>
      </c>
      <c r="V75">
        <f>HYPERLINK("https://klasma.github.io/Logging_2080/klagomål/A 61661-2024 FSC-klagomål.docx", "A 61661-2024")</f>
        <v/>
      </c>
      <c r="W75">
        <f>HYPERLINK("https://klasma.github.io/Logging_2080/klagomålsmail/A 61661-2024 FSC-klagomål mail.docx", "A 61661-2024")</f>
        <v/>
      </c>
      <c r="X75">
        <f>HYPERLINK("https://klasma.github.io/Logging_2080/tillsyn/A 61661-2024 tillsynsbegäran.docx", "A 61661-2024")</f>
        <v/>
      </c>
      <c r="Y75">
        <f>HYPERLINK("https://klasma.github.io/Logging_2080/tillsynsmail/A 61661-2024 tillsynsbegäran mail.docx", "A 61661-2024")</f>
        <v/>
      </c>
    </row>
    <row r="76" ht="15" customHeight="1">
      <c r="A76" t="inlineStr">
        <is>
          <t>A 26586-2023</t>
        </is>
      </c>
      <c r="B76" s="1" t="n">
        <v>45092</v>
      </c>
      <c r="C76" s="1" t="n">
        <v>46106</v>
      </c>
      <c r="D76" t="inlineStr">
        <is>
          <t>DALARNAS LÄN</t>
        </is>
      </c>
      <c r="E76" t="inlineStr">
        <is>
          <t>FALUN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HYPERLINK("https://klasma.github.io/Logging_2080/artfynd/A 26586-2023 artfynd.xlsx", "A 26586-2023")</f>
        <v/>
      </c>
      <c r="T76">
        <f>HYPERLINK("https://klasma.github.io/Logging_2080/kartor/A 26586-2023 karta.png", "A 26586-2023")</f>
        <v/>
      </c>
      <c r="V76">
        <f>HYPERLINK("https://klasma.github.io/Logging_2080/klagomål/A 26586-2023 FSC-klagomål.docx", "A 26586-2023")</f>
        <v/>
      </c>
      <c r="W76">
        <f>HYPERLINK("https://klasma.github.io/Logging_2080/klagomålsmail/A 26586-2023 FSC-klagomål mail.docx", "A 26586-2023")</f>
        <v/>
      </c>
      <c r="X76">
        <f>HYPERLINK("https://klasma.github.io/Logging_2080/tillsyn/A 26586-2023 tillsynsbegäran.docx", "A 26586-2023")</f>
        <v/>
      </c>
      <c r="Y76">
        <f>HYPERLINK("https://klasma.github.io/Logging_2080/tillsynsmail/A 26586-2023 tillsynsbegäran mail.docx", "A 26586-2023")</f>
        <v/>
      </c>
      <c r="Z76">
        <f>HYPERLINK("https://klasma.github.io/Logging_2080/fåglar/A 26586-2023 prioriterade fågelarter.docx", "A 26586-2023")</f>
        <v/>
      </c>
    </row>
    <row r="77" ht="15" customHeight="1">
      <c r="A77" t="inlineStr">
        <is>
          <t>A 30378-2025</t>
        </is>
      </c>
      <c r="B77" s="1" t="n">
        <v>45827</v>
      </c>
      <c r="C77" s="1" t="n">
        <v>46106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HYPERLINK("https://klasma.github.io/Logging_2080/artfynd/A 30378-2025 artfynd.xlsx", "A 30378-2025")</f>
        <v/>
      </c>
      <c r="T77">
        <f>HYPERLINK("https://klasma.github.io/Logging_2080/kartor/A 30378-2025 karta.png", "A 30378-2025")</f>
        <v/>
      </c>
      <c r="V77">
        <f>HYPERLINK("https://klasma.github.io/Logging_2080/klagomål/A 30378-2025 FSC-klagomål.docx", "A 30378-2025")</f>
        <v/>
      </c>
      <c r="W77">
        <f>HYPERLINK("https://klasma.github.io/Logging_2080/klagomålsmail/A 30378-2025 FSC-klagomål mail.docx", "A 30378-2025")</f>
        <v/>
      </c>
      <c r="X77">
        <f>HYPERLINK("https://klasma.github.io/Logging_2080/tillsyn/A 30378-2025 tillsynsbegäran.docx", "A 30378-2025")</f>
        <v/>
      </c>
      <c r="Y77">
        <f>HYPERLINK("https://klasma.github.io/Logging_2080/tillsynsmail/A 30378-2025 tillsynsbegäran mail.docx", "A 30378-2025")</f>
        <v/>
      </c>
    </row>
    <row r="78" ht="15" customHeight="1">
      <c r="A78" t="inlineStr">
        <is>
          <t>A 49374-2025</t>
        </is>
      </c>
      <c r="B78" s="1" t="n">
        <v>45938.6352662037</v>
      </c>
      <c r="C78" s="1" t="n">
        <v>46106</v>
      </c>
      <c r="D78" t="inlineStr">
        <is>
          <t>DALARNAS LÄN</t>
        </is>
      </c>
      <c r="E78" t="inlineStr">
        <is>
          <t>FALUN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HYPERLINK("https://klasma.github.io/Logging_2080/artfynd/A 49374-2025 artfynd.xlsx", "A 49374-2025")</f>
        <v/>
      </c>
      <c r="T78">
        <f>HYPERLINK("https://klasma.github.io/Logging_2080/kartor/A 49374-2025 karta.png", "A 49374-2025")</f>
        <v/>
      </c>
      <c r="V78">
        <f>HYPERLINK("https://klasma.github.io/Logging_2080/klagomål/A 49374-2025 FSC-klagomål.docx", "A 49374-2025")</f>
        <v/>
      </c>
      <c r="W78">
        <f>HYPERLINK("https://klasma.github.io/Logging_2080/klagomålsmail/A 49374-2025 FSC-klagomål mail.docx", "A 49374-2025")</f>
        <v/>
      </c>
      <c r="X78">
        <f>HYPERLINK("https://klasma.github.io/Logging_2080/tillsyn/A 49374-2025 tillsynsbegäran.docx", "A 49374-2025")</f>
        <v/>
      </c>
      <c r="Y78">
        <f>HYPERLINK("https://klasma.github.io/Logging_2080/tillsynsmail/A 49374-2025 tillsynsbegäran mail.docx", "A 49374-2025")</f>
        <v/>
      </c>
    </row>
    <row r="79" ht="15" customHeight="1">
      <c r="A79" t="inlineStr">
        <is>
          <t>A 20186-2024</t>
        </is>
      </c>
      <c r="B79" s="1" t="n">
        <v>45434.62578703704</v>
      </c>
      <c r="C79" s="1" t="n">
        <v>46106</v>
      </c>
      <c r="D79" t="inlineStr">
        <is>
          <t>DALARNAS LÄN</t>
        </is>
      </c>
      <c r="E79" t="inlineStr">
        <is>
          <t>FALUN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20186-2024 artfynd.xlsx", "A 20186-2024")</f>
        <v/>
      </c>
      <c r="T79">
        <f>HYPERLINK("https://klasma.github.io/Logging_2080/kartor/A 20186-2024 karta.png", "A 20186-2024")</f>
        <v/>
      </c>
      <c r="U79">
        <f>HYPERLINK("https://klasma.github.io/Logging_2080/knärot/A 20186-2024 karta knärot.png", "A 20186-2024")</f>
        <v/>
      </c>
      <c r="V79">
        <f>HYPERLINK("https://klasma.github.io/Logging_2080/klagomål/A 20186-2024 FSC-klagomål.docx", "A 20186-2024")</f>
        <v/>
      </c>
      <c r="W79">
        <f>HYPERLINK("https://klasma.github.io/Logging_2080/klagomålsmail/A 20186-2024 FSC-klagomål mail.docx", "A 20186-2024")</f>
        <v/>
      </c>
      <c r="X79">
        <f>HYPERLINK("https://klasma.github.io/Logging_2080/tillsyn/A 20186-2024 tillsynsbegäran.docx", "A 20186-2024")</f>
        <v/>
      </c>
      <c r="Y79">
        <f>HYPERLINK("https://klasma.github.io/Logging_2080/tillsynsmail/A 20186-2024 tillsynsbegäran mail.docx", "A 20186-2024")</f>
        <v/>
      </c>
    </row>
    <row r="80" ht="15" customHeight="1">
      <c r="A80" t="inlineStr">
        <is>
          <t>A 44727-2025</t>
        </is>
      </c>
      <c r="B80" s="1" t="n">
        <v>45917.64488425926</v>
      </c>
      <c r="C80" s="1" t="n">
        <v>46106</v>
      </c>
      <c r="D80" t="inlineStr">
        <is>
          <t>DALARNAS LÄN</t>
        </is>
      </c>
      <c r="E80" t="inlineStr">
        <is>
          <t>FALUN</t>
        </is>
      </c>
      <c r="G80" t="n">
        <v>1.7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44727-2025 artfynd.xlsx", "A 44727-2025")</f>
        <v/>
      </c>
      <c r="T80">
        <f>HYPERLINK("https://klasma.github.io/Logging_2080/kartor/A 44727-2025 karta.png", "A 44727-2025")</f>
        <v/>
      </c>
      <c r="U80">
        <f>HYPERLINK("https://klasma.github.io/Logging_2080/knärot/A 44727-2025 karta knärot.png", "A 44727-2025")</f>
        <v/>
      </c>
      <c r="V80">
        <f>HYPERLINK("https://klasma.github.io/Logging_2080/klagomål/A 44727-2025 FSC-klagomål.docx", "A 44727-2025")</f>
        <v/>
      </c>
      <c r="W80">
        <f>HYPERLINK("https://klasma.github.io/Logging_2080/klagomålsmail/A 44727-2025 FSC-klagomål mail.docx", "A 44727-2025")</f>
        <v/>
      </c>
      <c r="X80">
        <f>HYPERLINK("https://klasma.github.io/Logging_2080/tillsyn/A 44727-2025 tillsynsbegäran.docx", "A 44727-2025")</f>
        <v/>
      </c>
      <c r="Y80">
        <f>HYPERLINK("https://klasma.github.io/Logging_2080/tillsynsmail/A 44727-2025 tillsynsbegäran mail.docx", "A 44727-2025")</f>
        <v/>
      </c>
    </row>
    <row r="81" ht="15" customHeight="1">
      <c r="A81" t="inlineStr">
        <is>
          <t>A 56138-2024</t>
        </is>
      </c>
      <c r="B81" s="1" t="n">
        <v>45624.48862268519</v>
      </c>
      <c r="C81" s="1" t="n">
        <v>46106</v>
      </c>
      <c r="D81" t="inlineStr">
        <is>
          <t>DALARNAS LÄN</t>
        </is>
      </c>
      <c r="E81" t="inlineStr">
        <is>
          <t>FALUN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Citronporing</t>
        </is>
      </c>
      <c r="S81">
        <f>HYPERLINK("https://klasma.github.io/Logging_2080/artfynd/A 56138-2024 artfynd.xlsx", "A 56138-2024")</f>
        <v/>
      </c>
      <c r="T81">
        <f>HYPERLINK("https://klasma.github.io/Logging_2080/kartor/A 56138-2024 karta.png", "A 56138-2024")</f>
        <v/>
      </c>
      <c r="V81">
        <f>HYPERLINK("https://klasma.github.io/Logging_2080/klagomål/A 56138-2024 FSC-klagomål.docx", "A 56138-2024")</f>
        <v/>
      </c>
      <c r="W81">
        <f>HYPERLINK("https://klasma.github.io/Logging_2080/klagomålsmail/A 56138-2024 FSC-klagomål mail.docx", "A 56138-2024")</f>
        <v/>
      </c>
      <c r="X81">
        <f>HYPERLINK("https://klasma.github.io/Logging_2080/tillsyn/A 56138-2024 tillsynsbegäran.docx", "A 56138-2024")</f>
        <v/>
      </c>
      <c r="Y81">
        <f>HYPERLINK("https://klasma.github.io/Logging_2080/tillsynsmail/A 56138-2024 tillsynsbegäran mail.docx", "A 56138-2024")</f>
        <v/>
      </c>
    </row>
    <row r="82" ht="15" customHeight="1">
      <c r="A82" t="inlineStr">
        <is>
          <t>A 1342-2026</t>
        </is>
      </c>
      <c r="B82" s="1" t="n">
        <v>46031</v>
      </c>
      <c r="C82" s="1" t="n">
        <v>46106</v>
      </c>
      <c r="D82" t="inlineStr">
        <is>
          <t>DALARNAS LÄN</t>
        </is>
      </c>
      <c r="E82" t="inlineStr">
        <is>
          <t>FALUN</t>
        </is>
      </c>
      <c r="G82" t="n">
        <v>14.9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Hornuggla</t>
        </is>
      </c>
      <c r="S82">
        <f>HYPERLINK("https://klasma.github.io/Logging_2080/artfynd/A 1342-2026 artfynd.xlsx", "A 1342-2026")</f>
        <v/>
      </c>
      <c r="T82">
        <f>HYPERLINK("https://klasma.github.io/Logging_2080/kartor/A 1342-2026 karta.png", "A 1342-2026")</f>
        <v/>
      </c>
      <c r="V82">
        <f>HYPERLINK("https://klasma.github.io/Logging_2080/klagomål/A 1342-2026 FSC-klagomål.docx", "A 1342-2026")</f>
        <v/>
      </c>
      <c r="W82">
        <f>HYPERLINK("https://klasma.github.io/Logging_2080/klagomålsmail/A 1342-2026 FSC-klagomål mail.docx", "A 1342-2026")</f>
        <v/>
      </c>
      <c r="X82">
        <f>HYPERLINK("https://klasma.github.io/Logging_2080/tillsyn/A 1342-2026 tillsynsbegäran.docx", "A 1342-2026")</f>
        <v/>
      </c>
      <c r="Y82">
        <f>HYPERLINK("https://klasma.github.io/Logging_2080/tillsynsmail/A 1342-2026 tillsynsbegäran mail.docx", "A 1342-2026")</f>
        <v/>
      </c>
      <c r="Z82">
        <f>HYPERLINK("https://klasma.github.io/Logging_2080/fåglar/A 1342-2026 prioriterade fågelarter.docx", "A 1342-2026")</f>
        <v/>
      </c>
    </row>
    <row r="83" ht="15" customHeight="1">
      <c r="A83" t="inlineStr">
        <is>
          <t>A 1317-2026</t>
        </is>
      </c>
      <c r="B83" s="1" t="n">
        <v>46031.54094907407</v>
      </c>
      <c r="C83" s="1" t="n">
        <v>46106</v>
      </c>
      <c r="D83" t="inlineStr">
        <is>
          <t>DALARNAS LÄN</t>
        </is>
      </c>
      <c r="E83" t="inlineStr">
        <is>
          <t>FALUN</t>
        </is>
      </c>
      <c r="G83" t="n">
        <v>27.3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 groddlummer</t>
        </is>
      </c>
      <c r="S83">
        <f>HYPERLINK("https://klasma.github.io/Logging_2080/artfynd/A 1317-2026 artfynd.xlsx", "A 1317-2026")</f>
        <v/>
      </c>
      <c r="T83">
        <f>HYPERLINK("https://klasma.github.io/Logging_2080/kartor/A 1317-2026 karta.png", "A 1317-2026")</f>
        <v/>
      </c>
      <c r="V83">
        <f>HYPERLINK("https://klasma.github.io/Logging_2080/klagomål/A 1317-2026 FSC-klagomål.docx", "A 1317-2026")</f>
        <v/>
      </c>
      <c r="W83">
        <f>HYPERLINK("https://klasma.github.io/Logging_2080/klagomålsmail/A 1317-2026 FSC-klagomål mail.docx", "A 1317-2026")</f>
        <v/>
      </c>
      <c r="X83">
        <f>HYPERLINK("https://klasma.github.io/Logging_2080/tillsyn/A 1317-2026 tillsynsbegäran.docx", "A 1317-2026")</f>
        <v/>
      </c>
      <c r="Y83">
        <f>HYPERLINK("https://klasma.github.io/Logging_2080/tillsynsmail/A 1317-2026 tillsynsbegäran mail.docx", "A 1317-2026")</f>
        <v/>
      </c>
    </row>
    <row r="84" ht="15" customHeight="1">
      <c r="A84" t="inlineStr">
        <is>
          <t>A 3172-2026</t>
        </is>
      </c>
      <c r="B84" s="1" t="n">
        <v>46041.44265046297</v>
      </c>
      <c r="C84" s="1" t="n">
        <v>46106</v>
      </c>
      <c r="D84" t="inlineStr">
        <is>
          <t>DALARNAS LÄN</t>
        </is>
      </c>
      <c r="E84" t="inlineStr">
        <is>
          <t>FALUN</t>
        </is>
      </c>
      <c r="G84" t="n">
        <v>1.9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3172-2026 artfynd.xlsx", "A 3172-2026")</f>
        <v/>
      </c>
      <c r="T84">
        <f>HYPERLINK("https://klasma.github.io/Logging_2080/kartor/A 3172-2026 karta.png", "A 3172-2026")</f>
        <v/>
      </c>
      <c r="U84">
        <f>HYPERLINK("https://klasma.github.io/Logging_2080/knärot/A 3172-2026 karta knärot.png", "A 3172-2026")</f>
        <v/>
      </c>
      <c r="V84">
        <f>HYPERLINK("https://klasma.github.io/Logging_2080/klagomål/A 3172-2026 FSC-klagomål.docx", "A 3172-2026")</f>
        <v/>
      </c>
      <c r="W84">
        <f>HYPERLINK("https://klasma.github.io/Logging_2080/klagomålsmail/A 3172-2026 FSC-klagomål mail.docx", "A 3172-2026")</f>
        <v/>
      </c>
      <c r="X84">
        <f>HYPERLINK("https://klasma.github.io/Logging_2080/tillsyn/A 3172-2026 tillsynsbegäran.docx", "A 3172-2026")</f>
        <v/>
      </c>
      <c r="Y84">
        <f>HYPERLINK("https://klasma.github.io/Logging_2080/tillsynsmail/A 3172-2026 tillsynsbegäran mail.docx", "A 3172-2026")</f>
        <v/>
      </c>
    </row>
    <row r="85" ht="15" customHeight="1">
      <c r="A85" t="inlineStr">
        <is>
          <t>A 22069-2023</t>
        </is>
      </c>
      <c r="B85" s="1" t="n">
        <v>45069</v>
      </c>
      <c r="C85" s="1" t="n">
        <v>46106</v>
      </c>
      <c r="D85" t="inlineStr">
        <is>
          <t>DALARNAS LÄN</t>
        </is>
      </c>
      <c r="E85" t="inlineStr">
        <is>
          <t>FALUN</t>
        </is>
      </c>
      <c r="G85" t="n">
        <v>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 gräsfjäril</t>
        </is>
      </c>
      <c r="S85">
        <f>HYPERLINK("https://klasma.github.io/Logging_2080/artfynd/A 22069-2023 artfynd.xlsx", "A 22069-2023")</f>
        <v/>
      </c>
      <c r="T85">
        <f>HYPERLINK("https://klasma.github.io/Logging_2080/kartor/A 22069-2023 karta.png", "A 22069-2023")</f>
        <v/>
      </c>
      <c r="V85">
        <f>HYPERLINK("https://klasma.github.io/Logging_2080/klagomål/A 22069-2023 FSC-klagomål.docx", "A 22069-2023")</f>
        <v/>
      </c>
      <c r="W85">
        <f>HYPERLINK("https://klasma.github.io/Logging_2080/klagomålsmail/A 22069-2023 FSC-klagomål mail.docx", "A 22069-2023")</f>
        <v/>
      </c>
      <c r="X85">
        <f>HYPERLINK("https://klasma.github.io/Logging_2080/tillsyn/A 22069-2023 tillsynsbegäran.docx", "A 22069-2023")</f>
        <v/>
      </c>
      <c r="Y85">
        <f>HYPERLINK("https://klasma.github.io/Logging_2080/tillsynsmail/A 22069-2023 tillsynsbegäran mail.docx", "A 22069-2023")</f>
        <v/>
      </c>
    </row>
    <row r="86" ht="15" customHeight="1">
      <c r="A86" t="inlineStr">
        <is>
          <t>A 3208-2026</t>
        </is>
      </c>
      <c r="B86" s="1" t="n">
        <v>46041</v>
      </c>
      <c r="C86" s="1" t="n">
        <v>46106</v>
      </c>
      <c r="D86" t="inlineStr">
        <is>
          <t>DALARNAS LÄN</t>
        </is>
      </c>
      <c r="E86" t="inlineStr">
        <is>
          <t>FALUN</t>
        </is>
      </c>
      <c r="G86" t="n">
        <v>5.3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HYPERLINK("https://klasma.github.io/Logging_2080/artfynd/A 3208-2026 artfynd.xlsx", "A 3208-2026")</f>
        <v/>
      </c>
      <c r="T86">
        <f>HYPERLINK("https://klasma.github.io/Logging_2080/kartor/A 3208-2026 karta.png", "A 3208-2026")</f>
        <v/>
      </c>
      <c r="V86">
        <f>HYPERLINK("https://klasma.github.io/Logging_2080/klagomål/A 3208-2026 FSC-klagomål.docx", "A 3208-2026")</f>
        <v/>
      </c>
      <c r="W86">
        <f>HYPERLINK("https://klasma.github.io/Logging_2080/klagomålsmail/A 3208-2026 FSC-klagomål mail.docx", "A 3208-2026")</f>
        <v/>
      </c>
      <c r="X86">
        <f>HYPERLINK("https://klasma.github.io/Logging_2080/tillsyn/A 3208-2026 tillsynsbegäran.docx", "A 3208-2026")</f>
        <v/>
      </c>
      <c r="Y86">
        <f>HYPERLINK("https://klasma.github.io/Logging_2080/tillsynsmail/A 3208-2026 tillsynsbegäran mail.docx", "A 3208-2026")</f>
        <v/>
      </c>
    </row>
    <row r="87" ht="15" customHeight="1">
      <c r="A87" t="inlineStr">
        <is>
          <t>A 31620-2023</t>
        </is>
      </c>
      <c r="B87" s="1" t="n">
        <v>45117</v>
      </c>
      <c r="C87" s="1" t="n">
        <v>46106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4.6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31620-2023 artfynd.xlsx", "A 31620-2023")</f>
        <v/>
      </c>
      <c r="T87">
        <f>HYPERLINK("https://klasma.github.io/Logging_2080/kartor/A 31620-2023 karta.png", "A 31620-2023")</f>
        <v/>
      </c>
      <c r="U87">
        <f>HYPERLINK("https://klasma.github.io/Logging_2080/knärot/A 31620-2023 karta knärot.png", "A 31620-2023")</f>
        <v/>
      </c>
      <c r="V87">
        <f>HYPERLINK("https://klasma.github.io/Logging_2080/klagomål/A 31620-2023 FSC-klagomål.docx", "A 31620-2023")</f>
        <v/>
      </c>
      <c r="W87">
        <f>HYPERLINK("https://klasma.github.io/Logging_2080/klagomålsmail/A 31620-2023 FSC-klagomål mail.docx", "A 31620-2023")</f>
        <v/>
      </c>
      <c r="X87">
        <f>HYPERLINK("https://klasma.github.io/Logging_2080/tillsyn/A 31620-2023 tillsynsbegäran.docx", "A 31620-2023")</f>
        <v/>
      </c>
      <c r="Y87">
        <f>HYPERLINK("https://klasma.github.io/Logging_2080/tillsynsmail/A 31620-2023 tillsynsbegäran mail.docx", "A 31620-2023")</f>
        <v/>
      </c>
    </row>
    <row r="88" ht="15" customHeight="1">
      <c r="A88" t="inlineStr">
        <is>
          <t>A 3670-2026</t>
        </is>
      </c>
      <c r="B88" s="1" t="n">
        <v>46043</v>
      </c>
      <c r="C88" s="1" t="n">
        <v>46106</v>
      </c>
      <c r="D88" t="inlineStr">
        <is>
          <t>DALARNAS LÄN</t>
        </is>
      </c>
      <c r="E88" t="inlineStr">
        <is>
          <t>FALUN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Vattenfladdermus</t>
        </is>
      </c>
      <c r="S88">
        <f>HYPERLINK("https://klasma.github.io/Logging_2080/artfynd/A 3670-2026 artfynd.xlsx", "A 3670-2026")</f>
        <v/>
      </c>
      <c r="T88">
        <f>HYPERLINK("https://klasma.github.io/Logging_2080/kartor/A 3670-2026 karta.png", "A 3670-2026")</f>
        <v/>
      </c>
      <c r="V88">
        <f>HYPERLINK("https://klasma.github.io/Logging_2080/klagomål/A 3670-2026 FSC-klagomål.docx", "A 3670-2026")</f>
        <v/>
      </c>
      <c r="W88">
        <f>HYPERLINK("https://klasma.github.io/Logging_2080/klagomålsmail/A 3670-2026 FSC-klagomål mail.docx", "A 3670-2026")</f>
        <v/>
      </c>
      <c r="X88">
        <f>HYPERLINK("https://klasma.github.io/Logging_2080/tillsyn/A 3670-2026 tillsynsbegäran.docx", "A 3670-2026")</f>
        <v/>
      </c>
      <c r="Y88">
        <f>HYPERLINK("https://klasma.github.io/Logging_2080/tillsynsmail/A 3670-2026 tillsynsbegäran mail.docx", "A 3670-2026")</f>
        <v/>
      </c>
    </row>
    <row r="89" ht="15" customHeight="1">
      <c r="A89" t="inlineStr">
        <is>
          <t>A 11838-2026</t>
        </is>
      </c>
      <c r="B89" s="1" t="n">
        <v>46085.43697916667</v>
      </c>
      <c r="C89" s="1" t="n">
        <v>46106</v>
      </c>
      <c r="D89" t="inlineStr">
        <is>
          <t>DALARNAS LÄN</t>
        </is>
      </c>
      <c r="E89" t="inlineStr">
        <is>
          <t>FALUN</t>
        </is>
      </c>
      <c r="G89" t="n">
        <v>13.8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HYPERLINK("https://klasma.github.io/Logging_2080/artfynd/A 11838-2026 artfynd.xlsx", "A 11838-2026")</f>
        <v/>
      </c>
      <c r="T89">
        <f>HYPERLINK("https://klasma.github.io/Logging_2080/kartor/A 11838-2026 karta.png", "A 11838-2026")</f>
        <v/>
      </c>
      <c r="V89">
        <f>HYPERLINK("https://klasma.github.io/Logging_2080/klagomål/A 11838-2026 FSC-klagomål.docx", "A 11838-2026")</f>
        <v/>
      </c>
      <c r="W89">
        <f>HYPERLINK("https://klasma.github.io/Logging_2080/klagomålsmail/A 11838-2026 FSC-klagomål mail.docx", "A 11838-2026")</f>
        <v/>
      </c>
      <c r="X89">
        <f>HYPERLINK("https://klasma.github.io/Logging_2080/tillsyn/A 11838-2026 tillsynsbegäran.docx", "A 11838-2026")</f>
        <v/>
      </c>
      <c r="Y89">
        <f>HYPERLINK("https://klasma.github.io/Logging_2080/tillsynsmail/A 11838-2026 tillsynsbegäran mail.docx", "A 11838-2026")</f>
        <v/>
      </c>
    </row>
    <row r="90" ht="15" customHeight="1">
      <c r="A90" t="inlineStr">
        <is>
          <t>A 4393-2026</t>
        </is>
      </c>
      <c r="B90" s="1" t="n">
        <v>46045.58086805556</v>
      </c>
      <c r="C90" s="1" t="n">
        <v>46106</v>
      </c>
      <c r="D90" t="inlineStr">
        <is>
          <t>DALARNAS LÄN</t>
        </is>
      </c>
      <c r="E90" t="inlineStr">
        <is>
          <t>FALUN</t>
        </is>
      </c>
      <c r="G90" t="n">
        <v>10.2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HYPERLINK("https://klasma.github.io/Logging_2080/artfynd/A 4393-2026 artfynd.xlsx", "A 4393-2026")</f>
        <v/>
      </c>
      <c r="T90">
        <f>HYPERLINK("https://klasma.github.io/Logging_2080/kartor/A 4393-2026 karta.png", "A 4393-2026")</f>
        <v/>
      </c>
      <c r="V90">
        <f>HYPERLINK("https://klasma.github.io/Logging_2080/klagomål/A 4393-2026 FSC-klagomål.docx", "A 4393-2026")</f>
        <v/>
      </c>
      <c r="W90">
        <f>HYPERLINK("https://klasma.github.io/Logging_2080/klagomålsmail/A 4393-2026 FSC-klagomål mail.docx", "A 4393-2026")</f>
        <v/>
      </c>
      <c r="X90">
        <f>HYPERLINK("https://klasma.github.io/Logging_2080/tillsyn/A 4393-2026 tillsynsbegäran.docx", "A 4393-2026")</f>
        <v/>
      </c>
      <c r="Y90">
        <f>HYPERLINK("https://klasma.github.io/Logging_2080/tillsynsmail/A 4393-2026 tillsynsbegäran mail.docx", "A 4393-2026")</f>
        <v/>
      </c>
      <c r="Z90">
        <f>HYPERLINK("https://klasma.github.io/Logging_2080/fåglar/A 4393-2026 prioriterade fågelarter.docx", "A 4393-2026")</f>
        <v/>
      </c>
    </row>
    <row r="91" ht="15" customHeight="1">
      <c r="A91" t="inlineStr">
        <is>
          <t>A 18067-2023</t>
        </is>
      </c>
      <c r="B91" s="1" t="n">
        <v>45040</v>
      </c>
      <c r="C91" s="1" t="n">
        <v>46106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HYPERLINK("https://klasma.github.io/Logging_2080/artfynd/A 18067-2023 artfynd.xlsx", "A 18067-2023")</f>
        <v/>
      </c>
      <c r="T91">
        <f>HYPERLINK("https://klasma.github.io/Logging_2080/kartor/A 18067-2023 karta.png", "A 18067-2023")</f>
        <v/>
      </c>
      <c r="V91">
        <f>HYPERLINK("https://klasma.github.io/Logging_2080/klagomål/A 18067-2023 FSC-klagomål.docx", "A 18067-2023")</f>
        <v/>
      </c>
      <c r="W91">
        <f>HYPERLINK("https://klasma.github.io/Logging_2080/klagomålsmail/A 18067-2023 FSC-klagomål mail.docx", "A 18067-2023")</f>
        <v/>
      </c>
      <c r="X91">
        <f>HYPERLINK("https://klasma.github.io/Logging_2080/tillsyn/A 18067-2023 tillsynsbegäran.docx", "A 18067-2023")</f>
        <v/>
      </c>
      <c r="Y91">
        <f>HYPERLINK("https://klasma.github.io/Logging_2080/tillsynsmail/A 18067-2023 tillsynsbegäran mail.docx", "A 18067-2023")</f>
        <v/>
      </c>
    </row>
    <row r="92" ht="15" customHeight="1">
      <c r="A92" t="inlineStr">
        <is>
          <t>A 12786-2026</t>
        </is>
      </c>
      <c r="B92" s="1" t="n">
        <v>46091.81521990741</v>
      </c>
      <c r="C92" s="1" t="n">
        <v>46106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45.9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HYPERLINK("https://klasma.github.io/Logging_2080/artfynd/A 12786-2026 artfynd.xlsx", "A 12786-2026")</f>
        <v/>
      </c>
      <c r="T92">
        <f>HYPERLINK("https://klasma.github.io/Logging_2080/kartor/A 12786-2026 karta.png", "A 12786-2026")</f>
        <v/>
      </c>
      <c r="V92">
        <f>HYPERLINK("https://klasma.github.io/Logging_2080/klagomål/A 12786-2026 FSC-klagomål.docx", "A 12786-2026")</f>
        <v/>
      </c>
      <c r="W92">
        <f>HYPERLINK("https://klasma.github.io/Logging_2080/klagomålsmail/A 12786-2026 FSC-klagomål mail.docx", "A 12786-2026")</f>
        <v/>
      </c>
      <c r="X92">
        <f>HYPERLINK("https://klasma.github.io/Logging_2080/tillsyn/A 12786-2026 tillsynsbegäran.docx", "A 12786-2026")</f>
        <v/>
      </c>
      <c r="Y92">
        <f>HYPERLINK("https://klasma.github.io/Logging_2080/tillsynsmail/A 12786-2026 tillsynsbegäran mail.docx", "A 12786-2026")</f>
        <v/>
      </c>
      <c r="Z92">
        <f>HYPERLINK("https://klasma.github.io/Logging_2080/fåglar/A 12786-2026 prioriterade fågelarter.docx", "A 12786-2026")</f>
        <v/>
      </c>
    </row>
    <row r="93" ht="15" customHeight="1">
      <c r="A93" t="inlineStr">
        <is>
          <t>A 5301-2026</t>
        </is>
      </c>
      <c r="B93" s="1" t="n">
        <v>46050</v>
      </c>
      <c r="C93" s="1" t="n">
        <v>46106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9.199999999999999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HYPERLINK("https://klasma.github.io/Logging_2080/artfynd/A 5301-2026 artfynd.xlsx", "A 5301-2026")</f>
        <v/>
      </c>
      <c r="T93">
        <f>HYPERLINK("https://klasma.github.io/Logging_2080/kartor/A 5301-2026 karta.png", "A 5301-2026")</f>
        <v/>
      </c>
      <c r="V93">
        <f>HYPERLINK("https://klasma.github.io/Logging_2080/klagomål/A 5301-2026 FSC-klagomål.docx", "A 5301-2026")</f>
        <v/>
      </c>
      <c r="W93">
        <f>HYPERLINK("https://klasma.github.io/Logging_2080/klagomålsmail/A 5301-2026 FSC-klagomål mail.docx", "A 5301-2026")</f>
        <v/>
      </c>
      <c r="X93">
        <f>HYPERLINK("https://klasma.github.io/Logging_2080/tillsyn/A 5301-2026 tillsynsbegäran.docx", "A 5301-2026")</f>
        <v/>
      </c>
      <c r="Y93">
        <f>HYPERLINK("https://klasma.github.io/Logging_2080/tillsynsmail/A 5301-2026 tillsynsbegäran mail.docx", "A 5301-2026")</f>
        <v/>
      </c>
      <c r="Z93">
        <f>HYPERLINK("https://klasma.github.io/Logging_2080/fåglar/A 5301-2026 prioriterade fågelarter.docx", "A 5301-2026")</f>
        <v/>
      </c>
    </row>
    <row r="94" ht="15" customHeight="1">
      <c r="A94" t="inlineStr">
        <is>
          <t>A 5764-2026</t>
        </is>
      </c>
      <c r="B94" s="1" t="n">
        <v>46051</v>
      </c>
      <c r="C94" s="1" t="n">
        <v>46106</v>
      </c>
      <c r="D94" t="inlineStr">
        <is>
          <t>DALARNAS LÄN</t>
        </is>
      </c>
      <c r="E94" t="inlineStr">
        <is>
          <t>FALUN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Nattviol</t>
        </is>
      </c>
      <c r="S94">
        <f>HYPERLINK("https://klasma.github.io/Logging_2080/artfynd/A 5764-2026 artfynd.xlsx", "A 5764-2026")</f>
        <v/>
      </c>
      <c r="T94">
        <f>HYPERLINK("https://klasma.github.io/Logging_2080/kartor/A 5764-2026 karta.png", "A 5764-2026")</f>
        <v/>
      </c>
      <c r="V94">
        <f>HYPERLINK("https://klasma.github.io/Logging_2080/klagomål/A 5764-2026 FSC-klagomål.docx", "A 5764-2026")</f>
        <v/>
      </c>
      <c r="W94">
        <f>HYPERLINK("https://klasma.github.io/Logging_2080/klagomålsmail/A 5764-2026 FSC-klagomål mail.docx", "A 5764-2026")</f>
        <v/>
      </c>
      <c r="X94">
        <f>HYPERLINK("https://klasma.github.io/Logging_2080/tillsyn/A 5764-2026 tillsynsbegäran.docx", "A 5764-2026")</f>
        <v/>
      </c>
      <c r="Y94">
        <f>HYPERLINK("https://klasma.github.io/Logging_2080/tillsynsmail/A 5764-2026 tillsynsbegäran mail.docx", "A 5764-2026")</f>
        <v/>
      </c>
    </row>
    <row r="95" ht="15" customHeight="1">
      <c r="A95" t="inlineStr">
        <is>
          <t>A 6317-2023</t>
        </is>
      </c>
      <c r="B95" s="1" t="n">
        <v>44965</v>
      </c>
      <c r="C95" s="1" t="n">
        <v>46106</v>
      </c>
      <c r="D95" t="inlineStr">
        <is>
          <t>DALARNAS LÄN</t>
        </is>
      </c>
      <c r="E95" t="inlineStr">
        <is>
          <t>FALUN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Sparvuggla</t>
        </is>
      </c>
      <c r="S95">
        <f>HYPERLINK("https://klasma.github.io/Logging_2080/artfynd/A 6317-2023 artfynd.xlsx", "A 6317-2023")</f>
        <v/>
      </c>
      <c r="T95">
        <f>HYPERLINK("https://klasma.github.io/Logging_2080/kartor/A 6317-2023 karta.png", "A 6317-2023")</f>
        <v/>
      </c>
      <c r="V95">
        <f>HYPERLINK("https://klasma.github.io/Logging_2080/klagomål/A 6317-2023 FSC-klagomål.docx", "A 6317-2023")</f>
        <v/>
      </c>
      <c r="W95">
        <f>HYPERLINK("https://klasma.github.io/Logging_2080/klagomålsmail/A 6317-2023 FSC-klagomål mail.docx", "A 6317-2023")</f>
        <v/>
      </c>
      <c r="X95">
        <f>HYPERLINK("https://klasma.github.io/Logging_2080/tillsyn/A 6317-2023 tillsynsbegäran.docx", "A 6317-2023")</f>
        <v/>
      </c>
      <c r="Y95">
        <f>HYPERLINK("https://klasma.github.io/Logging_2080/tillsynsmail/A 6317-2023 tillsynsbegäran mail.docx", "A 6317-2023")</f>
        <v/>
      </c>
      <c r="Z95">
        <f>HYPERLINK("https://klasma.github.io/Logging_2080/fåglar/A 6317-2023 prioriterade fågelarter.docx", "A 6317-2023")</f>
        <v/>
      </c>
    </row>
    <row r="96" ht="15" customHeight="1">
      <c r="A96" t="inlineStr">
        <is>
          <t>A 5865-2026</t>
        </is>
      </c>
      <c r="B96" s="1" t="n">
        <v>46052</v>
      </c>
      <c r="C96" s="1" t="n">
        <v>46106</v>
      </c>
      <c r="D96" t="inlineStr">
        <is>
          <t>DALARNAS LÄN</t>
        </is>
      </c>
      <c r="E96" t="inlineStr">
        <is>
          <t>FALUN</t>
        </is>
      </c>
      <c r="G96" t="n">
        <v>6.5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HYPERLINK("https://klasma.github.io/Logging_2080/artfynd/A 5865-2026 artfynd.xlsx", "A 5865-2026")</f>
        <v/>
      </c>
      <c r="T96">
        <f>HYPERLINK("https://klasma.github.io/Logging_2080/kartor/A 5865-2026 karta.png", "A 5865-2026")</f>
        <v/>
      </c>
      <c r="V96">
        <f>HYPERLINK("https://klasma.github.io/Logging_2080/klagomål/A 5865-2026 FSC-klagomål.docx", "A 5865-2026")</f>
        <v/>
      </c>
      <c r="W96">
        <f>HYPERLINK("https://klasma.github.io/Logging_2080/klagomålsmail/A 5865-2026 FSC-klagomål mail.docx", "A 5865-2026")</f>
        <v/>
      </c>
      <c r="X96">
        <f>HYPERLINK("https://klasma.github.io/Logging_2080/tillsyn/A 5865-2026 tillsynsbegäran.docx", "A 5865-2026")</f>
        <v/>
      </c>
      <c r="Y96">
        <f>HYPERLINK("https://klasma.github.io/Logging_2080/tillsynsmail/A 5865-2026 tillsynsbegäran mail.docx", "A 5865-2026")</f>
        <v/>
      </c>
    </row>
    <row r="97" ht="15" customHeight="1">
      <c r="A97" t="inlineStr">
        <is>
          <t>A 6585-2026</t>
        </is>
      </c>
      <c r="B97" s="1" t="n">
        <v>46052</v>
      </c>
      <c r="C97" s="1" t="n">
        <v>46106</v>
      </c>
      <c r="D97" t="inlineStr">
        <is>
          <t>DALARNAS LÄN</t>
        </is>
      </c>
      <c r="E97" t="inlineStr">
        <is>
          <t>FALUN</t>
        </is>
      </c>
      <c r="G97" t="n">
        <v>2.7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HYPERLINK("https://klasma.github.io/Logging_2080/artfynd/A 6585-2026 artfynd.xlsx", "A 6585-2026")</f>
        <v/>
      </c>
      <c r="T97">
        <f>HYPERLINK("https://klasma.github.io/Logging_2080/kartor/A 6585-2026 karta.png", "A 6585-2026")</f>
        <v/>
      </c>
      <c r="V97">
        <f>HYPERLINK("https://klasma.github.io/Logging_2080/klagomål/A 6585-2026 FSC-klagomål.docx", "A 6585-2026")</f>
        <v/>
      </c>
      <c r="W97">
        <f>HYPERLINK("https://klasma.github.io/Logging_2080/klagomålsmail/A 6585-2026 FSC-klagomål mail.docx", "A 6585-2026")</f>
        <v/>
      </c>
      <c r="X97">
        <f>HYPERLINK("https://klasma.github.io/Logging_2080/tillsyn/A 6585-2026 tillsynsbegäran.docx", "A 6585-2026")</f>
        <v/>
      </c>
      <c r="Y97">
        <f>HYPERLINK("https://klasma.github.io/Logging_2080/tillsynsmail/A 6585-2026 tillsynsbegäran mail.docx", "A 6585-2026")</f>
        <v/>
      </c>
    </row>
    <row r="98" ht="15" customHeight="1">
      <c r="A98" t="inlineStr">
        <is>
          <t>A 13205-2026</t>
        </is>
      </c>
      <c r="B98" s="1" t="n">
        <v>46093</v>
      </c>
      <c r="C98" s="1" t="n">
        <v>46106</v>
      </c>
      <c r="D98" t="inlineStr">
        <is>
          <t>DALARNAS LÄN</t>
        </is>
      </c>
      <c r="E98" t="inlineStr">
        <is>
          <t>FALUN</t>
        </is>
      </c>
      <c r="G98" t="n">
        <v>4.6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Sotriska</t>
        </is>
      </c>
      <c r="S98">
        <f>HYPERLINK("https://klasma.github.io/Logging_2080/artfynd/A 13205-2026 artfynd.xlsx", "A 13205-2026")</f>
        <v/>
      </c>
      <c r="T98">
        <f>HYPERLINK("https://klasma.github.io/Logging_2080/kartor/A 13205-2026 karta.png", "A 13205-2026")</f>
        <v/>
      </c>
      <c r="V98">
        <f>HYPERLINK("https://klasma.github.io/Logging_2080/klagomål/A 13205-2026 FSC-klagomål.docx", "A 13205-2026")</f>
        <v/>
      </c>
      <c r="W98">
        <f>HYPERLINK("https://klasma.github.io/Logging_2080/klagomålsmail/A 13205-2026 FSC-klagomål mail.docx", "A 13205-2026")</f>
        <v/>
      </c>
      <c r="X98">
        <f>HYPERLINK("https://klasma.github.io/Logging_2080/tillsyn/A 13205-2026 tillsynsbegäran.docx", "A 13205-2026")</f>
        <v/>
      </c>
      <c r="Y98">
        <f>HYPERLINK("https://klasma.github.io/Logging_2080/tillsynsmail/A 13205-2026 tillsynsbegäran mail.docx", "A 13205-2026")</f>
        <v/>
      </c>
    </row>
    <row r="99" ht="15" customHeight="1">
      <c r="A99" t="inlineStr">
        <is>
          <t>A 6962-2026</t>
        </is>
      </c>
      <c r="B99" s="1" t="n">
        <v>46056</v>
      </c>
      <c r="C99" s="1" t="n">
        <v>46106</v>
      </c>
      <c r="D99" t="inlineStr">
        <is>
          <t>DALARNAS LÄN</t>
        </is>
      </c>
      <c r="E99" t="inlineStr">
        <is>
          <t>FALUN</t>
        </is>
      </c>
      <c r="F99" t="inlineStr">
        <is>
          <t>Allmännings- och besparingsskogar</t>
        </is>
      </c>
      <c r="G99" t="n">
        <v>20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HYPERLINK("https://klasma.github.io/Logging_2080/artfynd/A 6962-2026 artfynd.xlsx", "A 6962-2026")</f>
        <v/>
      </c>
      <c r="T99">
        <f>HYPERLINK("https://klasma.github.io/Logging_2080/kartor/A 6962-2026 karta.png", "A 6962-2026")</f>
        <v/>
      </c>
      <c r="V99">
        <f>HYPERLINK("https://klasma.github.io/Logging_2080/klagomål/A 6962-2026 FSC-klagomål.docx", "A 6962-2026")</f>
        <v/>
      </c>
      <c r="W99">
        <f>HYPERLINK("https://klasma.github.io/Logging_2080/klagomålsmail/A 6962-2026 FSC-klagomål mail.docx", "A 6962-2026")</f>
        <v/>
      </c>
      <c r="X99">
        <f>HYPERLINK("https://klasma.github.io/Logging_2080/tillsyn/A 6962-2026 tillsynsbegäran.docx", "A 6962-2026")</f>
        <v/>
      </c>
      <c r="Y99">
        <f>HYPERLINK("https://klasma.github.io/Logging_2080/tillsynsmail/A 6962-2026 tillsynsbegäran mail.docx", "A 6962-2026")</f>
        <v/>
      </c>
    </row>
    <row r="100" ht="15" customHeight="1">
      <c r="A100" t="inlineStr">
        <is>
          <t>A 5666-2025</t>
        </is>
      </c>
      <c r="B100" s="1" t="n">
        <v>45693</v>
      </c>
      <c r="C100" s="1" t="n">
        <v>46106</v>
      </c>
      <c r="D100" t="inlineStr">
        <is>
          <t>DALARNAS LÄN</t>
        </is>
      </c>
      <c r="E100" t="inlineStr">
        <is>
          <t>FALUN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HYPERLINK("https://klasma.github.io/Logging_2080/artfynd/A 5666-2025 artfynd.xlsx", "A 5666-2025")</f>
        <v/>
      </c>
      <c r="T100">
        <f>HYPERLINK("https://klasma.github.io/Logging_2080/kartor/A 5666-2025 karta.png", "A 5666-2025")</f>
        <v/>
      </c>
      <c r="U100">
        <f>HYPERLINK("https://klasma.github.io/Logging_2080/knärot/A 5666-2025 karta knärot.png", "A 5666-2025")</f>
        <v/>
      </c>
      <c r="V100">
        <f>HYPERLINK("https://klasma.github.io/Logging_2080/klagomål/A 5666-2025 FSC-klagomål.docx", "A 5666-2025")</f>
        <v/>
      </c>
      <c r="W100">
        <f>HYPERLINK("https://klasma.github.io/Logging_2080/klagomålsmail/A 5666-2025 FSC-klagomål mail.docx", "A 5666-2025")</f>
        <v/>
      </c>
      <c r="X100">
        <f>HYPERLINK("https://klasma.github.io/Logging_2080/tillsyn/A 5666-2025 tillsynsbegäran.docx", "A 5666-2025")</f>
        <v/>
      </c>
      <c r="Y100">
        <f>HYPERLINK("https://klasma.github.io/Logging_2080/tillsynsmail/A 5666-2025 tillsynsbegäran mail.docx", "A 5666-2025")</f>
        <v/>
      </c>
    </row>
    <row r="101" ht="15" customHeight="1">
      <c r="A101" t="inlineStr">
        <is>
          <t>A 48693-2023</t>
        </is>
      </c>
      <c r="B101" s="1" t="n">
        <v>45208.66957175926</v>
      </c>
      <c r="C101" s="1" t="n">
        <v>46106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HYPERLINK("https://klasma.github.io/Logging_2080/artfynd/A 48693-2023 artfynd.xlsx", "A 48693-2023")</f>
        <v/>
      </c>
      <c r="T101">
        <f>HYPERLINK("https://klasma.github.io/Logging_2080/kartor/A 48693-2023 karta.png", "A 48693-2023")</f>
        <v/>
      </c>
      <c r="V101">
        <f>HYPERLINK("https://klasma.github.io/Logging_2080/klagomål/A 48693-2023 FSC-klagomål.docx", "A 48693-2023")</f>
        <v/>
      </c>
      <c r="W101">
        <f>HYPERLINK("https://klasma.github.io/Logging_2080/klagomålsmail/A 48693-2023 FSC-klagomål mail.docx", "A 48693-2023")</f>
        <v/>
      </c>
      <c r="X101">
        <f>HYPERLINK("https://klasma.github.io/Logging_2080/tillsyn/A 48693-2023 tillsynsbegäran.docx", "A 48693-2023")</f>
        <v/>
      </c>
      <c r="Y101">
        <f>HYPERLINK("https://klasma.github.io/Logging_2080/tillsynsmail/A 48693-2023 tillsynsbegäran mail.docx", "A 48693-2023")</f>
        <v/>
      </c>
    </row>
    <row r="102" ht="15" customHeight="1">
      <c r="A102" t="inlineStr">
        <is>
          <t>A 23884-2025</t>
        </is>
      </c>
      <c r="B102" s="1" t="n">
        <v>45793</v>
      </c>
      <c r="C102" s="1" t="n">
        <v>46106</v>
      </c>
      <c r="D102" t="inlineStr">
        <is>
          <t>DALARNAS LÄN</t>
        </is>
      </c>
      <c r="E102" t="inlineStr">
        <is>
          <t>FALUN</t>
        </is>
      </c>
      <c r="F102" t="inlineStr">
        <is>
          <t>Sveaskog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HYPERLINK("https://klasma.github.io/Logging_2080/artfynd/A 23884-2025 artfynd.xlsx", "A 23884-2025")</f>
        <v/>
      </c>
      <c r="T102">
        <f>HYPERLINK("https://klasma.github.io/Logging_2080/kartor/A 23884-2025 karta.png", "A 23884-2025")</f>
        <v/>
      </c>
      <c r="V102">
        <f>HYPERLINK("https://klasma.github.io/Logging_2080/klagomål/A 23884-2025 FSC-klagomål.docx", "A 23884-2025")</f>
        <v/>
      </c>
      <c r="W102">
        <f>HYPERLINK("https://klasma.github.io/Logging_2080/klagomålsmail/A 23884-2025 FSC-klagomål mail.docx", "A 23884-2025")</f>
        <v/>
      </c>
      <c r="X102">
        <f>HYPERLINK("https://klasma.github.io/Logging_2080/tillsyn/A 23884-2025 tillsynsbegäran.docx", "A 23884-2025")</f>
        <v/>
      </c>
      <c r="Y102">
        <f>HYPERLINK("https://klasma.github.io/Logging_2080/tillsynsmail/A 23884-2025 tillsynsbegäran mail.docx", "A 23884-2025")</f>
        <v/>
      </c>
    </row>
    <row r="103" ht="15" customHeight="1">
      <c r="A103" t="inlineStr">
        <is>
          <t>A 26524-2025</t>
        </is>
      </c>
      <c r="B103" s="1" t="n">
        <v>45807.56452546296</v>
      </c>
      <c r="C103" s="1" t="n">
        <v>46106</v>
      </c>
      <c r="D103" t="inlineStr">
        <is>
          <t>DALARNAS LÄN</t>
        </is>
      </c>
      <c r="E103" t="inlineStr">
        <is>
          <t>FALUN</t>
        </is>
      </c>
      <c r="G103" t="n">
        <v>4.1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HYPERLINK("https://klasma.github.io/Logging_2080/artfynd/A 26524-2025 artfynd.xlsx", "A 26524-2025")</f>
        <v/>
      </c>
      <c r="T103">
        <f>HYPERLINK("https://klasma.github.io/Logging_2080/kartor/A 26524-2025 karta.png", "A 26524-2025")</f>
        <v/>
      </c>
      <c r="U103">
        <f>HYPERLINK("https://klasma.github.io/Logging_2080/knärot/A 26524-2025 karta knärot.png", "A 26524-2025")</f>
        <v/>
      </c>
      <c r="V103">
        <f>HYPERLINK("https://klasma.github.io/Logging_2080/klagomål/A 26524-2025 FSC-klagomål.docx", "A 26524-2025")</f>
        <v/>
      </c>
      <c r="W103">
        <f>HYPERLINK("https://klasma.github.io/Logging_2080/klagomålsmail/A 26524-2025 FSC-klagomål mail.docx", "A 26524-2025")</f>
        <v/>
      </c>
      <c r="X103">
        <f>HYPERLINK("https://klasma.github.io/Logging_2080/tillsyn/A 26524-2025 tillsynsbegäran.docx", "A 26524-2025")</f>
        <v/>
      </c>
      <c r="Y103">
        <f>HYPERLINK("https://klasma.github.io/Logging_2080/tillsynsmail/A 26524-2025 tillsynsbegäran mail.docx", "A 26524-2025")</f>
        <v/>
      </c>
    </row>
    <row r="104" ht="15" customHeight="1">
      <c r="A104" t="inlineStr">
        <is>
          <t>A 26721-2025</t>
        </is>
      </c>
      <c r="B104" s="1" t="n">
        <v>45810.48893518518</v>
      </c>
      <c r="C104" s="1" t="n">
        <v>46106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14.5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Doftskinn</t>
        </is>
      </c>
      <c r="S104">
        <f>HYPERLINK("https://klasma.github.io/Logging_2080/artfynd/A 26721-2025 artfynd.xlsx", "A 26721-2025")</f>
        <v/>
      </c>
      <c r="T104">
        <f>HYPERLINK("https://klasma.github.io/Logging_2080/kartor/A 26721-2025 karta.png", "A 26721-2025")</f>
        <v/>
      </c>
      <c r="V104">
        <f>HYPERLINK("https://klasma.github.io/Logging_2080/klagomål/A 26721-2025 FSC-klagomål.docx", "A 26721-2025")</f>
        <v/>
      </c>
      <c r="W104">
        <f>HYPERLINK("https://klasma.github.io/Logging_2080/klagomålsmail/A 26721-2025 FSC-klagomål mail.docx", "A 26721-2025")</f>
        <v/>
      </c>
      <c r="X104">
        <f>HYPERLINK("https://klasma.github.io/Logging_2080/tillsyn/A 26721-2025 tillsynsbegäran.docx", "A 26721-2025")</f>
        <v/>
      </c>
      <c r="Y104">
        <f>HYPERLINK("https://klasma.github.io/Logging_2080/tillsynsmail/A 26721-2025 tillsynsbegäran mail.docx", "A 26721-2025")</f>
        <v/>
      </c>
    </row>
    <row r="105" ht="15" customHeight="1">
      <c r="A105" t="inlineStr">
        <is>
          <t>A 26776-2025</t>
        </is>
      </c>
      <c r="B105" s="1" t="n">
        <v>45810.57653935185</v>
      </c>
      <c r="C105" s="1" t="n">
        <v>46106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10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Skör kvastmossa</t>
        </is>
      </c>
      <c r="S105">
        <f>HYPERLINK("https://klasma.github.io/Logging_2080/artfynd/A 26776-2025 artfynd.xlsx", "A 26776-2025")</f>
        <v/>
      </c>
      <c r="T105">
        <f>HYPERLINK("https://klasma.github.io/Logging_2080/kartor/A 26776-2025 karta.png", "A 26776-2025")</f>
        <v/>
      </c>
      <c r="V105">
        <f>HYPERLINK("https://klasma.github.io/Logging_2080/klagomål/A 26776-2025 FSC-klagomål.docx", "A 26776-2025")</f>
        <v/>
      </c>
      <c r="W105">
        <f>HYPERLINK("https://klasma.github.io/Logging_2080/klagomålsmail/A 26776-2025 FSC-klagomål mail.docx", "A 26776-2025")</f>
        <v/>
      </c>
      <c r="X105">
        <f>HYPERLINK("https://klasma.github.io/Logging_2080/tillsyn/A 26776-2025 tillsynsbegäran.docx", "A 26776-2025")</f>
        <v/>
      </c>
      <c r="Y105">
        <f>HYPERLINK("https://klasma.github.io/Logging_2080/tillsynsmail/A 26776-2025 tillsynsbegäran mail.docx", "A 26776-2025")</f>
        <v/>
      </c>
    </row>
    <row r="106" ht="15" customHeight="1">
      <c r="A106" t="inlineStr">
        <is>
          <t>A 69028-2021</t>
        </is>
      </c>
      <c r="B106" s="1" t="n">
        <v>44530</v>
      </c>
      <c r="C106" s="1" t="n">
        <v>46106</v>
      </c>
      <c r="D106" t="inlineStr">
        <is>
          <t>DALARNAS LÄN</t>
        </is>
      </c>
      <c r="E106" t="inlineStr">
        <is>
          <t>FALUN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64224-2021</t>
        </is>
      </c>
      <c r="B107" s="1" t="n">
        <v>44510.63263888889</v>
      </c>
      <c r="C107" s="1" t="n">
        <v>46106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11593-2022</t>
        </is>
      </c>
      <c r="B108" s="1" t="n">
        <v>44631.53884259259</v>
      </c>
      <c r="C108" s="1" t="n">
        <v>46106</v>
      </c>
      <c r="D108" t="inlineStr">
        <is>
          <t>DALARNAS LÄN</t>
        </is>
      </c>
      <c r="E108" t="inlineStr">
        <is>
          <t>FALUN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70456-2021</t>
        </is>
      </c>
      <c r="B109" s="1" t="n">
        <v>44536.6465625</v>
      </c>
      <c r="C109" s="1" t="n">
        <v>46106</v>
      </c>
      <c r="D109" t="inlineStr">
        <is>
          <t>DALARNAS LÄN</t>
        </is>
      </c>
      <c r="E109" t="inlineStr">
        <is>
          <t>FALUN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50518-2021</t>
        </is>
      </c>
      <c r="B110" s="1" t="n">
        <v>44459</v>
      </c>
      <c r="C110" s="1" t="n">
        <v>46106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3965-2022</t>
        </is>
      </c>
      <c r="B111" s="1" t="n">
        <v>44587.60530092593</v>
      </c>
      <c r="C111" s="1" t="n">
        <v>46106</v>
      </c>
      <c r="D111" t="inlineStr">
        <is>
          <t>DALARNAS LÄN</t>
        </is>
      </c>
      <c r="E111" t="inlineStr">
        <is>
          <t>FALUN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15936-2022</t>
        </is>
      </c>
      <c r="B112" s="1" t="n">
        <v>44664.65409722222</v>
      </c>
      <c r="C112" s="1" t="n">
        <v>46106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47513-2021</t>
        </is>
      </c>
      <c r="B113" s="1" t="n">
        <v>44447</v>
      </c>
      <c r="C113" s="1" t="n">
        <v>46106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13536-2022</t>
        </is>
      </c>
      <c r="B114" s="1" t="n">
        <v>44648</v>
      </c>
      <c r="C114" s="1" t="n">
        <v>46106</v>
      </c>
      <c r="D114" t="inlineStr">
        <is>
          <t>DALARNAS LÄN</t>
        </is>
      </c>
      <c r="E114" t="inlineStr">
        <is>
          <t>FALUN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13538-2022</t>
        </is>
      </c>
      <c r="B115" s="1" t="n">
        <v>44648</v>
      </c>
      <c r="C115" s="1" t="n">
        <v>46106</v>
      </c>
      <c r="D115" t="inlineStr">
        <is>
          <t>DALARNAS LÄN</t>
        </is>
      </c>
      <c r="E115" t="inlineStr">
        <is>
          <t>FALUN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31623-2022</t>
        </is>
      </c>
      <c r="B116" s="1" t="n">
        <v>44775</v>
      </c>
      <c r="C116" s="1" t="n">
        <v>46106</v>
      </c>
      <c r="D116" t="inlineStr">
        <is>
          <t>DALARNAS LÄN</t>
        </is>
      </c>
      <c r="E116" t="inlineStr">
        <is>
          <t>FALUN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53982-2021</t>
        </is>
      </c>
      <c r="B117" s="1" t="n">
        <v>44470</v>
      </c>
      <c r="C117" s="1" t="n">
        <v>46106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27501-2022</t>
        </is>
      </c>
      <c r="B118" s="1" t="n">
        <v>44742</v>
      </c>
      <c r="C118" s="1" t="n">
        <v>46106</v>
      </c>
      <c r="D118" t="inlineStr">
        <is>
          <t>DALARNAS LÄN</t>
        </is>
      </c>
      <c r="E118" t="inlineStr">
        <is>
          <t>FALUN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29878-2022</t>
        </is>
      </c>
      <c r="B119" s="1" t="n">
        <v>44755</v>
      </c>
      <c r="C119" s="1" t="n">
        <v>46106</v>
      </c>
      <c r="D119" t="inlineStr">
        <is>
          <t>DALARNAS LÄN</t>
        </is>
      </c>
      <c r="E119" t="inlineStr">
        <is>
          <t>FALUN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41436-2022</t>
        </is>
      </c>
      <c r="B120" s="1" t="n">
        <v>44826.67771990741</v>
      </c>
      <c r="C120" s="1" t="n">
        <v>46106</v>
      </c>
      <c r="D120" t="inlineStr">
        <is>
          <t>DALARNAS LÄN</t>
        </is>
      </c>
      <c r="E120" t="inlineStr">
        <is>
          <t>FALUN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49152-2022</t>
        </is>
      </c>
      <c r="B121" s="1" t="n">
        <v>44860</v>
      </c>
      <c r="C121" s="1" t="n">
        <v>46106</v>
      </c>
      <c r="D121" t="inlineStr">
        <is>
          <t>DALARNAS LÄN</t>
        </is>
      </c>
      <c r="E121" t="inlineStr">
        <is>
          <t>FALUN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38454-2021</t>
        </is>
      </c>
      <c r="B122" s="1" t="n">
        <v>44407</v>
      </c>
      <c r="C122" s="1" t="n">
        <v>46106</v>
      </c>
      <c r="D122" t="inlineStr">
        <is>
          <t>DALARNAS LÄN</t>
        </is>
      </c>
      <c r="E122" t="inlineStr">
        <is>
          <t>FALUN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46259-2022</t>
        </is>
      </c>
      <c r="B123" s="1" t="n">
        <v>44847.64135416667</v>
      </c>
      <c r="C123" s="1" t="n">
        <v>46106</v>
      </c>
      <c r="D123" t="inlineStr">
        <is>
          <t>DALARNAS LÄN</t>
        </is>
      </c>
      <c r="E123" t="inlineStr">
        <is>
          <t>FALUN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12049-2022</t>
        </is>
      </c>
      <c r="B124" s="1" t="n">
        <v>44636</v>
      </c>
      <c r="C124" s="1" t="n">
        <v>46106</v>
      </c>
      <c r="D124" t="inlineStr">
        <is>
          <t>DALARNAS LÄN</t>
        </is>
      </c>
      <c r="E124" t="inlineStr">
        <is>
          <t>FALUN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52381-2022</t>
        </is>
      </c>
      <c r="B125" s="1" t="n">
        <v>44874</v>
      </c>
      <c r="C125" s="1" t="n">
        <v>46106</v>
      </c>
      <c r="D125" t="inlineStr">
        <is>
          <t>DALARNAS LÄN</t>
        </is>
      </c>
      <c r="E125" t="inlineStr">
        <is>
          <t>FALUN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68453-2021</t>
        </is>
      </c>
      <c r="B126" s="1" t="n">
        <v>44529</v>
      </c>
      <c r="C126" s="1" t="n">
        <v>46106</v>
      </c>
      <c r="D126" t="inlineStr">
        <is>
          <t>DALARNAS LÄN</t>
        </is>
      </c>
      <c r="E126" t="inlineStr">
        <is>
          <t>FALUN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55567-2021</t>
        </is>
      </c>
      <c r="B127" s="1" t="n">
        <v>44475</v>
      </c>
      <c r="C127" s="1" t="n">
        <v>46106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41593-2022</t>
        </is>
      </c>
      <c r="B128" s="1" t="n">
        <v>44827</v>
      </c>
      <c r="C128" s="1" t="n">
        <v>46106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883-2022</t>
        </is>
      </c>
      <c r="B129" s="1" t="n">
        <v>44571</v>
      </c>
      <c r="C129" s="1" t="n">
        <v>46106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13531-2022</t>
        </is>
      </c>
      <c r="B130" s="1" t="n">
        <v>44648</v>
      </c>
      <c r="C130" s="1" t="n">
        <v>46106</v>
      </c>
      <c r="D130" t="inlineStr">
        <is>
          <t>DALARNAS LÄN</t>
        </is>
      </c>
      <c r="E130" t="inlineStr">
        <is>
          <t>FALUN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13532-2022</t>
        </is>
      </c>
      <c r="B131" s="1" t="n">
        <v>44648</v>
      </c>
      <c r="C131" s="1" t="n">
        <v>46106</v>
      </c>
      <c r="D131" t="inlineStr">
        <is>
          <t>DALARNAS LÄN</t>
        </is>
      </c>
      <c r="E131" t="inlineStr">
        <is>
          <t>FALUN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13569-2022</t>
        </is>
      </c>
      <c r="B132" s="1" t="n">
        <v>44648</v>
      </c>
      <c r="C132" s="1" t="n">
        <v>46106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52671-2021</t>
        </is>
      </c>
      <c r="B133" s="1" t="n">
        <v>44466.70392361111</v>
      </c>
      <c r="C133" s="1" t="n">
        <v>46106</v>
      </c>
      <c r="D133" t="inlineStr">
        <is>
          <t>DALARNAS LÄN</t>
        </is>
      </c>
      <c r="E133" t="inlineStr">
        <is>
          <t>FALUN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38329-2022</t>
        </is>
      </c>
      <c r="B134" s="1" t="n">
        <v>44812.6006712963</v>
      </c>
      <c r="C134" s="1" t="n">
        <v>46106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68515-2021</t>
        </is>
      </c>
      <c r="B135" s="1" t="n">
        <v>44529.46832175926</v>
      </c>
      <c r="C135" s="1" t="n">
        <v>46106</v>
      </c>
      <c r="D135" t="inlineStr">
        <is>
          <t>DALARNAS LÄN</t>
        </is>
      </c>
      <c r="E135" t="inlineStr">
        <is>
          <t>FALUN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558-2022</t>
        </is>
      </c>
      <c r="B136" s="1" t="n">
        <v>44566</v>
      </c>
      <c r="C136" s="1" t="n">
        <v>46106</v>
      </c>
      <c r="D136" t="inlineStr">
        <is>
          <t>DALARNAS LÄN</t>
        </is>
      </c>
      <c r="E136" t="inlineStr">
        <is>
          <t>FALUN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31046-2021</t>
        </is>
      </c>
      <c r="B137" s="1" t="n">
        <v>44368</v>
      </c>
      <c r="C137" s="1" t="n">
        <v>46106</v>
      </c>
      <c r="D137" t="inlineStr">
        <is>
          <t>DALARNAS LÄN</t>
        </is>
      </c>
      <c r="E137" t="inlineStr">
        <is>
          <t>FALUN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53540-2022</t>
        </is>
      </c>
      <c r="B138" s="1" t="n">
        <v>44879.61891203704</v>
      </c>
      <c r="C138" s="1" t="n">
        <v>46106</v>
      </c>
      <c r="D138" t="inlineStr">
        <is>
          <t>DALARNAS LÄN</t>
        </is>
      </c>
      <c r="E138" t="inlineStr">
        <is>
          <t>FALUN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4314-2022</t>
        </is>
      </c>
      <c r="B139" s="1" t="n">
        <v>44588.86219907407</v>
      </c>
      <c r="C139" s="1" t="n">
        <v>46106</v>
      </c>
      <c r="D139" t="inlineStr">
        <is>
          <t>DALARNAS LÄN</t>
        </is>
      </c>
      <c r="E139" t="inlineStr">
        <is>
          <t>FALUN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4249-2022</t>
        </is>
      </c>
      <c r="B140" s="1" t="n">
        <v>44588.66842592593</v>
      </c>
      <c r="C140" s="1" t="n">
        <v>46106</v>
      </c>
      <c r="D140" t="inlineStr">
        <is>
          <t>DALARNAS LÄN</t>
        </is>
      </c>
      <c r="E140" t="inlineStr">
        <is>
          <t>FALUN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30944-2021</t>
        </is>
      </c>
      <c r="B141" s="1" t="n">
        <v>44365</v>
      </c>
      <c r="C141" s="1" t="n">
        <v>46106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19491-2022</t>
        </is>
      </c>
      <c r="B142" s="1" t="n">
        <v>44693.49159722222</v>
      </c>
      <c r="C142" s="1" t="n">
        <v>46106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38561-2021</t>
        </is>
      </c>
      <c r="B143" s="1" t="n">
        <v>44407</v>
      </c>
      <c r="C143" s="1" t="n">
        <v>46106</v>
      </c>
      <c r="D143" t="inlineStr">
        <is>
          <t>DALARNAS LÄN</t>
        </is>
      </c>
      <c r="E143" t="inlineStr">
        <is>
          <t>FALUN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42135-2022</t>
        </is>
      </c>
      <c r="B144" s="1" t="n">
        <v>44830.58152777778</v>
      </c>
      <c r="C144" s="1" t="n">
        <v>46106</v>
      </c>
      <c r="D144" t="inlineStr">
        <is>
          <t>DALARNAS LÄN</t>
        </is>
      </c>
      <c r="E144" t="inlineStr">
        <is>
          <t>FALUN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15250-2022</t>
        </is>
      </c>
      <c r="B145" s="1" t="n">
        <v>44658</v>
      </c>
      <c r="C145" s="1" t="n">
        <v>46106</v>
      </c>
      <c r="D145" t="inlineStr">
        <is>
          <t>DALARNAS LÄN</t>
        </is>
      </c>
      <c r="E145" t="inlineStr">
        <is>
          <t>FALUN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52633-2021</t>
        </is>
      </c>
      <c r="B146" s="1" t="n">
        <v>44466</v>
      </c>
      <c r="C146" s="1" t="n">
        <v>46106</v>
      </c>
      <c r="D146" t="inlineStr">
        <is>
          <t>DALARNAS LÄN</t>
        </is>
      </c>
      <c r="E146" t="inlineStr">
        <is>
          <t>FALUN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52619-2021</t>
        </is>
      </c>
      <c r="B147" s="1" t="n">
        <v>44466</v>
      </c>
      <c r="C147" s="1" t="n">
        <v>46106</v>
      </c>
      <c r="D147" t="inlineStr">
        <is>
          <t>DALARNAS LÄN</t>
        </is>
      </c>
      <c r="E147" t="inlineStr">
        <is>
          <t>FALUN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26713-2021</t>
        </is>
      </c>
      <c r="B148" s="1" t="n">
        <v>44349</v>
      </c>
      <c r="C148" s="1" t="n">
        <v>46106</v>
      </c>
      <c r="D148" t="inlineStr">
        <is>
          <t>DALARNAS LÄN</t>
        </is>
      </c>
      <c r="E148" t="inlineStr">
        <is>
          <t>FALUN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66006-2021</t>
        </is>
      </c>
      <c r="B149" s="1" t="n">
        <v>44517.57755787037</v>
      </c>
      <c r="C149" s="1" t="n">
        <v>46106</v>
      </c>
      <c r="D149" t="inlineStr">
        <is>
          <t>DALARNAS LÄN</t>
        </is>
      </c>
      <c r="E149" t="inlineStr">
        <is>
          <t>FALUN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73804-2021</t>
        </is>
      </c>
      <c r="B150" s="1" t="n">
        <v>44552.71319444444</v>
      </c>
      <c r="C150" s="1" t="n">
        <v>46106</v>
      </c>
      <c r="D150" t="inlineStr">
        <is>
          <t>DALARNAS LÄN</t>
        </is>
      </c>
      <c r="E150" t="inlineStr">
        <is>
          <t>FALUN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28864-2021</t>
        </is>
      </c>
      <c r="B151" s="1" t="n">
        <v>44357.70540509259</v>
      </c>
      <c r="C151" s="1" t="n">
        <v>46106</v>
      </c>
      <c r="D151" t="inlineStr">
        <is>
          <t>DALARNAS LÄN</t>
        </is>
      </c>
      <c r="E151" t="inlineStr">
        <is>
          <t>FALUN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40374-2021</t>
        </is>
      </c>
      <c r="B152" s="1" t="n">
        <v>44419</v>
      </c>
      <c r="C152" s="1" t="n">
        <v>46106</v>
      </c>
      <c r="D152" t="inlineStr">
        <is>
          <t>DALARNAS LÄN</t>
        </is>
      </c>
      <c r="E152" t="inlineStr">
        <is>
          <t>FALUN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13557-2022</t>
        </is>
      </c>
      <c r="B153" s="1" t="n">
        <v>44648</v>
      </c>
      <c r="C153" s="1" t="n">
        <v>46106</v>
      </c>
      <c r="D153" t="inlineStr">
        <is>
          <t>DALARNAS LÄN</t>
        </is>
      </c>
      <c r="E153" t="inlineStr">
        <is>
          <t>FALUN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13561-2022</t>
        </is>
      </c>
      <c r="B154" s="1" t="n">
        <v>44648</v>
      </c>
      <c r="C154" s="1" t="n">
        <v>46106</v>
      </c>
      <c r="D154" t="inlineStr">
        <is>
          <t>DALARNAS LÄN</t>
        </is>
      </c>
      <c r="E154" t="inlineStr">
        <is>
          <t>FALUN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13566-2022</t>
        </is>
      </c>
      <c r="B155" s="1" t="n">
        <v>44648</v>
      </c>
      <c r="C155" s="1" t="n">
        <v>46106</v>
      </c>
      <c r="D155" t="inlineStr">
        <is>
          <t>DALARNAS LÄN</t>
        </is>
      </c>
      <c r="E155" t="inlineStr">
        <is>
          <t>FALUN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40915-2021</t>
        </is>
      </c>
      <c r="B156" s="1" t="n">
        <v>44421</v>
      </c>
      <c r="C156" s="1" t="n">
        <v>46106</v>
      </c>
      <c r="D156" t="inlineStr">
        <is>
          <t>DALARNAS LÄN</t>
        </is>
      </c>
      <c r="E156" t="inlineStr">
        <is>
          <t>FALUN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68590-2021</t>
        </is>
      </c>
      <c r="B157" s="1" t="n">
        <v>44529.5405787037</v>
      </c>
      <c r="C157" s="1" t="n">
        <v>46106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46239-2021</t>
        </is>
      </c>
      <c r="B158" s="1" t="n">
        <v>44442.53858796296</v>
      </c>
      <c r="C158" s="1" t="n">
        <v>46106</v>
      </c>
      <c r="D158" t="inlineStr">
        <is>
          <t>DALARNAS LÄN</t>
        </is>
      </c>
      <c r="E158" t="inlineStr">
        <is>
          <t>FALUN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36132-2021</t>
        </is>
      </c>
      <c r="B159" s="1" t="n">
        <v>44389</v>
      </c>
      <c r="C159" s="1" t="n">
        <v>46106</v>
      </c>
      <c r="D159" t="inlineStr">
        <is>
          <t>DALARNAS LÄN</t>
        </is>
      </c>
      <c r="E159" t="inlineStr">
        <is>
          <t>FALUN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59509-2021</t>
        </is>
      </c>
      <c r="B160" s="1" t="n">
        <v>44491</v>
      </c>
      <c r="C160" s="1" t="n">
        <v>46106</v>
      </c>
      <c r="D160" t="inlineStr">
        <is>
          <t>DALARNAS LÄN</t>
        </is>
      </c>
      <c r="E160" t="inlineStr">
        <is>
          <t>FALUN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34763-2021</t>
        </is>
      </c>
      <c r="B161" s="1" t="n">
        <v>44382.90510416667</v>
      </c>
      <c r="C161" s="1" t="n">
        <v>46106</v>
      </c>
      <c r="D161" t="inlineStr">
        <is>
          <t>DALARNAS LÄN</t>
        </is>
      </c>
      <c r="E161" t="inlineStr">
        <is>
          <t>FALUN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37291-2021</t>
        </is>
      </c>
      <c r="B162" s="1" t="n">
        <v>44397</v>
      </c>
      <c r="C162" s="1" t="n">
        <v>46106</v>
      </c>
      <c r="D162" t="inlineStr">
        <is>
          <t>DALARNAS LÄN</t>
        </is>
      </c>
      <c r="E162" t="inlineStr">
        <is>
          <t>FALUN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2686-2022</t>
        </is>
      </c>
      <c r="B163" s="1" t="n">
        <v>44580.59916666667</v>
      </c>
      <c r="C163" s="1" t="n">
        <v>46106</v>
      </c>
      <c r="D163" t="inlineStr">
        <is>
          <t>DALARNAS LÄN</t>
        </is>
      </c>
      <c r="E163" t="inlineStr">
        <is>
          <t>FALUN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37314-2022</t>
        </is>
      </c>
      <c r="B164" s="1" t="n">
        <v>44809.24195601852</v>
      </c>
      <c r="C164" s="1" t="n">
        <v>46106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38512-2021</t>
        </is>
      </c>
      <c r="B165" s="1" t="n">
        <v>44407</v>
      </c>
      <c r="C165" s="1" t="n">
        <v>46106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56147-2022</t>
        </is>
      </c>
      <c r="B166" s="1" t="n">
        <v>44889.89063657408</v>
      </c>
      <c r="C166" s="1" t="n">
        <v>46106</v>
      </c>
      <c r="D166" t="inlineStr">
        <is>
          <t>DALARNAS LÄN</t>
        </is>
      </c>
      <c r="E166" t="inlineStr">
        <is>
          <t>FALUN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15540-2022</t>
        </is>
      </c>
      <c r="B167" s="1" t="n">
        <v>44662</v>
      </c>
      <c r="C167" s="1" t="n">
        <v>46106</v>
      </c>
      <c r="D167" t="inlineStr">
        <is>
          <t>DALARNAS LÄN</t>
        </is>
      </c>
      <c r="E167" t="inlineStr">
        <is>
          <t>FALUN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23626-2022</t>
        </is>
      </c>
      <c r="B168" s="1" t="n">
        <v>44721.63247685185</v>
      </c>
      <c r="C168" s="1" t="n">
        <v>46106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34511-2022</t>
        </is>
      </c>
      <c r="B169" s="1" t="n">
        <v>44792</v>
      </c>
      <c r="C169" s="1" t="n">
        <v>46106</v>
      </c>
      <c r="D169" t="inlineStr">
        <is>
          <t>DALARNAS LÄN</t>
        </is>
      </c>
      <c r="E169" t="inlineStr">
        <is>
          <t>FALUN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39233-2021</t>
        </is>
      </c>
      <c r="B170" s="1" t="n">
        <v>44413.44799768519</v>
      </c>
      <c r="C170" s="1" t="n">
        <v>46106</v>
      </c>
      <c r="D170" t="inlineStr">
        <is>
          <t>DALARNAS LÄN</t>
        </is>
      </c>
      <c r="E170" t="inlineStr">
        <is>
          <t>FALUN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21169-2022</t>
        </is>
      </c>
      <c r="B171" s="1" t="n">
        <v>44704</v>
      </c>
      <c r="C171" s="1" t="n">
        <v>46106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13187-2022</t>
        </is>
      </c>
      <c r="B172" s="1" t="n">
        <v>44644</v>
      </c>
      <c r="C172" s="1" t="n">
        <v>46106</v>
      </c>
      <c r="D172" t="inlineStr">
        <is>
          <t>DALARNAS LÄN</t>
        </is>
      </c>
      <c r="E172" t="inlineStr">
        <is>
          <t>FALUN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69013-2021</t>
        </is>
      </c>
      <c r="B173" s="1" t="n">
        <v>44530.60075231481</v>
      </c>
      <c r="C173" s="1" t="n">
        <v>46106</v>
      </c>
      <c r="D173" t="inlineStr">
        <is>
          <t>DALARNAS LÄN</t>
        </is>
      </c>
      <c r="E173" t="inlineStr">
        <is>
          <t>FALUN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24844-2022</t>
        </is>
      </c>
      <c r="B174" s="1" t="n">
        <v>44728.46966435185</v>
      </c>
      <c r="C174" s="1" t="n">
        <v>46106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69780-2021</t>
        </is>
      </c>
      <c r="B175" s="1" t="n">
        <v>44532</v>
      </c>
      <c r="C175" s="1" t="n">
        <v>46106</v>
      </c>
      <c r="D175" t="inlineStr">
        <is>
          <t>DALARNAS LÄN</t>
        </is>
      </c>
      <c r="E175" t="inlineStr">
        <is>
          <t>FALUN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31629-2021</t>
        </is>
      </c>
      <c r="B176" s="1" t="n">
        <v>44369.60609953704</v>
      </c>
      <c r="C176" s="1" t="n">
        <v>46106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40135-2021</t>
        </is>
      </c>
      <c r="B177" s="1" t="n">
        <v>44418</v>
      </c>
      <c r="C177" s="1" t="n">
        <v>46106</v>
      </c>
      <c r="D177" t="inlineStr">
        <is>
          <t>DALARNAS LÄN</t>
        </is>
      </c>
      <c r="E177" t="inlineStr">
        <is>
          <t>FALUN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17791-2021</t>
        </is>
      </c>
      <c r="B178" s="1" t="n">
        <v>44300</v>
      </c>
      <c r="C178" s="1" t="n">
        <v>46106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37489-2021</t>
        </is>
      </c>
      <c r="B179" s="1" t="n">
        <v>44398</v>
      </c>
      <c r="C179" s="1" t="n">
        <v>46106</v>
      </c>
      <c r="D179" t="inlineStr">
        <is>
          <t>DALARNAS LÄN</t>
        </is>
      </c>
      <c r="E179" t="inlineStr">
        <is>
          <t>FALUN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66012-2021</t>
        </is>
      </c>
      <c r="B180" s="1" t="n">
        <v>44517</v>
      </c>
      <c r="C180" s="1" t="n">
        <v>46106</v>
      </c>
      <c r="D180" t="inlineStr">
        <is>
          <t>DALARNAS LÄN</t>
        </is>
      </c>
      <c r="E180" t="inlineStr">
        <is>
          <t>FALUN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13189-2022</t>
        </is>
      </c>
      <c r="B181" s="1" t="n">
        <v>44644</v>
      </c>
      <c r="C181" s="1" t="n">
        <v>46106</v>
      </c>
      <c r="D181" t="inlineStr">
        <is>
          <t>DALARNAS LÄN</t>
        </is>
      </c>
      <c r="E181" t="inlineStr">
        <is>
          <t>FALUN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15929-2022</t>
        </is>
      </c>
      <c r="B182" s="1" t="n">
        <v>44664</v>
      </c>
      <c r="C182" s="1" t="n">
        <v>46106</v>
      </c>
      <c r="D182" t="inlineStr">
        <is>
          <t>DALARNAS LÄN</t>
        </is>
      </c>
      <c r="E182" t="inlineStr">
        <is>
          <t>FALUN</t>
        </is>
      </c>
      <c r="F182" t="inlineStr">
        <is>
          <t>Kyrkan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22900-2021</t>
        </is>
      </c>
      <c r="B183" s="1" t="n">
        <v>44328.47465277778</v>
      </c>
      <c r="C183" s="1" t="n">
        <v>46106</v>
      </c>
      <c r="D183" t="inlineStr">
        <is>
          <t>DALARNAS LÄN</t>
        </is>
      </c>
      <c r="E183" t="inlineStr">
        <is>
          <t>FALUN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4000-2022</t>
        </is>
      </c>
      <c r="B184" s="1" t="n">
        <v>44587.86618055555</v>
      </c>
      <c r="C184" s="1" t="n">
        <v>46106</v>
      </c>
      <c r="D184" t="inlineStr">
        <is>
          <t>DALARNAS LÄN</t>
        </is>
      </c>
      <c r="E184" t="inlineStr">
        <is>
          <t>FALUN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52134-2022</t>
        </is>
      </c>
      <c r="B185" s="1" t="n">
        <v>44873.44424768518</v>
      </c>
      <c r="C185" s="1" t="n">
        <v>46106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34508-2022</t>
        </is>
      </c>
      <c r="B186" s="1" t="n">
        <v>44792</v>
      </c>
      <c r="C186" s="1" t="n">
        <v>46106</v>
      </c>
      <c r="D186" t="inlineStr">
        <is>
          <t>DALARNAS LÄN</t>
        </is>
      </c>
      <c r="E186" t="inlineStr">
        <is>
          <t>FALUN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34509-2022</t>
        </is>
      </c>
      <c r="B187" s="1" t="n">
        <v>44792</v>
      </c>
      <c r="C187" s="1" t="n">
        <v>46106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2991-2025</t>
        </is>
      </c>
      <c r="B188" s="1" t="n">
        <v>45678.53384259259</v>
      </c>
      <c r="C188" s="1" t="n">
        <v>46106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35193-2024</t>
        </is>
      </c>
      <c r="B189" s="1" t="n">
        <v>45530.46568287037</v>
      </c>
      <c r="C189" s="1" t="n">
        <v>46106</v>
      </c>
      <c r="D189" t="inlineStr">
        <is>
          <t>DALARNAS LÄN</t>
        </is>
      </c>
      <c r="E189" t="inlineStr">
        <is>
          <t>FALUN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58412-2024</t>
        </is>
      </c>
      <c r="B190" s="1" t="n">
        <v>45634</v>
      </c>
      <c r="C190" s="1" t="n">
        <v>46106</v>
      </c>
      <c r="D190" t="inlineStr">
        <is>
          <t>DALARNAS LÄN</t>
        </is>
      </c>
      <c r="E190" t="inlineStr">
        <is>
          <t>FALUN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13568-2024</t>
        </is>
      </c>
      <c r="B191" s="1" t="n">
        <v>45389.33204861111</v>
      </c>
      <c r="C191" s="1" t="n">
        <v>46106</v>
      </c>
      <c r="D191" t="inlineStr">
        <is>
          <t>DALARNAS LÄN</t>
        </is>
      </c>
      <c r="E191" t="inlineStr">
        <is>
          <t>FALUN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42302-2023</t>
        </is>
      </c>
      <c r="B192" s="1" t="n">
        <v>45175</v>
      </c>
      <c r="C192" s="1" t="n">
        <v>46106</v>
      </c>
      <c r="D192" t="inlineStr">
        <is>
          <t>DALARNAS LÄN</t>
        </is>
      </c>
      <c r="E192" t="inlineStr">
        <is>
          <t>FALUN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7519-2024</t>
        </is>
      </c>
      <c r="B193" s="1" t="n">
        <v>45348.34381944445</v>
      </c>
      <c r="C193" s="1" t="n">
        <v>46106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22938-2023</t>
        </is>
      </c>
      <c r="B194" s="1" t="n">
        <v>45072</v>
      </c>
      <c r="C194" s="1" t="n">
        <v>46106</v>
      </c>
      <c r="D194" t="inlineStr">
        <is>
          <t>DALARNAS LÄN</t>
        </is>
      </c>
      <c r="E194" t="inlineStr">
        <is>
          <t>FALUN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4700-2023</t>
        </is>
      </c>
      <c r="B195" s="1" t="n">
        <v>44957.47851851852</v>
      </c>
      <c r="C195" s="1" t="n">
        <v>46106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31884-2023</t>
        </is>
      </c>
      <c r="B196" s="1" t="n">
        <v>45118.65828703704</v>
      </c>
      <c r="C196" s="1" t="n">
        <v>46106</v>
      </c>
      <c r="D196" t="inlineStr">
        <is>
          <t>DALARNAS LÄN</t>
        </is>
      </c>
      <c r="E196" t="inlineStr">
        <is>
          <t>FALUN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51866-2024</t>
        </is>
      </c>
      <c r="B197" s="1" t="n">
        <v>45607.55261574074</v>
      </c>
      <c r="C197" s="1" t="n">
        <v>46106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56481-2024</t>
        </is>
      </c>
      <c r="B198" s="1" t="n">
        <v>45625.4747337963</v>
      </c>
      <c r="C198" s="1" t="n">
        <v>46106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4856-2024</t>
        </is>
      </c>
      <c r="B199" s="1" t="n">
        <v>45329</v>
      </c>
      <c r="C199" s="1" t="n">
        <v>46106</v>
      </c>
      <c r="D199" t="inlineStr">
        <is>
          <t>DALARNAS LÄN</t>
        </is>
      </c>
      <c r="E199" t="inlineStr">
        <is>
          <t>FALUN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24732-2023</t>
        </is>
      </c>
      <c r="B200" s="1" t="n">
        <v>45084.57900462963</v>
      </c>
      <c r="C200" s="1" t="n">
        <v>46106</v>
      </c>
      <c r="D200" t="inlineStr">
        <is>
          <t>DALARNAS LÄN</t>
        </is>
      </c>
      <c r="E200" t="inlineStr">
        <is>
          <t>FALUN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29850-2022</t>
        </is>
      </c>
      <c r="B201" s="1" t="n">
        <v>44755</v>
      </c>
      <c r="C201" s="1" t="n">
        <v>46106</v>
      </c>
      <c r="D201" t="inlineStr">
        <is>
          <t>DALARNAS LÄN</t>
        </is>
      </c>
      <c r="E201" t="inlineStr">
        <is>
          <t>FALUN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60306-2022</t>
        </is>
      </c>
      <c r="B202" s="1" t="n">
        <v>44910</v>
      </c>
      <c r="C202" s="1" t="n">
        <v>46106</v>
      </c>
      <c r="D202" t="inlineStr">
        <is>
          <t>DALARNAS LÄN</t>
        </is>
      </c>
      <c r="E202" t="inlineStr">
        <is>
          <t>FALUN</t>
        </is>
      </c>
      <c r="G202" t="n">
        <v>18.2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41439-2022</t>
        </is>
      </c>
      <c r="B203" s="1" t="n">
        <v>44826</v>
      </c>
      <c r="C203" s="1" t="n">
        <v>46106</v>
      </c>
      <c r="D203" t="inlineStr">
        <is>
          <t>DALARNAS LÄN</t>
        </is>
      </c>
      <c r="E203" t="inlineStr">
        <is>
          <t>FALUN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39096-2021</t>
        </is>
      </c>
      <c r="B204" s="1" t="n">
        <v>44412</v>
      </c>
      <c r="C204" s="1" t="n">
        <v>46106</v>
      </c>
      <c r="D204" t="inlineStr">
        <is>
          <t>DALARNAS LÄN</t>
        </is>
      </c>
      <c r="E204" t="inlineStr">
        <is>
          <t>FALUN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9837-2024</t>
        </is>
      </c>
      <c r="B205" s="1" t="n">
        <v>45363.29458333334</v>
      </c>
      <c r="C205" s="1" t="n">
        <v>46106</v>
      </c>
      <c r="D205" t="inlineStr">
        <is>
          <t>DALARNAS LÄN</t>
        </is>
      </c>
      <c r="E205" t="inlineStr">
        <is>
          <t>FALUN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18024-2025</t>
        </is>
      </c>
      <c r="B206" s="1" t="n">
        <v>45761</v>
      </c>
      <c r="C206" s="1" t="n">
        <v>46106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34764-2021</t>
        </is>
      </c>
      <c r="B207" s="1" t="n">
        <v>44382.91297453704</v>
      </c>
      <c r="C207" s="1" t="n">
        <v>46106</v>
      </c>
      <c r="D207" t="inlineStr">
        <is>
          <t>DALARNAS LÄN</t>
        </is>
      </c>
      <c r="E207" t="inlineStr">
        <is>
          <t>FALUN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34003-2024</t>
        </is>
      </c>
      <c r="B208" s="1" t="n">
        <v>45523.55704861111</v>
      </c>
      <c r="C208" s="1" t="n">
        <v>46106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34009-2024</t>
        </is>
      </c>
      <c r="B209" s="1" t="n">
        <v>45523.56410879629</v>
      </c>
      <c r="C209" s="1" t="n">
        <v>46106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3278-2024</t>
        </is>
      </c>
      <c r="B210" s="1" t="n">
        <v>45317.41975694444</v>
      </c>
      <c r="C210" s="1" t="n">
        <v>46106</v>
      </c>
      <c r="D210" t="inlineStr">
        <is>
          <t>DALARNAS LÄN</t>
        </is>
      </c>
      <c r="E210" t="inlineStr">
        <is>
          <t>FALUN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35212-2024</t>
        </is>
      </c>
      <c r="B211" s="1" t="n">
        <v>45530.48623842592</v>
      </c>
      <c r="C211" s="1" t="n">
        <v>46106</v>
      </c>
      <c r="D211" t="inlineStr">
        <is>
          <t>DALARNAS LÄN</t>
        </is>
      </c>
      <c r="E211" t="inlineStr">
        <is>
          <t>FALUN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13237-2024</t>
        </is>
      </c>
      <c r="B212" s="1" t="n">
        <v>45386.55716435185</v>
      </c>
      <c r="C212" s="1" t="n">
        <v>46106</v>
      </c>
      <c r="D212" t="inlineStr">
        <is>
          <t>DALARNAS LÄN</t>
        </is>
      </c>
      <c r="E212" t="inlineStr">
        <is>
          <t>FALUN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56246-2024</t>
        </is>
      </c>
      <c r="B213" s="1" t="n">
        <v>45624.63408564815</v>
      </c>
      <c r="C213" s="1" t="n">
        <v>46106</v>
      </c>
      <c r="D213" t="inlineStr">
        <is>
          <t>DALARNAS LÄN</t>
        </is>
      </c>
      <c r="E213" t="inlineStr">
        <is>
          <t>FALUN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51608-2024</t>
        </is>
      </c>
      <c r="B214" s="1" t="n">
        <v>45604.68635416667</v>
      </c>
      <c r="C214" s="1" t="n">
        <v>46106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5738-2025</t>
        </is>
      </c>
      <c r="B215" s="1" t="n">
        <v>45694.50859953704</v>
      </c>
      <c r="C215" s="1" t="n">
        <v>46106</v>
      </c>
      <c r="D215" t="inlineStr">
        <is>
          <t>DALARNAS LÄN</t>
        </is>
      </c>
      <c r="E215" t="inlineStr">
        <is>
          <t>FALUN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24297-2024</t>
        </is>
      </c>
      <c r="B216" s="1" t="n">
        <v>45457.46788194445</v>
      </c>
      <c r="C216" s="1" t="n">
        <v>46106</v>
      </c>
      <c r="D216" t="inlineStr">
        <is>
          <t>DALARNAS LÄN</t>
        </is>
      </c>
      <c r="E216" t="inlineStr">
        <is>
          <t>FALUN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59323-2024</t>
        </is>
      </c>
      <c r="B217" s="1" t="n">
        <v>45637.71758101852</v>
      </c>
      <c r="C217" s="1" t="n">
        <v>46106</v>
      </c>
      <c r="D217" t="inlineStr">
        <is>
          <t>DALARNAS LÄN</t>
        </is>
      </c>
      <c r="E217" t="inlineStr">
        <is>
          <t>FALUN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15296-2025</t>
        </is>
      </c>
      <c r="B218" s="1" t="n">
        <v>45745.81983796296</v>
      </c>
      <c r="C218" s="1" t="n">
        <v>46106</v>
      </c>
      <c r="D218" t="inlineStr">
        <is>
          <t>DALARNAS LÄN</t>
        </is>
      </c>
      <c r="E218" t="inlineStr">
        <is>
          <t>FALUN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50774-2024</t>
        </is>
      </c>
      <c r="B219" s="1" t="n">
        <v>45602.45038194444</v>
      </c>
      <c r="C219" s="1" t="n">
        <v>46106</v>
      </c>
      <c r="D219" t="inlineStr">
        <is>
          <t>DALARNAS LÄN</t>
        </is>
      </c>
      <c r="E219" t="inlineStr">
        <is>
          <t>FALUN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46252-2022</t>
        </is>
      </c>
      <c r="B220" s="1" t="n">
        <v>44847.63186342592</v>
      </c>
      <c r="C220" s="1" t="n">
        <v>46106</v>
      </c>
      <c r="D220" t="inlineStr">
        <is>
          <t>DALARNAS LÄN</t>
        </is>
      </c>
      <c r="E220" t="inlineStr">
        <is>
          <t>FALUN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19880-2025</t>
        </is>
      </c>
      <c r="B221" s="1" t="n">
        <v>45771.55671296296</v>
      </c>
      <c r="C221" s="1" t="n">
        <v>46106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37705-2024</t>
        </is>
      </c>
      <c r="B222" s="1" t="n">
        <v>45541.62380787037</v>
      </c>
      <c r="C222" s="1" t="n">
        <v>46106</v>
      </c>
      <c r="D222" t="inlineStr">
        <is>
          <t>DALARNAS LÄN</t>
        </is>
      </c>
      <c r="E222" t="inlineStr">
        <is>
          <t>FALUN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58508-2022</t>
        </is>
      </c>
      <c r="B223" s="1" t="n">
        <v>44902.39201388889</v>
      </c>
      <c r="C223" s="1" t="n">
        <v>46106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13577-2023</t>
        </is>
      </c>
      <c r="B224" s="1" t="n">
        <v>45006.54171296296</v>
      </c>
      <c r="C224" s="1" t="n">
        <v>46106</v>
      </c>
      <c r="D224" t="inlineStr">
        <is>
          <t>DALARNAS LÄN</t>
        </is>
      </c>
      <c r="E224" t="inlineStr">
        <is>
          <t>FALUN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5085-2024</t>
        </is>
      </c>
      <c r="B225" s="1" t="n">
        <v>45330.34628472223</v>
      </c>
      <c r="C225" s="1" t="n">
        <v>46106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8666-2025</t>
        </is>
      </c>
      <c r="B226" s="1" t="n">
        <v>45712.41024305556</v>
      </c>
      <c r="C226" s="1" t="n">
        <v>46106</v>
      </c>
      <c r="D226" t="inlineStr">
        <is>
          <t>DALARNAS LÄN</t>
        </is>
      </c>
      <c r="E226" t="inlineStr">
        <is>
          <t>FALUN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18148-2025</t>
        </is>
      </c>
      <c r="B227" s="1" t="n">
        <v>45761.61626157408</v>
      </c>
      <c r="C227" s="1" t="n">
        <v>46106</v>
      </c>
      <c r="D227" t="inlineStr">
        <is>
          <t>DALARNAS LÄN</t>
        </is>
      </c>
      <c r="E227" t="inlineStr">
        <is>
          <t>FALUN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15784-2025</t>
        </is>
      </c>
      <c r="B228" s="1" t="n">
        <v>45748.62056712963</v>
      </c>
      <c r="C228" s="1" t="n">
        <v>46106</v>
      </c>
      <c r="D228" t="inlineStr">
        <is>
          <t>DALARNAS LÄN</t>
        </is>
      </c>
      <c r="E228" t="inlineStr">
        <is>
          <t>FALUN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61035-2021</t>
        </is>
      </c>
      <c r="B229" s="1" t="n">
        <v>44497</v>
      </c>
      <c r="C229" s="1" t="n">
        <v>46106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58842-2023</t>
        </is>
      </c>
      <c r="B230" s="1" t="n">
        <v>45252</v>
      </c>
      <c r="C230" s="1" t="n">
        <v>46106</v>
      </c>
      <c r="D230" t="inlineStr">
        <is>
          <t>DALARNAS LÄN</t>
        </is>
      </c>
      <c r="E230" t="inlineStr">
        <is>
          <t>FALUN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74258-2021</t>
        </is>
      </c>
      <c r="B231" s="1" t="n">
        <v>44558.6503125</v>
      </c>
      <c r="C231" s="1" t="n">
        <v>46106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9716-2024</t>
        </is>
      </c>
      <c r="B232" s="1" t="n">
        <v>45362</v>
      </c>
      <c r="C232" s="1" t="n">
        <v>46106</v>
      </c>
      <c r="D232" t="inlineStr">
        <is>
          <t>DALARNAS LÄN</t>
        </is>
      </c>
      <c r="E232" t="inlineStr">
        <is>
          <t>FALUN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38143-2024</t>
        </is>
      </c>
      <c r="B233" s="1" t="n">
        <v>45545.42612268519</v>
      </c>
      <c r="C233" s="1" t="n">
        <v>46106</v>
      </c>
      <c r="D233" t="inlineStr">
        <is>
          <t>DALARNAS LÄN</t>
        </is>
      </c>
      <c r="E233" t="inlineStr">
        <is>
          <t>FALUN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13565-2024</t>
        </is>
      </c>
      <c r="B234" s="1" t="n">
        <v>45389.3240162037</v>
      </c>
      <c r="C234" s="1" t="n">
        <v>46106</v>
      </c>
      <c r="D234" t="inlineStr">
        <is>
          <t>DALARNAS LÄN</t>
        </is>
      </c>
      <c r="E234" t="inlineStr">
        <is>
          <t>FALUN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28275-2023</t>
        </is>
      </c>
      <c r="B235" s="1" t="n">
        <v>45099</v>
      </c>
      <c r="C235" s="1" t="n">
        <v>46106</v>
      </c>
      <c r="D235" t="inlineStr">
        <is>
          <t>DALARNAS LÄN</t>
        </is>
      </c>
      <c r="E235" t="inlineStr">
        <is>
          <t>FALUN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41604-2023</t>
        </is>
      </c>
      <c r="B236" s="1" t="n">
        <v>45175.65046296296</v>
      </c>
      <c r="C236" s="1" t="n">
        <v>46106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36725-2021</t>
        </is>
      </c>
      <c r="B237" s="1" t="n">
        <v>44392.57740740741</v>
      </c>
      <c r="C237" s="1" t="n">
        <v>46106</v>
      </c>
      <c r="D237" t="inlineStr">
        <is>
          <t>DALARNAS LÄN</t>
        </is>
      </c>
      <c r="E237" t="inlineStr">
        <is>
          <t>FALUN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43377-2022</t>
        </is>
      </c>
      <c r="B238" s="1" t="n">
        <v>44834</v>
      </c>
      <c r="C238" s="1" t="n">
        <v>46106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5680-2023</t>
        </is>
      </c>
      <c r="B239" s="1" t="n">
        <v>44960</v>
      </c>
      <c r="C239" s="1" t="n">
        <v>46106</v>
      </c>
      <c r="D239" t="inlineStr">
        <is>
          <t>DALARNAS LÄN</t>
        </is>
      </c>
      <c r="E239" t="inlineStr">
        <is>
          <t>FALUN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35917-2023</t>
        </is>
      </c>
      <c r="B240" s="1" t="n">
        <v>45148</v>
      </c>
      <c r="C240" s="1" t="n">
        <v>46106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2973-2023</t>
        </is>
      </c>
      <c r="B241" s="1" t="n">
        <v>44945</v>
      </c>
      <c r="C241" s="1" t="n">
        <v>46106</v>
      </c>
      <c r="D241" t="inlineStr">
        <is>
          <t>DALARNAS LÄN</t>
        </is>
      </c>
      <c r="E241" t="inlineStr">
        <is>
          <t>FALUN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34953-2022</t>
        </is>
      </c>
      <c r="B242" s="1" t="n">
        <v>44796.64291666666</v>
      </c>
      <c r="C242" s="1" t="n">
        <v>46106</v>
      </c>
      <c r="D242" t="inlineStr">
        <is>
          <t>DALARNAS LÄN</t>
        </is>
      </c>
      <c r="E242" t="inlineStr">
        <is>
          <t>FALUN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15318-2025</t>
        </is>
      </c>
      <c r="B243" s="1" t="n">
        <v>45747.31387731482</v>
      </c>
      <c r="C243" s="1" t="n">
        <v>46106</v>
      </c>
      <c r="D243" t="inlineStr">
        <is>
          <t>DALARNAS LÄN</t>
        </is>
      </c>
      <c r="E243" t="inlineStr">
        <is>
          <t>FALUN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143-2025</t>
        </is>
      </c>
      <c r="B244" s="1" t="n">
        <v>45659.58495370371</v>
      </c>
      <c r="C244" s="1" t="n">
        <v>46106</v>
      </c>
      <c r="D244" t="inlineStr">
        <is>
          <t>DALARNAS LÄN</t>
        </is>
      </c>
      <c r="E244" t="inlineStr">
        <is>
          <t>FALUN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43222-2023</t>
        </is>
      </c>
      <c r="B245" s="1" t="n">
        <v>45183.45549768519</v>
      </c>
      <c r="C245" s="1" t="n">
        <v>46106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62156-2023</t>
        </is>
      </c>
      <c r="B246" s="1" t="n">
        <v>45267</v>
      </c>
      <c r="C246" s="1" t="n">
        <v>46106</v>
      </c>
      <c r="D246" t="inlineStr">
        <is>
          <t>DALARNAS LÄN</t>
        </is>
      </c>
      <c r="E246" t="inlineStr">
        <is>
          <t>FALUN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15193-2022</t>
        </is>
      </c>
      <c r="B247" s="1" t="n">
        <v>44658</v>
      </c>
      <c r="C247" s="1" t="n">
        <v>46106</v>
      </c>
      <c r="D247" t="inlineStr">
        <is>
          <t>DALARNAS LÄN</t>
        </is>
      </c>
      <c r="E247" t="inlineStr">
        <is>
          <t>FALUN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12927-2023</t>
        </is>
      </c>
      <c r="B248" s="1" t="n">
        <v>45001</v>
      </c>
      <c r="C248" s="1" t="n">
        <v>46106</v>
      </c>
      <c r="D248" t="inlineStr">
        <is>
          <t>DALARNAS LÄN</t>
        </is>
      </c>
      <c r="E248" t="inlineStr">
        <is>
          <t>FALUN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HYPERLINK("https://klasma.github.io/Logging_2080/knärot/A 12927-2023 karta knärot.png", "A 12927-2023")</f>
        <v/>
      </c>
      <c r="V248">
        <f>HYPERLINK("https://klasma.github.io/Logging_2080/klagomål/A 12927-2023 FSC-klagomål.docx", "A 12927-2023")</f>
        <v/>
      </c>
      <c r="W248">
        <f>HYPERLINK("https://klasma.github.io/Logging_2080/klagomålsmail/A 12927-2023 FSC-klagomål mail.docx", "A 12927-2023")</f>
        <v/>
      </c>
      <c r="X248">
        <f>HYPERLINK("https://klasma.github.io/Logging_2080/tillsyn/A 12927-2023 tillsynsbegäran.docx", "A 12927-2023")</f>
        <v/>
      </c>
      <c r="Y248">
        <f>HYPERLINK("https://klasma.github.io/Logging_2080/tillsynsmail/A 12927-2023 tillsynsbegäran mail.docx", "A 12927-2023")</f>
        <v/>
      </c>
    </row>
    <row r="249" ht="15" customHeight="1">
      <c r="A249" t="inlineStr">
        <is>
          <t>A 41180-2024</t>
        </is>
      </c>
      <c r="B249" s="1" t="n">
        <v>45559.50664351852</v>
      </c>
      <c r="C249" s="1" t="n">
        <v>46106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32.3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54216-2023</t>
        </is>
      </c>
      <c r="B250" s="1" t="n">
        <v>45232.57947916666</v>
      </c>
      <c r="C250" s="1" t="n">
        <v>46106</v>
      </c>
      <c r="D250" t="inlineStr">
        <is>
          <t>DALARNAS LÄN</t>
        </is>
      </c>
      <c r="E250" t="inlineStr">
        <is>
          <t>FALUN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51233-2023</t>
        </is>
      </c>
      <c r="B251" s="1" t="n">
        <v>45219.46238425926</v>
      </c>
      <c r="C251" s="1" t="n">
        <v>46106</v>
      </c>
      <c r="D251" t="inlineStr">
        <is>
          <t>DALARNAS LÄN</t>
        </is>
      </c>
      <c r="E251" t="inlineStr">
        <is>
          <t>FALUN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19939-2024</t>
        </is>
      </c>
      <c r="B252" s="1" t="n">
        <v>45433.61042824074</v>
      </c>
      <c r="C252" s="1" t="n">
        <v>46106</v>
      </c>
      <c r="D252" t="inlineStr">
        <is>
          <t>DALARNAS LÄN</t>
        </is>
      </c>
      <c r="E252" t="inlineStr">
        <is>
          <t>FALUN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60088-2022</t>
        </is>
      </c>
      <c r="B253" s="1" t="n">
        <v>44909</v>
      </c>
      <c r="C253" s="1" t="n">
        <v>46106</v>
      </c>
      <c r="D253" t="inlineStr">
        <is>
          <t>DALARNAS LÄN</t>
        </is>
      </c>
      <c r="E253" t="inlineStr">
        <is>
          <t>FALUN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49986-2024</t>
        </is>
      </c>
      <c r="B254" s="1" t="n">
        <v>45597.80002314815</v>
      </c>
      <c r="C254" s="1" t="n">
        <v>46106</v>
      </c>
      <c r="D254" t="inlineStr">
        <is>
          <t>DALARNAS LÄN</t>
        </is>
      </c>
      <c r="E254" t="inlineStr">
        <is>
          <t>FALUN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7656-2023</t>
        </is>
      </c>
      <c r="B255" s="1" t="n">
        <v>44972</v>
      </c>
      <c r="C255" s="1" t="n">
        <v>46106</v>
      </c>
      <c r="D255" t="inlineStr">
        <is>
          <t>DALARNAS LÄN</t>
        </is>
      </c>
      <c r="E255" t="inlineStr">
        <is>
          <t>FALUN</t>
        </is>
      </c>
      <c r="G255" t="n">
        <v>26.1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60094-2023</t>
        </is>
      </c>
      <c r="B256" s="1" t="n">
        <v>45258</v>
      </c>
      <c r="C256" s="1" t="n">
        <v>46106</v>
      </c>
      <c r="D256" t="inlineStr">
        <is>
          <t>DALARNAS LÄN</t>
        </is>
      </c>
      <c r="E256" t="inlineStr">
        <is>
          <t>FALUN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37293-2021</t>
        </is>
      </c>
      <c r="B257" s="1" t="n">
        <v>44397</v>
      </c>
      <c r="C257" s="1" t="n">
        <v>46106</v>
      </c>
      <c r="D257" t="inlineStr">
        <is>
          <t>DALARNAS LÄN</t>
        </is>
      </c>
      <c r="E257" t="inlineStr">
        <is>
          <t>FALUN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37337-2023</t>
        </is>
      </c>
      <c r="B258" s="1" t="n">
        <v>45156.4499074074</v>
      </c>
      <c r="C258" s="1" t="n">
        <v>46106</v>
      </c>
      <c r="D258" t="inlineStr">
        <is>
          <t>DALARNAS LÄN</t>
        </is>
      </c>
      <c r="E258" t="inlineStr">
        <is>
          <t>FALUN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47631-2023</t>
        </is>
      </c>
      <c r="B259" s="1" t="n">
        <v>45203</v>
      </c>
      <c r="C259" s="1" t="n">
        <v>46106</v>
      </c>
      <c r="D259" t="inlineStr">
        <is>
          <t>DALARNAS LÄN</t>
        </is>
      </c>
      <c r="E259" t="inlineStr">
        <is>
          <t>FALUN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42953-2022</t>
        </is>
      </c>
      <c r="B260" s="1" t="n">
        <v>44833.40231481481</v>
      </c>
      <c r="C260" s="1" t="n">
        <v>46106</v>
      </c>
      <c r="D260" t="inlineStr">
        <is>
          <t>DALARNAS LÄN</t>
        </is>
      </c>
      <c r="E260" t="inlineStr">
        <is>
          <t>FALUN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35446-2024</t>
        </is>
      </c>
      <c r="B261" s="1" t="n">
        <v>45531.43714120371</v>
      </c>
      <c r="C261" s="1" t="n">
        <v>46106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15174-2024</t>
        </is>
      </c>
      <c r="B262" s="1" t="n">
        <v>45400.35174768518</v>
      </c>
      <c r="C262" s="1" t="n">
        <v>46106</v>
      </c>
      <c r="D262" t="inlineStr">
        <is>
          <t>DALARNAS LÄN</t>
        </is>
      </c>
      <c r="E262" t="inlineStr">
        <is>
          <t>FALUN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58411-2024</t>
        </is>
      </c>
      <c r="B263" s="1" t="n">
        <v>45634.75663194444</v>
      </c>
      <c r="C263" s="1" t="n">
        <v>46106</v>
      </c>
      <c r="D263" t="inlineStr">
        <is>
          <t>DALARNAS LÄN</t>
        </is>
      </c>
      <c r="E263" t="inlineStr">
        <is>
          <t>FALUN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53067-2024</t>
        </is>
      </c>
      <c r="B264" s="1" t="n">
        <v>45611.47604166667</v>
      </c>
      <c r="C264" s="1" t="n">
        <v>46106</v>
      </c>
      <c r="D264" t="inlineStr">
        <is>
          <t>DALARNAS LÄN</t>
        </is>
      </c>
      <c r="E264" t="inlineStr">
        <is>
          <t>FALUN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32584-2024</t>
        </is>
      </c>
      <c r="B265" s="1" t="n">
        <v>45513.58015046296</v>
      </c>
      <c r="C265" s="1" t="n">
        <v>46106</v>
      </c>
      <c r="D265" t="inlineStr">
        <is>
          <t>DALARNAS LÄN</t>
        </is>
      </c>
      <c r="E265" t="inlineStr">
        <is>
          <t>FALUN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51640-2024</t>
        </is>
      </c>
      <c r="B266" s="1" t="n">
        <v>45605.73349537037</v>
      </c>
      <c r="C266" s="1" t="n">
        <v>46106</v>
      </c>
      <c r="D266" t="inlineStr">
        <is>
          <t>DALARNAS LÄN</t>
        </is>
      </c>
      <c r="E266" t="inlineStr">
        <is>
          <t>FALUN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53177-2024</t>
        </is>
      </c>
      <c r="B267" s="1" t="n">
        <v>45611</v>
      </c>
      <c r="C267" s="1" t="n">
        <v>46106</v>
      </c>
      <c r="D267" t="inlineStr">
        <is>
          <t>DALARNAS LÄN</t>
        </is>
      </c>
      <c r="E267" t="inlineStr">
        <is>
          <t>FALUN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51510-2023</t>
        </is>
      </c>
      <c r="B268" s="1" t="n">
        <v>45222</v>
      </c>
      <c r="C268" s="1" t="n">
        <v>46106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39918-2024</t>
        </is>
      </c>
      <c r="B269" s="1" t="n">
        <v>45553.53296296296</v>
      </c>
      <c r="C269" s="1" t="n">
        <v>46106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39924-2024</t>
        </is>
      </c>
      <c r="B270" s="1" t="n">
        <v>45553.54315972222</v>
      </c>
      <c r="C270" s="1" t="n">
        <v>46106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37750-2023</t>
        </is>
      </c>
      <c r="B271" s="1" t="n">
        <v>45159</v>
      </c>
      <c r="C271" s="1" t="n">
        <v>46106</v>
      </c>
      <c r="D271" t="inlineStr">
        <is>
          <t>DALARNAS LÄN</t>
        </is>
      </c>
      <c r="E271" t="inlineStr">
        <is>
          <t>FALUN</t>
        </is>
      </c>
      <c r="G271" t="n">
        <v>20.2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10268-2024</t>
        </is>
      </c>
      <c r="B272" s="1" t="n">
        <v>45365.44188657407</v>
      </c>
      <c r="C272" s="1" t="n">
        <v>46106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55290-2022</t>
        </is>
      </c>
      <c r="B273" s="1" t="n">
        <v>44887</v>
      </c>
      <c r="C273" s="1" t="n">
        <v>46106</v>
      </c>
      <c r="D273" t="inlineStr">
        <is>
          <t>DALARNAS LÄN</t>
        </is>
      </c>
      <c r="E273" t="inlineStr">
        <is>
          <t>FALUN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1509-2024</t>
        </is>
      </c>
      <c r="B274" s="1" t="n">
        <v>45306</v>
      </c>
      <c r="C274" s="1" t="n">
        <v>46106</v>
      </c>
      <c r="D274" t="inlineStr">
        <is>
          <t>DALARNAS LÄN</t>
        </is>
      </c>
      <c r="E274" t="inlineStr">
        <is>
          <t>FALUN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2906-2022</t>
        </is>
      </c>
      <c r="B275" s="1" t="n">
        <v>44581</v>
      </c>
      <c r="C275" s="1" t="n">
        <v>46106</v>
      </c>
      <c r="D275" t="inlineStr">
        <is>
          <t>DALARNAS LÄN</t>
        </is>
      </c>
      <c r="E275" t="inlineStr">
        <is>
          <t>FALUN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35941-2023</t>
        </is>
      </c>
      <c r="B276" s="1" t="n">
        <v>45148</v>
      </c>
      <c r="C276" s="1" t="n">
        <v>46106</v>
      </c>
      <c r="D276" t="inlineStr">
        <is>
          <t>DALARNAS LÄN</t>
        </is>
      </c>
      <c r="E276" t="inlineStr">
        <is>
          <t>FALUN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25590-2024</t>
        </is>
      </c>
      <c r="B277" s="1" t="n">
        <v>45463</v>
      </c>
      <c r="C277" s="1" t="n">
        <v>46106</v>
      </c>
      <c r="D277" t="inlineStr">
        <is>
          <t>DALARNAS LÄN</t>
        </is>
      </c>
      <c r="E277" t="inlineStr">
        <is>
          <t>FALUN</t>
        </is>
      </c>
      <c r="G277" t="n">
        <v>12.2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51870-2022</t>
        </is>
      </c>
      <c r="B278" s="1" t="n">
        <v>44872</v>
      </c>
      <c r="C278" s="1" t="n">
        <v>46106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33408-2024</t>
        </is>
      </c>
      <c r="B279" s="1" t="n">
        <v>45519.49454861111</v>
      </c>
      <c r="C279" s="1" t="n">
        <v>46106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15535-2023</t>
        </is>
      </c>
      <c r="B280" s="1" t="n">
        <v>45020.56026620371</v>
      </c>
      <c r="C280" s="1" t="n">
        <v>46106</v>
      </c>
      <c r="D280" t="inlineStr">
        <is>
          <t>DALARNAS LÄN</t>
        </is>
      </c>
      <c r="E280" t="inlineStr">
        <is>
          <t>FALUN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1307-2025</t>
        </is>
      </c>
      <c r="B281" s="1" t="n">
        <v>45667.55133101852</v>
      </c>
      <c r="C281" s="1" t="n">
        <v>46106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27158-2025</t>
        </is>
      </c>
      <c r="B282" s="1" t="n">
        <v>45812.33471064815</v>
      </c>
      <c r="C282" s="1" t="n">
        <v>46106</v>
      </c>
      <c r="D282" t="inlineStr">
        <is>
          <t>DALARNAS LÄN</t>
        </is>
      </c>
      <c r="E282" t="inlineStr">
        <is>
          <t>FALUN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6964-2026</t>
        </is>
      </c>
      <c r="B283" s="1" t="n">
        <v>46057</v>
      </c>
      <c r="C283" s="1" t="n">
        <v>46106</v>
      </c>
      <c r="D283" t="inlineStr">
        <is>
          <t>DALARNAS LÄN</t>
        </is>
      </c>
      <c r="E283" t="inlineStr">
        <is>
          <t>FALUN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14022-2026</t>
        </is>
      </c>
      <c r="B284" s="1" t="n">
        <v>46098.70784722222</v>
      </c>
      <c r="C284" s="1" t="n">
        <v>46106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14040-2026</t>
        </is>
      </c>
      <c r="B285" s="1" t="n">
        <v>46098.89773148148</v>
      </c>
      <c r="C285" s="1" t="n">
        <v>46106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14042-2026</t>
        </is>
      </c>
      <c r="B286" s="1" t="n">
        <v>46098.91364583333</v>
      </c>
      <c r="C286" s="1" t="n">
        <v>46106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53090-2024</t>
        </is>
      </c>
      <c r="B287" s="1" t="n">
        <v>45611.51700231482</v>
      </c>
      <c r="C287" s="1" t="n">
        <v>46106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11927-2026</t>
        </is>
      </c>
      <c r="B288" s="1" t="n">
        <v>46085</v>
      </c>
      <c r="C288" s="1" t="n">
        <v>46106</v>
      </c>
      <c r="D288" t="inlineStr">
        <is>
          <t>DALARNAS LÄN</t>
        </is>
      </c>
      <c r="E288" t="inlineStr">
        <is>
          <t>FALUN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1697-2025</t>
        </is>
      </c>
      <c r="B289" s="1" t="n">
        <v>45670</v>
      </c>
      <c r="C289" s="1" t="n">
        <v>46106</v>
      </c>
      <c r="D289" t="inlineStr">
        <is>
          <t>DALARNAS LÄN</t>
        </is>
      </c>
      <c r="E289" t="inlineStr">
        <is>
          <t>FALUN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6539-2026</t>
        </is>
      </c>
      <c r="B290" s="1" t="n">
        <v>46056.42555555556</v>
      </c>
      <c r="C290" s="1" t="n">
        <v>46106</v>
      </c>
      <c r="D290" t="inlineStr">
        <is>
          <t>DALARNAS LÄN</t>
        </is>
      </c>
      <c r="E290" t="inlineStr">
        <is>
          <t>FALUN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13454-2026</t>
        </is>
      </c>
      <c r="B291" s="1" t="n">
        <v>46094</v>
      </c>
      <c r="C291" s="1" t="n">
        <v>46106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14193-2026</t>
        </is>
      </c>
      <c r="B292" s="1" t="n">
        <v>46099.53559027778</v>
      </c>
      <c r="C292" s="1" t="n">
        <v>46106</v>
      </c>
      <c r="D292" t="inlineStr">
        <is>
          <t>DALARNAS LÄN</t>
        </is>
      </c>
      <c r="E292" t="inlineStr">
        <is>
          <t>FALUN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6889-2026</t>
        </is>
      </c>
      <c r="B293" s="1" t="n">
        <v>46057.47079861111</v>
      </c>
      <c r="C293" s="1" t="n">
        <v>46106</v>
      </c>
      <c r="D293" t="inlineStr">
        <is>
          <t>DALARNAS LÄN</t>
        </is>
      </c>
      <c r="E293" t="inlineStr">
        <is>
          <t>FALUN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6794-2026</t>
        </is>
      </c>
      <c r="B294" s="1" t="n">
        <v>46057.34268518518</v>
      </c>
      <c r="C294" s="1" t="n">
        <v>46106</v>
      </c>
      <c r="D294" t="inlineStr">
        <is>
          <t>DALARNAS LÄN</t>
        </is>
      </c>
      <c r="E294" t="inlineStr">
        <is>
          <t>FALUN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39824-2022</t>
        </is>
      </c>
      <c r="B295" s="1" t="n">
        <v>44819.57239583333</v>
      </c>
      <c r="C295" s="1" t="n">
        <v>46106</v>
      </c>
      <c r="D295" t="inlineStr">
        <is>
          <t>DALARNAS LÄN</t>
        </is>
      </c>
      <c r="E295" t="inlineStr">
        <is>
          <t>FALUN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14122-2026</t>
        </is>
      </c>
      <c r="B296" s="1" t="n">
        <v>46099.43978009259</v>
      </c>
      <c r="C296" s="1" t="n">
        <v>46106</v>
      </c>
      <c r="D296" t="inlineStr">
        <is>
          <t>DALARNAS LÄN</t>
        </is>
      </c>
      <c r="E296" t="inlineStr">
        <is>
          <t>FALUN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14173-2026</t>
        </is>
      </c>
      <c r="B297" s="1" t="n">
        <v>46099.48815972222</v>
      </c>
      <c r="C297" s="1" t="n">
        <v>46106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14188-2026</t>
        </is>
      </c>
      <c r="B298" s="1" t="n">
        <v>46099.51572916667</v>
      </c>
      <c r="C298" s="1" t="n">
        <v>46106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27468-2025</t>
        </is>
      </c>
      <c r="B299" s="1" t="n">
        <v>45813</v>
      </c>
      <c r="C299" s="1" t="n">
        <v>46106</v>
      </c>
      <c r="D299" t="inlineStr">
        <is>
          <t>DALARNAS LÄN</t>
        </is>
      </c>
      <c r="E299" t="inlineStr">
        <is>
          <t>FALUN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12041-2026</t>
        </is>
      </c>
      <c r="B300" s="1" t="n">
        <v>46086</v>
      </c>
      <c r="C300" s="1" t="n">
        <v>46106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14095-2026</t>
        </is>
      </c>
      <c r="B301" s="1" t="n">
        <v>46099.40016203704</v>
      </c>
      <c r="C301" s="1" t="n">
        <v>46106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27469-2025</t>
        </is>
      </c>
      <c r="B302" s="1" t="n">
        <v>45813.36081018519</v>
      </c>
      <c r="C302" s="1" t="n">
        <v>46106</v>
      </c>
      <c r="D302" t="inlineStr">
        <is>
          <t>DALARNAS LÄN</t>
        </is>
      </c>
      <c r="E302" t="inlineStr">
        <is>
          <t>FALUN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14303-2026</t>
        </is>
      </c>
      <c r="B303" s="1" t="n">
        <v>46099.78733796296</v>
      </c>
      <c r="C303" s="1" t="n">
        <v>46106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14311-2026</t>
        </is>
      </c>
      <c r="B304" s="1" t="n">
        <v>46099.82872685185</v>
      </c>
      <c r="C304" s="1" t="n">
        <v>46106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63.9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13836-2026</t>
        </is>
      </c>
      <c r="B305" s="1" t="n">
        <v>46098.36571759259</v>
      </c>
      <c r="C305" s="1" t="n">
        <v>46106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13795-2026</t>
        </is>
      </c>
      <c r="B306" s="1" t="n">
        <v>46097</v>
      </c>
      <c r="C306" s="1" t="n">
        <v>46106</v>
      </c>
      <c r="D306" t="inlineStr">
        <is>
          <t>DALARNAS LÄN</t>
        </is>
      </c>
      <c r="E306" t="inlineStr">
        <is>
          <t>FALUN</t>
        </is>
      </c>
      <c r="F306" t="inlineStr">
        <is>
          <t>Allmännings- och besparingsskogar</t>
        </is>
      </c>
      <c r="G306" t="n">
        <v>15.2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14309-2026</t>
        </is>
      </c>
      <c r="B307" s="1" t="n">
        <v>46099.82721064815</v>
      </c>
      <c r="C307" s="1" t="n">
        <v>46106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13.4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12366-2026</t>
        </is>
      </c>
      <c r="B308" s="1" t="n">
        <v>46089</v>
      </c>
      <c r="C308" s="1" t="n">
        <v>46106</v>
      </c>
      <c r="D308" t="inlineStr">
        <is>
          <t>DALARNAS LÄN</t>
        </is>
      </c>
      <c r="E308" t="inlineStr">
        <is>
          <t>FALUN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58336-2022</t>
        </is>
      </c>
      <c r="B309" s="1" t="n">
        <v>44901.56976851852</v>
      </c>
      <c r="C309" s="1" t="n">
        <v>46106</v>
      </c>
      <c r="D309" t="inlineStr">
        <is>
          <t>DALARNAS LÄN</t>
        </is>
      </c>
      <c r="E309" t="inlineStr">
        <is>
          <t>FALUN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12367-2026</t>
        </is>
      </c>
      <c r="B310" s="1" t="n">
        <v>46089</v>
      </c>
      <c r="C310" s="1" t="n">
        <v>46106</v>
      </c>
      <c r="D310" t="inlineStr">
        <is>
          <t>DALARNAS LÄN</t>
        </is>
      </c>
      <c r="E310" t="inlineStr">
        <is>
          <t>FALUN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13816-2026</t>
        </is>
      </c>
      <c r="B311" s="1" t="n">
        <v>46098.32570601852</v>
      </c>
      <c r="C311" s="1" t="n">
        <v>46106</v>
      </c>
      <c r="D311" t="inlineStr">
        <is>
          <t>DALARNAS LÄN</t>
        </is>
      </c>
      <c r="E311" t="inlineStr">
        <is>
          <t>FALUN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14212-2026</t>
        </is>
      </c>
      <c r="B312" s="1" t="n">
        <v>46099.56534722223</v>
      </c>
      <c r="C312" s="1" t="n">
        <v>46106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14214-2026</t>
        </is>
      </c>
      <c r="B313" s="1" t="n">
        <v>46099.56611111111</v>
      </c>
      <c r="C313" s="1" t="n">
        <v>46106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6997-2026</t>
        </is>
      </c>
      <c r="B314" s="1" t="n">
        <v>46057.6134375</v>
      </c>
      <c r="C314" s="1" t="n">
        <v>46106</v>
      </c>
      <c r="D314" t="inlineStr">
        <is>
          <t>DALARNAS LÄN</t>
        </is>
      </c>
      <c r="E314" t="inlineStr">
        <is>
          <t>FALUN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6435-2026</t>
        </is>
      </c>
      <c r="B315" s="1" t="n">
        <v>46055.77084490741</v>
      </c>
      <c r="C315" s="1" t="n">
        <v>46106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38748-2025</t>
        </is>
      </c>
      <c r="B316" s="1" t="n">
        <v>45887.38813657407</v>
      </c>
      <c r="C316" s="1" t="n">
        <v>46106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12100-2026</t>
        </is>
      </c>
      <c r="B317" s="1" t="n">
        <v>46086</v>
      </c>
      <c r="C317" s="1" t="n">
        <v>46106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13229-2026</t>
        </is>
      </c>
      <c r="B318" s="1" t="n">
        <v>46093</v>
      </c>
      <c r="C318" s="1" t="n">
        <v>46106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13232-2026</t>
        </is>
      </c>
      <c r="B319" s="1" t="n">
        <v>46093</v>
      </c>
      <c r="C319" s="1" t="n">
        <v>46106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13992-2026</t>
        </is>
      </c>
      <c r="B320" s="1" t="n">
        <v>46098.62170138889</v>
      </c>
      <c r="C320" s="1" t="n">
        <v>46106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6688-2026</t>
        </is>
      </c>
      <c r="B321" s="1" t="n">
        <v>46056.63151620371</v>
      </c>
      <c r="C321" s="1" t="n">
        <v>46106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37709-2024</t>
        </is>
      </c>
      <c r="B322" s="1" t="n">
        <v>45541.62721064815</v>
      </c>
      <c r="C322" s="1" t="n">
        <v>46106</v>
      </c>
      <c r="D322" t="inlineStr">
        <is>
          <t>DALARNAS LÄN</t>
        </is>
      </c>
      <c r="E322" t="inlineStr">
        <is>
          <t>FALUN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6736-2026</t>
        </is>
      </c>
      <c r="B323" s="1" t="n">
        <v>46056</v>
      </c>
      <c r="C323" s="1" t="n">
        <v>46106</v>
      </c>
      <c r="D323" t="inlineStr">
        <is>
          <t>DALARNAS LÄN</t>
        </is>
      </c>
      <c r="E323" t="inlineStr">
        <is>
          <t>FALUN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13537-2026</t>
        </is>
      </c>
      <c r="B324" s="1" t="n">
        <v>46094</v>
      </c>
      <c r="C324" s="1" t="n">
        <v>46106</v>
      </c>
      <c r="D324" t="inlineStr">
        <is>
          <t>DALARNAS LÄN</t>
        </is>
      </c>
      <c r="E324" t="inlineStr">
        <is>
          <t>FALUN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13539-2026</t>
        </is>
      </c>
      <c r="B325" s="1" t="n">
        <v>46094</v>
      </c>
      <c r="C325" s="1" t="n">
        <v>46106</v>
      </c>
      <c r="D325" t="inlineStr">
        <is>
          <t>DALARNAS LÄN</t>
        </is>
      </c>
      <c r="E325" t="inlineStr">
        <is>
          <t>FALUN</t>
        </is>
      </c>
      <c r="G325" t="n">
        <v>38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HYPERLINK("https://klasma.github.io/Logging_2080/knärot/A 13539-2026 karta knärot.png", "A 13539-2026")</f>
        <v/>
      </c>
      <c r="V325">
        <f>HYPERLINK("https://klasma.github.io/Logging_2080/klagomål/A 13539-2026 FSC-klagomål.docx", "A 13539-2026")</f>
        <v/>
      </c>
      <c r="W325">
        <f>HYPERLINK("https://klasma.github.io/Logging_2080/klagomålsmail/A 13539-2026 FSC-klagomål mail.docx", "A 13539-2026")</f>
        <v/>
      </c>
      <c r="X325">
        <f>HYPERLINK("https://klasma.github.io/Logging_2080/tillsyn/A 13539-2026 tillsynsbegäran.docx", "A 13539-2026")</f>
        <v/>
      </c>
      <c r="Y325">
        <f>HYPERLINK("https://klasma.github.io/Logging_2080/tillsynsmail/A 13539-2026 tillsynsbegäran mail.docx", "A 13539-2026")</f>
        <v/>
      </c>
    </row>
    <row r="326" ht="15" customHeight="1">
      <c r="A326" t="inlineStr">
        <is>
          <t>A 6943-2026</t>
        </is>
      </c>
      <c r="B326" s="1" t="n">
        <v>46056</v>
      </c>
      <c r="C326" s="1" t="n">
        <v>46106</v>
      </c>
      <c r="D326" t="inlineStr">
        <is>
          <t>DALARNAS LÄN</t>
        </is>
      </c>
      <c r="E326" t="inlineStr">
        <is>
          <t>FALUN</t>
        </is>
      </c>
      <c r="F326" t="inlineStr">
        <is>
          <t>Allmännings- och besparingsskogar</t>
        </is>
      </c>
      <c r="G326" t="n">
        <v>22.5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6951-2026</t>
        </is>
      </c>
      <c r="B327" s="1" t="n">
        <v>46057.57087962963</v>
      </c>
      <c r="C327" s="1" t="n">
        <v>46106</v>
      </c>
      <c r="D327" t="inlineStr">
        <is>
          <t>DALARNAS LÄN</t>
        </is>
      </c>
      <c r="E327" t="inlineStr">
        <is>
          <t>FALUN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13946-2026</t>
        </is>
      </c>
      <c r="B328" s="1" t="n">
        <v>46098</v>
      </c>
      <c r="C328" s="1" t="n">
        <v>46106</v>
      </c>
      <c r="D328" t="inlineStr">
        <is>
          <t>DALARNAS LÄN</t>
        </is>
      </c>
      <c r="E328" t="inlineStr">
        <is>
          <t>FALUN</t>
        </is>
      </c>
      <c r="F328" t="inlineStr">
        <is>
          <t>Allmännings- och besparingsskogar</t>
        </is>
      </c>
      <c r="G328" t="n">
        <v>12.5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14023-2026</t>
        </is>
      </c>
      <c r="B329" s="1" t="n">
        <v>46098.71225694445</v>
      </c>
      <c r="C329" s="1" t="n">
        <v>46106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38.2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6599-2026</t>
        </is>
      </c>
      <c r="B330" s="1" t="n">
        <v>46056</v>
      </c>
      <c r="C330" s="1" t="n">
        <v>46106</v>
      </c>
      <c r="D330" t="inlineStr">
        <is>
          <t>DALARNAS LÄN</t>
        </is>
      </c>
      <c r="E330" t="inlineStr">
        <is>
          <t>FALUN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11877-2026</t>
        </is>
      </c>
      <c r="B331" s="1" t="n">
        <v>46085</v>
      </c>
      <c r="C331" s="1" t="n">
        <v>46106</v>
      </c>
      <c r="D331" t="inlineStr">
        <is>
          <t>DALARNAS LÄN</t>
        </is>
      </c>
      <c r="E331" t="inlineStr">
        <is>
          <t>FALUN</t>
        </is>
      </c>
      <c r="G331" t="n">
        <v>23.5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6613-2026</t>
        </is>
      </c>
      <c r="B332" s="1" t="n">
        <v>46056</v>
      </c>
      <c r="C332" s="1" t="n">
        <v>46106</v>
      </c>
      <c r="D332" t="inlineStr">
        <is>
          <t>DALARNAS LÄN</t>
        </is>
      </c>
      <c r="E332" t="inlineStr">
        <is>
          <t>FALUN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6626-2026</t>
        </is>
      </c>
      <c r="B333" s="1" t="n">
        <v>46056.51520833333</v>
      </c>
      <c r="C333" s="1" t="n">
        <v>46106</v>
      </c>
      <c r="D333" t="inlineStr">
        <is>
          <t>DALARNAS LÄN</t>
        </is>
      </c>
      <c r="E333" t="inlineStr">
        <is>
          <t>FALUN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6629-2026</t>
        </is>
      </c>
      <c r="B334" s="1" t="n">
        <v>46056</v>
      </c>
      <c r="C334" s="1" t="n">
        <v>46106</v>
      </c>
      <c r="D334" t="inlineStr">
        <is>
          <t>DALARNAS LÄN</t>
        </is>
      </c>
      <c r="E334" t="inlineStr">
        <is>
          <t>FALUN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6985-2026</t>
        </is>
      </c>
      <c r="B335" s="1" t="n">
        <v>46057</v>
      </c>
      <c r="C335" s="1" t="n">
        <v>46106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9366-2026</t>
        </is>
      </c>
      <c r="B336" s="1" t="n">
        <v>46070</v>
      </c>
      <c r="C336" s="1" t="n">
        <v>46106</v>
      </c>
      <c r="D336" t="inlineStr">
        <is>
          <t>DALARNAS LÄN</t>
        </is>
      </c>
      <c r="E336" t="inlineStr">
        <is>
          <t>FALUN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14538-2022</t>
        </is>
      </c>
      <c r="B337" s="1" t="n">
        <v>44655.4495949074</v>
      </c>
      <c r="C337" s="1" t="n">
        <v>46106</v>
      </c>
      <c r="D337" t="inlineStr">
        <is>
          <t>DALARNAS LÄN</t>
        </is>
      </c>
      <c r="E337" t="inlineStr">
        <is>
          <t>FALUN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52026-2023</t>
        </is>
      </c>
      <c r="B338" s="1" t="n">
        <v>45223.61996527778</v>
      </c>
      <c r="C338" s="1" t="n">
        <v>46106</v>
      </c>
      <c r="D338" t="inlineStr">
        <is>
          <t>DALARNAS LÄN</t>
        </is>
      </c>
      <c r="E338" t="inlineStr">
        <is>
          <t>FALUN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13830-2026</t>
        </is>
      </c>
      <c r="B339" s="1" t="n">
        <v>46098.35122685185</v>
      </c>
      <c r="C339" s="1" t="n">
        <v>46106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40.2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6754-2026</t>
        </is>
      </c>
      <c r="B340" s="1" t="n">
        <v>46056.77274305555</v>
      </c>
      <c r="C340" s="1" t="n">
        <v>46106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7055-2026</t>
        </is>
      </c>
      <c r="B341" s="1" t="n">
        <v>46057</v>
      </c>
      <c r="C341" s="1" t="n">
        <v>46106</v>
      </c>
      <c r="D341" t="inlineStr">
        <is>
          <t>DALARNAS LÄN</t>
        </is>
      </c>
      <c r="E341" t="inlineStr">
        <is>
          <t>FALUN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6568-2026</t>
        </is>
      </c>
      <c r="B342" s="1" t="n">
        <v>46056.44238425926</v>
      </c>
      <c r="C342" s="1" t="n">
        <v>46106</v>
      </c>
      <c r="D342" t="inlineStr">
        <is>
          <t>DALARNAS LÄN</t>
        </is>
      </c>
      <c r="E342" t="inlineStr">
        <is>
          <t>FALUN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6604-2026</t>
        </is>
      </c>
      <c r="B343" s="1" t="n">
        <v>46056.47783564815</v>
      </c>
      <c r="C343" s="1" t="n">
        <v>46106</v>
      </c>
      <c r="D343" t="inlineStr">
        <is>
          <t>DALARNAS LÄN</t>
        </is>
      </c>
      <c r="E343" t="inlineStr">
        <is>
          <t>FALUN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6556-2026</t>
        </is>
      </c>
      <c r="B344" s="1" t="n">
        <v>46056.43248842593</v>
      </c>
      <c r="C344" s="1" t="n">
        <v>46106</v>
      </c>
      <c r="D344" t="inlineStr">
        <is>
          <t>DALARNAS LÄN</t>
        </is>
      </c>
      <c r="E344" t="inlineStr">
        <is>
          <t>FALUN</t>
        </is>
      </c>
      <c r="G344" t="n">
        <v>17.2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14209-2026</t>
        </is>
      </c>
      <c r="B345" s="1" t="n">
        <v>46099.56414351852</v>
      </c>
      <c r="C345" s="1" t="n">
        <v>46106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14136-2026</t>
        </is>
      </c>
      <c r="B346" s="1" t="n">
        <v>46099.45679398148</v>
      </c>
      <c r="C346" s="1" t="n">
        <v>46106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14144-2026</t>
        </is>
      </c>
      <c r="B347" s="1" t="n">
        <v>46099.46046296296</v>
      </c>
      <c r="C347" s="1" t="n">
        <v>46106</v>
      </c>
      <c r="D347" t="inlineStr">
        <is>
          <t>DALARNAS LÄN</t>
        </is>
      </c>
      <c r="E347" t="inlineStr">
        <is>
          <t>FALUN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13237-2026</t>
        </is>
      </c>
      <c r="B348" s="1" t="n">
        <v>46093</v>
      </c>
      <c r="C348" s="1" t="n">
        <v>46106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13261-2026</t>
        </is>
      </c>
      <c r="B349" s="1" t="n">
        <v>46093</v>
      </c>
      <c r="C349" s="1" t="n">
        <v>46106</v>
      </c>
      <c r="D349" t="inlineStr">
        <is>
          <t>DALARNAS LÄN</t>
        </is>
      </c>
      <c r="E349" t="inlineStr">
        <is>
          <t>FALUN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19514-2024</t>
        </is>
      </c>
      <c r="B350" s="1" t="n">
        <v>45429.61107638889</v>
      </c>
      <c r="C350" s="1" t="n">
        <v>46106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14694-2026</t>
        </is>
      </c>
      <c r="B351" s="1" t="n">
        <v>46101.51181712963</v>
      </c>
      <c r="C351" s="1" t="n">
        <v>46106</v>
      </c>
      <c r="D351" t="inlineStr">
        <is>
          <t>DALARNAS LÄN</t>
        </is>
      </c>
      <c r="E351" t="inlineStr">
        <is>
          <t>FALUN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39186-2025</t>
        </is>
      </c>
      <c r="B352" s="1" t="n">
        <v>45888.66804398148</v>
      </c>
      <c r="C352" s="1" t="n">
        <v>46106</v>
      </c>
      <c r="D352" t="inlineStr">
        <is>
          <t>DALARNAS LÄN</t>
        </is>
      </c>
      <c r="E352" t="inlineStr">
        <is>
          <t>FALUN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15121-2025</t>
        </is>
      </c>
      <c r="B353" s="1" t="n">
        <v>45744.31552083333</v>
      </c>
      <c r="C353" s="1" t="n">
        <v>46106</v>
      </c>
      <c r="D353" t="inlineStr">
        <is>
          <t>DALARNAS LÄN</t>
        </is>
      </c>
      <c r="E353" t="inlineStr">
        <is>
          <t>FALUN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39187-2025</t>
        </is>
      </c>
      <c r="B354" s="1" t="n">
        <v>45888.6709375</v>
      </c>
      <c r="C354" s="1" t="n">
        <v>46106</v>
      </c>
      <c r="D354" t="inlineStr">
        <is>
          <t>DALARNAS LÄN</t>
        </is>
      </c>
      <c r="E354" t="inlineStr">
        <is>
          <t>FALUN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39297-2025</t>
        </is>
      </c>
      <c r="B355" s="1" t="n">
        <v>45888</v>
      </c>
      <c r="C355" s="1" t="n">
        <v>46106</v>
      </c>
      <c r="D355" t="inlineStr">
        <is>
          <t>DALARNAS LÄN</t>
        </is>
      </c>
      <c r="E355" t="inlineStr">
        <is>
          <t>FALUN</t>
        </is>
      </c>
      <c r="F355" t="inlineStr">
        <is>
          <t>Allmännings- och besparingsskogar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28679-2025</t>
        </is>
      </c>
      <c r="B356" s="1" t="n">
        <v>45819</v>
      </c>
      <c r="C356" s="1" t="n">
        <v>46106</v>
      </c>
      <c r="D356" t="inlineStr">
        <is>
          <t>DALARNAS LÄN</t>
        </is>
      </c>
      <c r="E356" t="inlineStr">
        <is>
          <t>FALUN</t>
        </is>
      </c>
      <c r="F356" t="inlineStr">
        <is>
          <t>Allmännings- och besparingsskogar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49639-2024</t>
        </is>
      </c>
      <c r="B357" s="1" t="n">
        <v>45596.60530092593</v>
      </c>
      <c r="C357" s="1" t="n">
        <v>46106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40308-2025</t>
        </is>
      </c>
      <c r="B358" s="1" t="n">
        <v>45895.41193287037</v>
      </c>
      <c r="C358" s="1" t="n">
        <v>46106</v>
      </c>
      <c r="D358" t="inlineStr">
        <is>
          <t>DALARNAS LÄN</t>
        </is>
      </c>
      <c r="E358" t="inlineStr">
        <is>
          <t>FALUN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14558-2026</t>
        </is>
      </c>
      <c r="B359" s="1" t="n">
        <v>46100</v>
      </c>
      <c r="C359" s="1" t="n">
        <v>46106</v>
      </c>
      <c r="D359" t="inlineStr">
        <is>
          <t>DALARNAS LÄN</t>
        </is>
      </c>
      <c r="E359" t="inlineStr">
        <is>
          <t>FALUN</t>
        </is>
      </c>
      <c r="F359" t="inlineStr">
        <is>
          <t>Allmännings- och besparingsskogar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12232-2026</t>
        </is>
      </c>
      <c r="B360" s="1" t="n">
        <v>46087</v>
      </c>
      <c r="C360" s="1" t="n">
        <v>46106</v>
      </c>
      <c r="D360" t="inlineStr">
        <is>
          <t>DALARNAS LÄN</t>
        </is>
      </c>
      <c r="E360" t="inlineStr">
        <is>
          <t>FALUN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12507-2026</t>
        </is>
      </c>
      <c r="B361" s="1" t="n">
        <v>46090</v>
      </c>
      <c r="C361" s="1" t="n">
        <v>46106</v>
      </c>
      <c r="D361" t="inlineStr">
        <is>
          <t>DALARNAS LÄN</t>
        </is>
      </c>
      <c r="E361" t="inlineStr">
        <is>
          <t>FALUN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13782-2026</t>
        </is>
      </c>
      <c r="B362" s="1" t="n">
        <v>46097</v>
      </c>
      <c r="C362" s="1" t="n">
        <v>46106</v>
      </c>
      <c r="D362" t="inlineStr">
        <is>
          <t>DALARNAS LÄN</t>
        </is>
      </c>
      <c r="E362" t="inlineStr">
        <is>
          <t>FALUN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13784-2026</t>
        </is>
      </c>
      <c r="B363" s="1" t="n">
        <v>46097</v>
      </c>
      <c r="C363" s="1" t="n">
        <v>46106</v>
      </c>
      <c r="D363" t="inlineStr">
        <is>
          <t>DALARNAS LÄN</t>
        </is>
      </c>
      <c r="E363" t="inlineStr">
        <is>
          <t>FALUN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39305-2025</t>
        </is>
      </c>
      <c r="B364" s="1" t="n">
        <v>45889.45498842592</v>
      </c>
      <c r="C364" s="1" t="n">
        <v>46106</v>
      </c>
      <c r="D364" t="inlineStr">
        <is>
          <t>DALARNAS LÄN</t>
        </is>
      </c>
      <c r="E364" t="inlineStr">
        <is>
          <t>FALUN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39276-2025</t>
        </is>
      </c>
      <c r="B365" s="1" t="n">
        <v>45889.39368055556</v>
      </c>
      <c r="C365" s="1" t="n">
        <v>46106</v>
      </c>
      <c r="D365" t="inlineStr">
        <is>
          <t>DALARNAS LÄN</t>
        </is>
      </c>
      <c r="E365" t="inlineStr">
        <is>
          <t>FALUN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28828-2025</t>
        </is>
      </c>
      <c r="B366" s="1" t="n">
        <v>45820</v>
      </c>
      <c r="C366" s="1" t="n">
        <v>46106</v>
      </c>
      <c r="D366" t="inlineStr">
        <is>
          <t>DALARNAS LÄN</t>
        </is>
      </c>
      <c r="E366" t="inlineStr">
        <is>
          <t>FALUN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38998-2025</t>
        </is>
      </c>
      <c r="B367" s="1" t="n">
        <v>45888.34069444444</v>
      </c>
      <c r="C367" s="1" t="n">
        <v>46106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39406-2025</t>
        </is>
      </c>
      <c r="B368" s="1" t="n">
        <v>45889.63824074074</v>
      </c>
      <c r="C368" s="1" t="n">
        <v>46106</v>
      </c>
      <c r="D368" t="inlineStr">
        <is>
          <t>DALARNAS LÄN</t>
        </is>
      </c>
      <c r="E368" t="inlineStr">
        <is>
          <t>FALUN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28721-2025</t>
        </is>
      </c>
      <c r="B369" s="1" t="n">
        <v>45820.35876157408</v>
      </c>
      <c r="C369" s="1" t="n">
        <v>46106</v>
      </c>
      <c r="D369" t="inlineStr">
        <is>
          <t>DALARNAS LÄN</t>
        </is>
      </c>
      <c r="E369" t="inlineStr">
        <is>
          <t>FALUN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12855-2026</t>
        </is>
      </c>
      <c r="B370" s="1" t="n">
        <v>46092</v>
      </c>
      <c r="C370" s="1" t="n">
        <v>46106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30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14692-2026</t>
        </is>
      </c>
      <c r="B371" s="1" t="n">
        <v>46101.50914351852</v>
      </c>
      <c r="C371" s="1" t="n">
        <v>46106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14658-2026</t>
        </is>
      </c>
      <c r="B372" s="1" t="n">
        <v>46101.43571759259</v>
      </c>
      <c r="C372" s="1" t="n">
        <v>46106</v>
      </c>
      <c r="D372" t="inlineStr">
        <is>
          <t>DALARNAS LÄN</t>
        </is>
      </c>
      <c r="E372" t="inlineStr">
        <is>
          <t>FALUN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6565-2024</t>
        </is>
      </c>
      <c r="B373" s="1" t="n">
        <v>45341</v>
      </c>
      <c r="C373" s="1" t="n">
        <v>46106</v>
      </c>
      <c r="D373" t="inlineStr">
        <is>
          <t>DALARNAS LÄN</t>
        </is>
      </c>
      <c r="E373" t="inlineStr">
        <is>
          <t>FALUN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37049-2023</t>
        </is>
      </c>
      <c r="B374" s="1" t="n">
        <v>45155.42216435185</v>
      </c>
      <c r="C374" s="1" t="n">
        <v>46106</v>
      </c>
      <c r="D374" t="inlineStr">
        <is>
          <t>DALARNAS LÄN</t>
        </is>
      </c>
      <c r="E374" t="inlineStr">
        <is>
          <t>FALUN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7293-2026</t>
        </is>
      </c>
      <c r="B375" s="1" t="n">
        <v>46058.64077546296</v>
      </c>
      <c r="C375" s="1" t="n">
        <v>46106</v>
      </c>
      <c r="D375" t="inlineStr">
        <is>
          <t>DALARNAS LÄN</t>
        </is>
      </c>
      <c r="E375" t="inlineStr">
        <is>
          <t>FALUN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28730-2025</t>
        </is>
      </c>
      <c r="B376" s="1" t="n">
        <v>45820.36541666667</v>
      </c>
      <c r="C376" s="1" t="n">
        <v>46106</v>
      </c>
      <c r="D376" t="inlineStr">
        <is>
          <t>DALARNAS LÄN</t>
        </is>
      </c>
      <c r="E376" t="inlineStr">
        <is>
          <t>FALUN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28735-2025</t>
        </is>
      </c>
      <c r="B377" s="1" t="n">
        <v>45820.38018518518</v>
      </c>
      <c r="C377" s="1" t="n">
        <v>46106</v>
      </c>
      <c r="D377" t="inlineStr">
        <is>
          <t>DALARNAS LÄN</t>
        </is>
      </c>
      <c r="E377" t="inlineStr">
        <is>
          <t>FALUN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2756-2025</t>
        </is>
      </c>
      <c r="B378" s="1" t="n">
        <v>45677</v>
      </c>
      <c r="C378" s="1" t="n">
        <v>46106</v>
      </c>
      <c r="D378" t="inlineStr">
        <is>
          <t>DALARNAS LÄN</t>
        </is>
      </c>
      <c r="E378" t="inlineStr">
        <is>
          <t>FALUN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28724-2025</t>
        </is>
      </c>
      <c r="B379" s="1" t="n">
        <v>45820.36188657407</v>
      </c>
      <c r="C379" s="1" t="n">
        <v>46106</v>
      </c>
      <c r="D379" t="inlineStr">
        <is>
          <t>DALARNAS LÄN</t>
        </is>
      </c>
      <c r="E379" t="inlineStr">
        <is>
          <t>FALUN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13309-2026</t>
        </is>
      </c>
      <c r="B380" s="1" t="n">
        <v>46094</v>
      </c>
      <c r="C380" s="1" t="n">
        <v>46106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29527-2025</t>
        </is>
      </c>
      <c r="B381" s="1" t="n">
        <v>45825.34275462963</v>
      </c>
      <c r="C381" s="1" t="n">
        <v>46106</v>
      </c>
      <c r="D381" t="inlineStr">
        <is>
          <t>DALARNAS LÄN</t>
        </is>
      </c>
      <c r="E381" t="inlineStr">
        <is>
          <t>FALUN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29427-2025</t>
        </is>
      </c>
      <c r="B382" s="1" t="n">
        <v>45824.64821759259</v>
      </c>
      <c r="C382" s="1" t="n">
        <v>46106</v>
      </c>
      <c r="D382" t="inlineStr">
        <is>
          <t>DALARNAS LÄN</t>
        </is>
      </c>
      <c r="E382" t="inlineStr">
        <is>
          <t>FALUN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1839-2025</t>
        </is>
      </c>
      <c r="B383" s="1" t="n">
        <v>45671</v>
      </c>
      <c r="C383" s="1" t="n">
        <v>46106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37882-2023</t>
        </is>
      </c>
      <c r="B384" s="1" t="n">
        <v>45160</v>
      </c>
      <c r="C384" s="1" t="n">
        <v>46106</v>
      </c>
      <c r="D384" t="inlineStr">
        <is>
          <t>DALARNAS LÄN</t>
        </is>
      </c>
      <c r="E384" t="inlineStr">
        <is>
          <t>FALUN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11060-2026</t>
        </is>
      </c>
      <c r="B385" s="1" t="n">
        <v>46079</v>
      </c>
      <c r="C385" s="1" t="n">
        <v>46106</v>
      </c>
      <c r="D385" t="inlineStr">
        <is>
          <t>DALARNAS LÄN</t>
        </is>
      </c>
      <c r="E385" t="inlineStr">
        <is>
          <t>FALUN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23642-2024</t>
        </is>
      </c>
      <c r="B386" s="1" t="n">
        <v>45454.49690972222</v>
      </c>
      <c r="C386" s="1" t="n">
        <v>46106</v>
      </c>
      <c r="D386" t="inlineStr">
        <is>
          <t>DALARNAS LÄN</t>
        </is>
      </c>
      <c r="E386" t="inlineStr">
        <is>
          <t>FALUN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51953-2024</t>
        </is>
      </c>
      <c r="B387" s="1" t="n">
        <v>45607.64084490741</v>
      </c>
      <c r="C387" s="1" t="n">
        <v>46106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51958-2024</t>
        </is>
      </c>
      <c r="B388" s="1" t="n">
        <v>45607.64520833334</v>
      </c>
      <c r="C388" s="1" t="n">
        <v>46106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25276-2021</t>
        </is>
      </c>
      <c r="B389" s="1" t="n">
        <v>44342</v>
      </c>
      <c r="C389" s="1" t="n">
        <v>46106</v>
      </c>
      <c r="D389" t="inlineStr">
        <is>
          <t>DALARNAS LÄN</t>
        </is>
      </c>
      <c r="E389" t="inlineStr">
        <is>
          <t>FALUN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13786-2026</t>
        </is>
      </c>
      <c r="B390" s="1" t="n">
        <v>46097</v>
      </c>
      <c r="C390" s="1" t="n">
        <v>46106</v>
      </c>
      <c r="D390" t="inlineStr">
        <is>
          <t>DALARNAS LÄN</t>
        </is>
      </c>
      <c r="E390" t="inlineStr">
        <is>
          <t>FALUN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39639-2025</t>
        </is>
      </c>
      <c r="B391" s="1" t="n">
        <v>45890.60149305555</v>
      </c>
      <c r="C391" s="1" t="n">
        <v>46106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27506-2023</t>
        </is>
      </c>
      <c r="B392" s="1" t="n">
        <v>45097</v>
      </c>
      <c r="C392" s="1" t="n">
        <v>46106</v>
      </c>
      <c r="D392" t="inlineStr">
        <is>
          <t>DALARNAS LÄN</t>
        </is>
      </c>
      <c r="E392" t="inlineStr">
        <is>
          <t>FALUN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29791-2025</t>
        </is>
      </c>
      <c r="B393" s="1" t="n">
        <v>45825.66074074074</v>
      </c>
      <c r="C393" s="1" t="n">
        <v>46106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HYPERLINK("https://klasma.github.io/Logging_2080/knärot/A 29791-2025 karta knärot.png", "A 29791-2025")</f>
        <v/>
      </c>
      <c r="V393">
        <f>HYPERLINK("https://klasma.github.io/Logging_2080/klagomål/A 29791-2025 FSC-klagomål.docx", "A 29791-2025")</f>
        <v/>
      </c>
      <c r="W393">
        <f>HYPERLINK("https://klasma.github.io/Logging_2080/klagomålsmail/A 29791-2025 FSC-klagomål mail.docx", "A 29791-2025")</f>
        <v/>
      </c>
      <c r="X393">
        <f>HYPERLINK("https://klasma.github.io/Logging_2080/tillsyn/A 29791-2025 tillsynsbegäran.docx", "A 29791-2025")</f>
        <v/>
      </c>
      <c r="Y393">
        <f>HYPERLINK("https://klasma.github.io/Logging_2080/tillsynsmail/A 29791-2025 tillsynsbegäran mail.docx", "A 29791-2025")</f>
        <v/>
      </c>
    </row>
    <row r="394" ht="15" customHeight="1">
      <c r="A394" t="inlineStr">
        <is>
          <t>A 12654-2026</t>
        </is>
      </c>
      <c r="B394" s="1" t="n">
        <v>46090</v>
      </c>
      <c r="C394" s="1" t="n">
        <v>46106</v>
      </c>
      <c r="D394" t="inlineStr">
        <is>
          <t>DALARNAS LÄN</t>
        </is>
      </c>
      <c r="E394" t="inlineStr">
        <is>
          <t>FALUN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14679-2026</t>
        </is>
      </c>
      <c r="B395" s="1" t="n">
        <v>46101.47236111111</v>
      </c>
      <c r="C395" s="1" t="n">
        <v>46106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29294-2025</t>
        </is>
      </c>
      <c r="B396" s="1" t="n">
        <v>45824.44313657407</v>
      </c>
      <c r="C396" s="1" t="n">
        <v>46106</v>
      </c>
      <c r="D396" t="inlineStr">
        <is>
          <t>DALARNAS LÄN</t>
        </is>
      </c>
      <c r="E396" t="inlineStr">
        <is>
          <t>FALUN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11058-2026</t>
        </is>
      </c>
      <c r="B397" s="1" t="n">
        <v>46079</v>
      </c>
      <c r="C397" s="1" t="n">
        <v>46106</v>
      </c>
      <c r="D397" t="inlineStr">
        <is>
          <t>DALARNAS LÄN</t>
        </is>
      </c>
      <c r="E397" t="inlineStr">
        <is>
          <t>FALUN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12679-2026</t>
        </is>
      </c>
      <c r="B398" s="1" t="n">
        <v>46090</v>
      </c>
      <c r="C398" s="1" t="n">
        <v>46106</v>
      </c>
      <c r="D398" t="inlineStr">
        <is>
          <t>DALARNAS LÄN</t>
        </is>
      </c>
      <c r="E398" t="inlineStr">
        <is>
          <t>FALUN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12685-2026</t>
        </is>
      </c>
      <c r="B399" s="1" t="n">
        <v>46090</v>
      </c>
      <c r="C399" s="1" t="n">
        <v>46106</v>
      </c>
      <c r="D399" t="inlineStr">
        <is>
          <t>DALARNAS LÄN</t>
        </is>
      </c>
      <c r="E399" t="inlineStr">
        <is>
          <t>FALUN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12695-2026</t>
        </is>
      </c>
      <c r="B400" s="1" t="n">
        <v>46090</v>
      </c>
      <c r="C400" s="1" t="n">
        <v>46106</v>
      </c>
      <c r="D400" t="inlineStr">
        <is>
          <t>DALARNAS LÄN</t>
        </is>
      </c>
      <c r="E400" t="inlineStr">
        <is>
          <t>FALUN</t>
        </is>
      </c>
      <c r="F400" t="inlineStr">
        <is>
          <t>Allmännings- och besparingsskogar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29703-2025</t>
        </is>
      </c>
      <c r="B401" s="1" t="n">
        <v>45825.55711805556</v>
      </c>
      <c r="C401" s="1" t="n">
        <v>46106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11.8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29355-2025</t>
        </is>
      </c>
      <c r="B402" s="1" t="n">
        <v>45824.54972222223</v>
      </c>
      <c r="C402" s="1" t="n">
        <v>46106</v>
      </c>
      <c r="D402" t="inlineStr">
        <is>
          <t>DALARNAS LÄN</t>
        </is>
      </c>
      <c r="E402" t="inlineStr">
        <is>
          <t>FALUN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7314-2026</t>
        </is>
      </c>
      <c r="B403" s="1" t="n">
        <v>46058</v>
      </c>
      <c r="C403" s="1" t="n">
        <v>46106</v>
      </c>
      <c r="D403" t="inlineStr">
        <is>
          <t>DALARNAS LÄN</t>
        </is>
      </c>
      <c r="E403" t="inlineStr">
        <is>
          <t>FALUN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9611-2026</t>
        </is>
      </c>
      <c r="B404" s="1" t="n">
        <v>46072</v>
      </c>
      <c r="C404" s="1" t="n">
        <v>46106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24.9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9614-2026</t>
        </is>
      </c>
      <c r="B405" s="1" t="n">
        <v>46072</v>
      </c>
      <c r="C405" s="1" t="n">
        <v>46106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11034-2026</t>
        </is>
      </c>
      <c r="B406" s="1" t="n">
        <v>46079</v>
      </c>
      <c r="C406" s="1" t="n">
        <v>46106</v>
      </c>
      <c r="D406" t="inlineStr">
        <is>
          <t>DALARNAS LÄN</t>
        </is>
      </c>
      <c r="E406" t="inlineStr">
        <is>
          <t>FALUN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40402-2025</t>
        </is>
      </c>
      <c r="B407" s="1" t="n">
        <v>45895.56866898148</v>
      </c>
      <c r="C407" s="1" t="n">
        <v>46106</v>
      </c>
      <c r="D407" t="inlineStr">
        <is>
          <t>DALARNAS LÄN</t>
        </is>
      </c>
      <c r="E407" t="inlineStr">
        <is>
          <t>FALUN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40459-2025</t>
        </is>
      </c>
      <c r="B408" s="1" t="n">
        <v>45895.64844907408</v>
      </c>
      <c r="C408" s="1" t="n">
        <v>46106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25791-2021</t>
        </is>
      </c>
      <c r="B409" s="1" t="n">
        <v>44343.84296296296</v>
      </c>
      <c r="C409" s="1" t="n">
        <v>46106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7461-2026</t>
        </is>
      </c>
      <c r="B410" s="1" t="n">
        <v>46058</v>
      </c>
      <c r="C410" s="1" t="n">
        <v>46106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13307-2026</t>
        </is>
      </c>
      <c r="B411" s="1" t="n">
        <v>46094</v>
      </c>
      <c r="C411" s="1" t="n">
        <v>46106</v>
      </c>
      <c r="D411" t="inlineStr">
        <is>
          <t>DALARNAS LÄN</t>
        </is>
      </c>
      <c r="E411" t="inlineStr">
        <is>
          <t>FALUN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52989-2024</t>
        </is>
      </c>
      <c r="B412" s="1" t="n">
        <v>45611.36885416666</v>
      </c>
      <c r="C412" s="1" t="n">
        <v>46106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12683-2026</t>
        </is>
      </c>
      <c r="B413" s="1" t="n">
        <v>46090</v>
      </c>
      <c r="C413" s="1" t="n">
        <v>46106</v>
      </c>
      <c r="D413" t="inlineStr">
        <is>
          <t>DALARNAS LÄN</t>
        </is>
      </c>
      <c r="E413" t="inlineStr">
        <is>
          <t>FALUN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12698-2026</t>
        </is>
      </c>
      <c r="B414" s="1" t="n">
        <v>46090</v>
      </c>
      <c r="C414" s="1" t="n">
        <v>46106</v>
      </c>
      <c r="D414" t="inlineStr">
        <is>
          <t>DALARNAS LÄN</t>
        </is>
      </c>
      <c r="E414" t="inlineStr">
        <is>
          <t>FALUN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30146-2025</t>
        </is>
      </c>
      <c r="B415" s="1" t="n">
        <v>45827.30365740741</v>
      </c>
      <c r="C415" s="1" t="n">
        <v>46106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7218-2026</t>
        </is>
      </c>
      <c r="B416" s="1" t="n">
        <v>46058.5600462963</v>
      </c>
      <c r="C416" s="1" t="n">
        <v>46106</v>
      </c>
      <c r="D416" t="inlineStr">
        <is>
          <t>DALARNAS LÄN</t>
        </is>
      </c>
      <c r="E416" t="inlineStr">
        <is>
          <t>FALUN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12706-2026</t>
        </is>
      </c>
      <c r="B417" s="1" t="n">
        <v>46090</v>
      </c>
      <c r="C417" s="1" t="n">
        <v>46106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12986-2026</t>
        </is>
      </c>
      <c r="B418" s="1" t="n">
        <v>46092</v>
      </c>
      <c r="C418" s="1" t="n">
        <v>46106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40096-2025</t>
        </is>
      </c>
      <c r="B419" s="1" t="n">
        <v>45894.48280092593</v>
      </c>
      <c r="C419" s="1" t="n">
        <v>46106</v>
      </c>
      <c r="D419" t="inlineStr">
        <is>
          <t>DALARNAS LÄN</t>
        </is>
      </c>
      <c r="E419" t="inlineStr">
        <is>
          <t>FALUN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21813-2023</t>
        </is>
      </c>
      <c r="B420" s="1" t="n">
        <v>45068</v>
      </c>
      <c r="C420" s="1" t="n">
        <v>46106</v>
      </c>
      <c r="D420" t="inlineStr">
        <is>
          <t>DALARNAS LÄN</t>
        </is>
      </c>
      <c r="E420" t="inlineStr">
        <is>
          <t>FALUN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13952-2026</t>
        </is>
      </c>
      <c r="B421" s="1" t="n">
        <v>46098.54939814815</v>
      </c>
      <c r="C421" s="1" t="n">
        <v>46106</v>
      </c>
      <c r="D421" t="inlineStr">
        <is>
          <t>DALARNAS LÄN</t>
        </is>
      </c>
      <c r="E421" t="inlineStr">
        <is>
          <t>FALUN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44597-2023</t>
        </is>
      </c>
      <c r="B422" s="1" t="n">
        <v>45189</v>
      </c>
      <c r="C422" s="1" t="n">
        <v>46106</v>
      </c>
      <c r="D422" t="inlineStr">
        <is>
          <t>DALARNAS LÄN</t>
        </is>
      </c>
      <c r="E422" t="inlineStr">
        <is>
          <t>FALUN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14409-2026</t>
        </is>
      </c>
      <c r="B423" s="1" t="n">
        <v>46100.43488425926</v>
      </c>
      <c r="C423" s="1" t="n">
        <v>46106</v>
      </c>
      <c r="D423" t="inlineStr">
        <is>
          <t>DALARNAS LÄN</t>
        </is>
      </c>
      <c r="E423" t="inlineStr">
        <is>
          <t>FALUN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15106-2025</t>
        </is>
      </c>
      <c r="B424" s="1" t="n">
        <v>45744.34770833333</v>
      </c>
      <c r="C424" s="1" t="n">
        <v>46106</v>
      </c>
      <c r="D424" t="inlineStr">
        <is>
          <t>DALARNAS LÄN</t>
        </is>
      </c>
      <c r="E424" t="inlineStr">
        <is>
          <t>FALUN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14511-2026</t>
        </is>
      </c>
      <c r="B425" s="1" t="n">
        <v>46100.63327546296</v>
      </c>
      <c r="C425" s="1" t="n">
        <v>46106</v>
      </c>
      <c r="D425" t="inlineStr">
        <is>
          <t>DALARNAS LÄN</t>
        </is>
      </c>
      <c r="E425" t="inlineStr">
        <is>
          <t>FALUN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24467-2025</t>
        </is>
      </c>
      <c r="B426" s="1" t="n">
        <v>45798</v>
      </c>
      <c r="C426" s="1" t="n">
        <v>46106</v>
      </c>
      <c r="D426" t="inlineStr">
        <is>
          <t>DALARNAS LÄN</t>
        </is>
      </c>
      <c r="E426" t="inlineStr">
        <is>
          <t>FALUN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11554-2026</t>
        </is>
      </c>
      <c r="B427" s="1" t="n">
        <v>46084</v>
      </c>
      <c r="C427" s="1" t="n">
        <v>46106</v>
      </c>
      <c r="D427" t="inlineStr">
        <is>
          <t>DALARNAS LÄN</t>
        </is>
      </c>
      <c r="E427" t="inlineStr">
        <is>
          <t>FALUN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40937-2025</t>
        </is>
      </c>
      <c r="B428" s="1" t="n">
        <v>45897.65035879629</v>
      </c>
      <c r="C428" s="1" t="n">
        <v>46106</v>
      </c>
      <c r="D428" t="inlineStr">
        <is>
          <t>DALARNAS LÄN</t>
        </is>
      </c>
      <c r="E428" t="inlineStr">
        <is>
          <t>FALUN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14385-2026</t>
        </is>
      </c>
      <c r="B429" s="1" t="n">
        <v>46100.38383101852</v>
      </c>
      <c r="C429" s="1" t="n">
        <v>46106</v>
      </c>
      <c r="D429" t="inlineStr">
        <is>
          <t>DALARNAS LÄN</t>
        </is>
      </c>
      <c r="E429" t="inlineStr">
        <is>
          <t>FALUN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14411-2026</t>
        </is>
      </c>
      <c r="B430" s="1" t="n">
        <v>46100.44755787037</v>
      </c>
      <c r="C430" s="1" t="n">
        <v>46106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42327-2024</t>
        </is>
      </c>
      <c r="B431" s="1" t="n">
        <v>45562.6520949074</v>
      </c>
      <c r="C431" s="1" t="n">
        <v>46106</v>
      </c>
      <c r="D431" t="inlineStr">
        <is>
          <t>DALARNAS LÄN</t>
        </is>
      </c>
      <c r="E431" t="inlineStr">
        <is>
          <t>FALUN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7454-2026</t>
        </is>
      </c>
      <c r="B432" s="1" t="n">
        <v>46058</v>
      </c>
      <c r="C432" s="1" t="n">
        <v>46106</v>
      </c>
      <c r="D432" t="inlineStr">
        <is>
          <t>DALARNAS LÄN</t>
        </is>
      </c>
      <c r="E432" t="inlineStr">
        <is>
          <t>FALUN</t>
        </is>
      </c>
      <c r="F432" t="inlineStr">
        <is>
          <t>Allmännings- och besparingsskogar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7475-2026</t>
        </is>
      </c>
      <c r="B433" s="1" t="n">
        <v>46059</v>
      </c>
      <c r="C433" s="1" t="n">
        <v>46106</v>
      </c>
      <c r="D433" t="inlineStr">
        <is>
          <t>DALARNAS LÄN</t>
        </is>
      </c>
      <c r="E433" t="inlineStr">
        <is>
          <t>FALUN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7476-2026</t>
        </is>
      </c>
      <c r="B434" s="1" t="n">
        <v>46059</v>
      </c>
      <c r="C434" s="1" t="n">
        <v>46106</v>
      </c>
      <c r="D434" t="inlineStr">
        <is>
          <t>DALARNAS LÄN</t>
        </is>
      </c>
      <c r="E434" t="inlineStr">
        <is>
          <t>FALUN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7493-2026</t>
        </is>
      </c>
      <c r="B435" s="1" t="n">
        <v>46059</v>
      </c>
      <c r="C435" s="1" t="n">
        <v>46106</v>
      </c>
      <c r="D435" t="inlineStr">
        <is>
          <t>DALARNAS LÄN</t>
        </is>
      </c>
      <c r="E435" t="inlineStr">
        <is>
          <t>FALUN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40579-2025</t>
        </is>
      </c>
      <c r="B436" s="1" t="n">
        <v>45896.51166666667</v>
      </c>
      <c r="C436" s="1" t="n">
        <v>46106</v>
      </c>
      <c r="D436" t="inlineStr">
        <is>
          <t>DALARNAS LÄN</t>
        </is>
      </c>
      <c r="E436" t="inlineStr">
        <is>
          <t>FALUN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40585-2025</t>
        </is>
      </c>
      <c r="B437" s="1" t="n">
        <v>45896.52034722222</v>
      </c>
      <c r="C437" s="1" t="n">
        <v>46106</v>
      </c>
      <c r="D437" t="inlineStr">
        <is>
          <t>DALARNAS LÄN</t>
        </is>
      </c>
      <c r="E437" t="inlineStr">
        <is>
          <t>FALUN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43030-2023</t>
        </is>
      </c>
      <c r="B438" s="1" t="n">
        <v>45182.66503472222</v>
      </c>
      <c r="C438" s="1" t="n">
        <v>46106</v>
      </c>
      <c r="D438" t="inlineStr">
        <is>
          <t>DALARNAS LÄN</t>
        </is>
      </c>
      <c r="E438" t="inlineStr">
        <is>
          <t>FALUN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34895-2025</t>
        </is>
      </c>
      <c r="B439" s="1" t="n">
        <v>45849</v>
      </c>
      <c r="C439" s="1" t="n">
        <v>46106</v>
      </c>
      <c r="D439" t="inlineStr">
        <is>
          <t>DALARNAS LÄN</t>
        </is>
      </c>
      <c r="E439" t="inlineStr">
        <is>
          <t>FALUN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40877-2025</t>
        </is>
      </c>
      <c r="B440" s="1" t="n">
        <v>45897.5841087963</v>
      </c>
      <c r="C440" s="1" t="n">
        <v>46106</v>
      </c>
      <c r="D440" t="inlineStr">
        <is>
          <t>DALARNAS LÄN</t>
        </is>
      </c>
      <c r="E440" t="inlineStr">
        <is>
          <t>FALUN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40598-2025</t>
        </is>
      </c>
      <c r="B441" s="1" t="n">
        <v>45896.55414351852</v>
      </c>
      <c r="C441" s="1" t="n">
        <v>46106</v>
      </c>
      <c r="D441" t="inlineStr">
        <is>
          <t>DALARNAS LÄN</t>
        </is>
      </c>
      <c r="E441" t="inlineStr">
        <is>
          <t>FALUN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35903-2023</t>
        </is>
      </c>
      <c r="B442" s="1" t="n">
        <v>45148</v>
      </c>
      <c r="C442" s="1" t="n">
        <v>46106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7789-2026</t>
        </is>
      </c>
      <c r="B443" s="1" t="n">
        <v>46059</v>
      </c>
      <c r="C443" s="1" t="n">
        <v>46106</v>
      </c>
      <c r="D443" t="inlineStr">
        <is>
          <t>DALARNAS LÄN</t>
        </is>
      </c>
      <c r="E443" t="inlineStr">
        <is>
          <t>FALUN</t>
        </is>
      </c>
      <c r="F443" t="inlineStr">
        <is>
          <t>Allmännings- och besparingsskogar</t>
        </is>
      </c>
      <c r="G443" t="n">
        <v>19.1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7801-2026</t>
        </is>
      </c>
      <c r="B444" s="1" t="n">
        <v>46059</v>
      </c>
      <c r="C444" s="1" t="n">
        <v>46106</v>
      </c>
      <c r="D444" t="inlineStr">
        <is>
          <t>DALARNAS LÄN</t>
        </is>
      </c>
      <c r="E444" t="inlineStr">
        <is>
          <t>FALUN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18118-2025</t>
        </is>
      </c>
      <c r="B445" s="1" t="n">
        <v>45761.58778935186</v>
      </c>
      <c r="C445" s="1" t="n">
        <v>46106</v>
      </c>
      <c r="D445" t="inlineStr">
        <is>
          <t>DALARNAS LÄN</t>
        </is>
      </c>
      <c r="E445" t="inlineStr">
        <is>
          <t>FALUN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18125-2025</t>
        </is>
      </c>
      <c r="B446" s="1" t="n">
        <v>45761.59435185185</v>
      </c>
      <c r="C446" s="1" t="n">
        <v>46106</v>
      </c>
      <c r="D446" t="inlineStr">
        <is>
          <t>DALARNAS LÄN</t>
        </is>
      </c>
      <c r="E446" t="inlineStr">
        <is>
          <t>FALUN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14459-2025</t>
        </is>
      </c>
      <c r="B447" s="1" t="n">
        <v>45741</v>
      </c>
      <c r="C447" s="1" t="n">
        <v>46106</v>
      </c>
      <c r="D447" t="inlineStr">
        <is>
          <t>DALARNAS LÄN</t>
        </is>
      </c>
      <c r="E447" t="inlineStr">
        <is>
          <t>FALUN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40593-2025</t>
        </is>
      </c>
      <c r="B448" s="1" t="n">
        <v>45896</v>
      </c>
      <c r="C448" s="1" t="n">
        <v>46106</v>
      </c>
      <c r="D448" t="inlineStr">
        <is>
          <t>DALARNAS LÄN</t>
        </is>
      </c>
      <c r="E448" t="inlineStr">
        <is>
          <t>FALUN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30593-2025</t>
        </is>
      </c>
      <c r="B449" s="1" t="n">
        <v>45831.43954861111</v>
      </c>
      <c r="C449" s="1" t="n">
        <v>46106</v>
      </c>
      <c r="D449" t="inlineStr">
        <is>
          <t>DALARNAS LÄN</t>
        </is>
      </c>
      <c r="E449" t="inlineStr">
        <is>
          <t>FALUN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40775-2025</t>
        </is>
      </c>
      <c r="B450" s="1" t="n">
        <v>45897.42265046296</v>
      </c>
      <c r="C450" s="1" t="n">
        <v>46106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28.2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7316-2026</t>
        </is>
      </c>
      <c r="B451" s="1" t="n">
        <v>46058</v>
      </c>
      <c r="C451" s="1" t="n">
        <v>46106</v>
      </c>
      <c r="D451" t="inlineStr">
        <is>
          <t>DALARNAS LÄN</t>
        </is>
      </c>
      <c r="E451" t="inlineStr">
        <is>
          <t>FALUN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7321-2026</t>
        </is>
      </c>
      <c r="B452" s="1" t="n">
        <v>46058</v>
      </c>
      <c r="C452" s="1" t="n">
        <v>46106</v>
      </c>
      <c r="D452" t="inlineStr">
        <is>
          <t>DALARNAS LÄN</t>
        </is>
      </c>
      <c r="E452" t="inlineStr">
        <is>
          <t>FALUN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13973-2026</t>
        </is>
      </c>
      <c r="B453" s="1" t="n">
        <v>46090</v>
      </c>
      <c r="C453" s="1" t="n">
        <v>46106</v>
      </c>
      <c r="D453" t="inlineStr">
        <is>
          <t>DALARNAS LÄN</t>
        </is>
      </c>
      <c r="E453" t="inlineStr">
        <is>
          <t>FALUN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30541-2025</t>
        </is>
      </c>
      <c r="B454" s="1" t="n">
        <v>45831.37113425926</v>
      </c>
      <c r="C454" s="1" t="n">
        <v>46106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30817-2025</t>
        </is>
      </c>
      <c r="B455" s="1" t="n">
        <v>45831.6609375</v>
      </c>
      <c r="C455" s="1" t="n">
        <v>46106</v>
      </c>
      <c r="D455" t="inlineStr">
        <is>
          <t>DALARNAS LÄN</t>
        </is>
      </c>
      <c r="E455" t="inlineStr">
        <is>
          <t>FALUN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30804-2025</t>
        </is>
      </c>
      <c r="B456" s="1" t="n">
        <v>45831</v>
      </c>
      <c r="C456" s="1" t="n">
        <v>46106</v>
      </c>
      <c r="D456" t="inlineStr">
        <is>
          <t>DALARNAS LÄN</t>
        </is>
      </c>
      <c r="E456" t="inlineStr">
        <is>
          <t>FALUN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30814-2025</t>
        </is>
      </c>
      <c r="B457" s="1" t="n">
        <v>45831</v>
      </c>
      <c r="C457" s="1" t="n">
        <v>46106</v>
      </c>
      <c r="D457" t="inlineStr">
        <is>
          <t>DALARNAS LÄN</t>
        </is>
      </c>
      <c r="E457" t="inlineStr">
        <is>
          <t>FALUN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14501-2025</t>
        </is>
      </c>
      <c r="B458" s="1" t="n">
        <v>45741</v>
      </c>
      <c r="C458" s="1" t="n">
        <v>46106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14009-2026</t>
        </is>
      </c>
      <c r="B459" s="1" t="n">
        <v>46098</v>
      </c>
      <c r="C459" s="1" t="n">
        <v>46106</v>
      </c>
      <c r="D459" t="inlineStr">
        <is>
          <t>DALARNAS LÄN</t>
        </is>
      </c>
      <c r="E459" t="inlineStr">
        <is>
          <t>FALUN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14012-2026</t>
        </is>
      </c>
      <c r="B460" s="1" t="n">
        <v>46098.6668287037</v>
      </c>
      <c r="C460" s="1" t="n">
        <v>46106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14059-2026</t>
        </is>
      </c>
      <c r="B461" s="1" t="n">
        <v>46099</v>
      </c>
      <c r="C461" s="1" t="n">
        <v>46106</v>
      </c>
      <c r="D461" t="inlineStr">
        <is>
          <t>DALARNAS LÄN</t>
        </is>
      </c>
      <c r="E461" t="inlineStr">
        <is>
          <t>FALUN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6957-2026</t>
        </is>
      </c>
      <c r="B462" s="1" t="n">
        <v>46057</v>
      </c>
      <c r="C462" s="1" t="n">
        <v>46106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HYPERLINK("https://klasma.github.io/Logging_2080/knärot/A 6957-2026 karta knärot.png", "A 6957-2026")</f>
        <v/>
      </c>
      <c r="V462">
        <f>HYPERLINK("https://klasma.github.io/Logging_2080/klagomål/A 6957-2026 FSC-klagomål.docx", "A 6957-2026")</f>
        <v/>
      </c>
      <c r="W462">
        <f>HYPERLINK("https://klasma.github.io/Logging_2080/klagomålsmail/A 6957-2026 FSC-klagomål mail.docx", "A 6957-2026")</f>
        <v/>
      </c>
      <c r="X462">
        <f>HYPERLINK("https://klasma.github.io/Logging_2080/tillsyn/A 6957-2026 tillsynsbegäran.docx", "A 6957-2026")</f>
        <v/>
      </c>
      <c r="Y462">
        <f>HYPERLINK("https://klasma.github.io/Logging_2080/tillsynsmail/A 6957-2026 tillsynsbegäran mail.docx", "A 6957-2026")</f>
        <v/>
      </c>
    </row>
    <row r="463" ht="15" customHeight="1">
      <c r="A463" t="inlineStr">
        <is>
          <t>A 55917-2022</t>
        </is>
      </c>
      <c r="B463" s="1" t="n">
        <v>44889.3337962963</v>
      </c>
      <c r="C463" s="1" t="n">
        <v>46106</v>
      </c>
      <c r="D463" t="inlineStr">
        <is>
          <t>DALARNAS LÄN</t>
        </is>
      </c>
      <c r="E463" t="inlineStr">
        <is>
          <t>FALUN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40582-2025</t>
        </is>
      </c>
      <c r="B464" s="1" t="n">
        <v>45896</v>
      </c>
      <c r="C464" s="1" t="n">
        <v>46106</v>
      </c>
      <c r="D464" t="inlineStr">
        <is>
          <t>DALARNAS LÄN</t>
        </is>
      </c>
      <c r="E464" t="inlineStr">
        <is>
          <t>FALUN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25668-2025</t>
        </is>
      </c>
      <c r="B465" s="1" t="n">
        <v>45803.62579861111</v>
      </c>
      <c r="C465" s="1" t="n">
        <v>46106</v>
      </c>
      <c r="D465" t="inlineStr">
        <is>
          <t>DALARNAS LÄN</t>
        </is>
      </c>
      <c r="E465" t="inlineStr">
        <is>
          <t>FALUN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30819-2025</t>
        </is>
      </c>
      <c r="B466" s="1" t="n">
        <v>45831.66144675926</v>
      </c>
      <c r="C466" s="1" t="n">
        <v>46106</v>
      </c>
      <c r="D466" t="inlineStr">
        <is>
          <t>DALARNAS LÄN</t>
        </is>
      </c>
      <c r="E466" t="inlineStr">
        <is>
          <t>FALUN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41342-2025</t>
        </is>
      </c>
      <c r="B467" s="1" t="n">
        <v>45899.40962962963</v>
      </c>
      <c r="C467" s="1" t="n">
        <v>46106</v>
      </c>
      <c r="D467" t="inlineStr">
        <is>
          <t>DALARNAS LÄN</t>
        </is>
      </c>
      <c r="E467" t="inlineStr">
        <is>
          <t>FALUN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14058-2026</t>
        </is>
      </c>
      <c r="B468" s="1" t="n">
        <v>46099</v>
      </c>
      <c r="C468" s="1" t="n">
        <v>46106</v>
      </c>
      <c r="D468" t="inlineStr">
        <is>
          <t>DALARNAS LÄN</t>
        </is>
      </c>
      <c r="E468" t="inlineStr">
        <is>
          <t>FALUN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7436-2025</t>
        </is>
      </c>
      <c r="B469" s="1" t="n">
        <v>45705.39746527778</v>
      </c>
      <c r="C469" s="1" t="n">
        <v>46106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25722-2023</t>
        </is>
      </c>
      <c r="B470" s="1" t="n">
        <v>45090.3646875</v>
      </c>
      <c r="C470" s="1" t="n">
        <v>46106</v>
      </c>
      <c r="D470" t="inlineStr">
        <is>
          <t>DALARNAS LÄN</t>
        </is>
      </c>
      <c r="E470" t="inlineStr">
        <is>
          <t>FALUN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14338-2026</t>
        </is>
      </c>
      <c r="B471" s="1" t="n">
        <v>46100.31378472222</v>
      </c>
      <c r="C471" s="1" t="n">
        <v>46106</v>
      </c>
      <c r="D471" t="inlineStr">
        <is>
          <t>DALARNAS LÄN</t>
        </is>
      </c>
      <c r="E471" t="inlineStr">
        <is>
          <t>FALUN</t>
        </is>
      </c>
      <c r="F471" t="inlineStr">
        <is>
          <t>Allmännings- och besparingsskogar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41114-2025</t>
        </is>
      </c>
      <c r="B472" s="1" t="n">
        <v>45898.4618287037</v>
      </c>
      <c r="C472" s="1" t="n">
        <v>46106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7277-2026</t>
        </is>
      </c>
      <c r="B473" s="1" t="n">
        <v>46058</v>
      </c>
      <c r="C473" s="1" t="n">
        <v>46106</v>
      </c>
      <c r="D473" t="inlineStr">
        <is>
          <t>DALARNAS LÄN</t>
        </is>
      </c>
      <c r="E473" t="inlineStr">
        <is>
          <t>FALUN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30927-2025</t>
        </is>
      </c>
      <c r="B474" s="1" t="n">
        <v>45832</v>
      </c>
      <c r="C474" s="1" t="n">
        <v>46106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14559-2026</t>
        </is>
      </c>
      <c r="B475" s="1" t="n">
        <v>46100</v>
      </c>
      <c r="C475" s="1" t="n">
        <v>46106</v>
      </c>
      <c r="D475" t="inlineStr">
        <is>
          <t>DALARNAS LÄN</t>
        </is>
      </c>
      <c r="E475" t="inlineStr">
        <is>
          <t>FALUN</t>
        </is>
      </c>
      <c r="F475" t="inlineStr">
        <is>
          <t>Allmännings- och besparingsskogar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41485-2025</t>
        </is>
      </c>
      <c r="B476" s="1" t="n">
        <v>45901.48072916667</v>
      </c>
      <c r="C476" s="1" t="n">
        <v>46106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3557-2026</t>
        </is>
      </c>
      <c r="B477" s="1" t="n">
        <v>46042</v>
      </c>
      <c r="C477" s="1" t="n">
        <v>46106</v>
      </c>
      <c r="D477" t="inlineStr">
        <is>
          <t>DALARNAS LÄN</t>
        </is>
      </c>
      <c r="E477" t="inlineStr">
        <is>
          <t>FALUN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3657-2026</t>
        </is>
      </c>
      <c r="B478" s="1" t="n">
        <v>46043</v>
      </c>
      <c r="C478" s="1" t="n">
        <v>46106</v>
      </c>
      <c r="D478" t="inlineStr">
        <is>
          <t>DALARNAS LÄN</t>
        </is>
      </c>
      <c r="E478" t="inlineStr">
        <is>
          <t>FALUN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7523-2026</t>
        </is>
      </c>
      <c r="B479" s="1" t="n">
        <v>46059.60834490741</v>
      </c>
      <c r="C479" s="1" t="n">
        <v>46106</v>
      </c>
      <c r="D479" t="inlineStr">
        <is>
          <t>DALARNAS LÄN</t>
        </is>
      </c>
      <c r="E479" t="inlineStr">
        <is>
          <t>FALUN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13636-2023</t>
        </is>
      </c>
      <c r="B480" s="1" t="n">
        <v>45006.63826388889</v>
      </c>
      <c r="C480" s="1" t="n">
        <v>46106</v>
      </c>
      <c r="D480" t="inlineStr">
        <is>
          <t>DALARNAS LÄN</t>
        </is>
      </c>
      <c r="E480" t="inlineStr">
        <is>
          <t>FALUN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47685-2023</t>
        </is>
      </c>
      <c r="B481" s="1" t="n">
        <v>45203.61751157408</v>
      </c>
      <c r="C481" s="1" t="n">
        <v>46106</v>
      </c>
      <c r="D481" t="inlineStr">
        <is>
          <t>DALARNAS LÄN</t>
        </is>
      </c>
      <c r="E481" t="inlineStr">
        <is>
          <t>FALUN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14571-2026</t>
        </is>
      </c>
      <c r="B482" s="1" t="n">
        <v>46100.94248842593</v>
      </c>
      <c r="C482" s="1" t="n">
        <v>46106</v>
      </c>
      <c r="D482" t="inlineStr">
        <is>
          <t>DALARNAS LÄN</t>
        </is>
      </c>
      <c r="E482" t="inlineStr">
        <is>
          <t>FALUN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41370-2025</t>
        </is>
      </c>
      <c r="B483" s="1" t="n">
        <v>45900.63513888889</v>
      </c>
      <c r="C483" s="1" t="n">
        <v>46106</v>
      </c>
      <c r="D483" t="inlineStr">
        <is>
          <t>DALARNAS LÄN</t>
        </is>
      </c>
      <c r="E483" t="inlineStr">
        <is>
          <t>FALUN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50769-2024</t>
        </is>
      </c>
      <c r="B484" s="1" t="n">
        <v>45602.44324074074</v>
      </c>
      <c r="C484" s="1" t="n">
        <v>46106</v>
      </c>
      <c r="D484" t="inlineStr">
        <is>
          <t>DALARNAS LÄN</t>
        </is>
      </c>
      <c r="E484" t="inlineStr">
        <is>
          <t>FALUN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14473-2025</t>
        </is>
      </c>
      <c r="B485" s="1" t="n">
        <v>45741</v>
      </c>
      <c r="C485" s="1" t="n">
        <v>46106</v>
      </c>
      <c r="D485" t="inlineStr">
        <is>
          <t>DALARNAS LÄN</t>
        </is>
      </c>
      <c r="E485" t="inlineStr">
        <is>
          <t>FALUN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31230-2025</t>
        </is>
      </c>
      <c r="B486" s="1" t="n">
        <v>45832</v>
      </c>
      <c r="C486" s="1" t="n">
        <v>46106</v>
      </c>
      <c r="D486" t="inlineStr">
        <is>
          <t>DALARNAS LÄN</t>
        </is>
      </c>
      <c r="E486" t="inlineStr">
        <is>
          <t>FALUN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7076-2026</t>
        </is>
      </c>
      <c r="B487" s="1" t="n">
        <v>46058.32789351852</v>
      </c>
      <c r="C487" s="1" t="n">
        <v>46106</v>
      </c>
      <c r="D487" t="inlineStr">
        <is>
          <t>DALARNAS LÄN</t>
        </is>
      </c>
      <c r="E487" t="inlineStr">
        <is>
          <t>FALUN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14566-2026</t>
        </is>
      </c>
      <c r="B488" s="1" t="n">
        <v>46100.81971064815</v>
      </c>
      <c r="C488" s="1" t="n">
        <v>46106</v>
      </c>
      <c r="D488" t="inlineStr">
        <is>
          <t>DALARNAS LÄN</t>
        </is>
      </c>
      <c r="E488" t="inlineStr">
        <is>
          <t>FALUN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14657-2026</t>
        </is>
      </c>
      <c r="B489" s="1" t="n">
        <v>46101.4341087963</v>
      </c>
      <c r="C489" s="1" t="n">
        <v>46106</v>
      </c>
      <c r="D489" t="inlineStr">
        <is>
          <t>DALARNAS LÄN</t>
        </is>
      </c>
      <c r="E489" t="inlineStr">
        <is>
          <t>FALUN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7809-2026</t>
        </is>
      </c>
      <c r="B490" s="1" t="n">
        <v>46059</v>
      </c>
      <c r="C490" s="1" t="n">
        <v>46106</v>
      </c>
      <c r="D490" t="inlineStr">
        <is>
          <t>DALARNAS LÄN</t>
        </is>
      </c>
      <c r="E490" t="inlineStr">
        <is>
          <t>FALUN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14746-2026</t>
        </is>
      </c>
      <c r="B491" s="1" t="n">
        <v>46101.61203703703</v>
      </c>
      <c r="C491" s="1" t="n">
        <v>46106</v>
      </c>
      <c r="D491" t="inlineStr">
        <is>
          <t>DALARNAS LÄN</t>
        </is>
      </c>
      <c r="E491" t="inlineStr">
        <is>
          <t>FALUN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14749-2026</t>
        </is>
      </c>
      <c r="B492" s="1" t="n">
        <v>46101.61528935185</v>
      </c>
      <c r="C492" s="1" t="n">
        <v>46106</v>
      </c>
      <c r="D492" t="inlineStr">
        <is>
          <t>DALARNAS LÄN</t>
        </is>
      </c>
      <c r="E492" t="inlineStr">
        <is>
          <t>FALUN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7587-2025</t>
        </is>
      </c>
      <c r="B493" s="1" t="n">
        <v>45705.63409722222</v>
      </c>
      <c r="C493" s="1" t="n">
        <v>46106</v>
      </c>
      <c r="D493" t="inlineStr">
        <is>
          <t>DALARNAS LÄN</t>
        </is>
      </c>
      <c r="E493" t="inlineStr">
        <is>
          <t>FALUN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14780-2026</t>
        </is>
      </c>
      <c r="B494" s="1" t="n">
        <v>46101</v>
      </c>
      <c r="C494" s="1" t="n">
        <v>46106</v>
      </c>
      <c r="D494" t="inlineStr">
        <is>
          <t>DALARNAS LÄN</t>
        </is>
      </c>
      <c r="E494" t="inlineStr">
        <is>
          <t>FALUN</t>
        </is>
      </c>
      <c r="F494" t="inlineStr">
        <is>
          <t>Allmännings- och besparingsskogar</t>
        </is>
      </c>
      <c r="G494" t="n">
        <v>15.9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20966-2025</t>
        </is>
      </c>
      <c r="B495" s="1" t="n">
        <v>45777.45166666667</v>
      </c>
      <c r="C495" s="1" t="n">
        <v>46106</v>
      </c>
      <c r="D495" t="inlineStr">
        <is>
          <t>DALARNAS LÄN</t>
        </is>
      </c>
      <c r="E495" t="inlineStr">
        <is>
          <t>FALUN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11038-2026</t>
        </is>
      </c>
      <c r="B496" s="1" t="n">
        <v>46079</v>
      </c>
      <c r="C496" s="1" t="n">
        <v>46106</v>
      </c>
      <c r="D496" t="inlineStr">
        <is>
          <t>DALARNAS LÄN</t>
        </is>
      </c>
      <c r="E496" t="inlineStr">
        <is>
          <t>FALUN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11059-2026</t>
        </is>
      </c>
      <c r="B497" s="1" t="n">
        <v>46079</v>
      </c>
      <c r="C497" s="1" t="n">
        <v>46106</v>
      </c>
      <c r="D497" t="inlineStr">
        <is>
          <t>DALARNAS LÄN</t>
        </is>
      </c>
      <c r="E497" t="inlineStr">
        <is>
          <t>FALUN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11080-2026</t>
        </is>
      </c>
      <c r="B498" s="1" t="n">
        <v>46079</v>
      </c>
      <c r="C498" s="1" t="n">
        <v>46106</v>
      </c>
      <c r="D498" t="inlineStr">
        <is>
          <t>DALARNAS LÄN</t>
        </is>
      </c>
      <c r="E498" t="inlineStr">
        <is>
          <t>FALUN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41006-2025</t>
        </is>
      </c>
      <c r="B499" s="1" t="n">
        <v>45898.34895833334</v>
      </c>
      <c r="C499" s="1" t="n">
        <v>46106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19421-2024</t>
        </is>
      </c>
      <c r="B500" s="1" t="n">
        <v>45429</v>
      </c>
      <c r="C500" s="1" t="n">
        <v>46106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41341-2025</t>
        </is>
      </c>
      <c r="B501" s="1" t="n">
        <v>45899.39414351852</v>
      </c>
      <c r="C501" s="1" t="n">
        <v>46106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41371-2025</t>
        </is>
      </c>
      <c r="B502" s="1" t="n">
        <v>45900.66130787037</v>
      </c>
      <c r="C502" s="1" t="n">
        <v>46106</v>
      </c>
      <c r="D502" t="inlineStr">
        <is>
          <t>DALARNAS LÄN</t>
        </is>
      </c>
      <c r="E502" t="inlineStr">
        <is>
          <t>FALUN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13812-2026</t>
        </is>
      </c>
      <c r="B503" s="1" t="n">
        <v>46098</v>
      </c>
      <c r="C503" s="1" t="n">
        <v>46106</v>
      </c>
      <c r="D503" t="inlineStr">
        <is>
          <t>DALARNAS LÄN</t>
        </is>
      </c>
      <c r="E503" t="inlineStr">
        <is>
          <t>FALUN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14690-2026</t>
        </is>
      </c>
      <c r="B504" s="1" t="n">
        <v>46101.50212962963</v>
      </c>
      <c r="C504" s="1" t="n">
        <v>46106</v>
      </c>
      <c r="D504" t="inlineStr">
        <is>
          <t>DALARNAS LÄN</t>
        </is>
      </c>
      <c r="E504" t="inlineStr">
        <is>
          <t>FALUN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30869-2025</t>
        </is>
      </c>
      <c r="B505" s="1" t="n">
        <v>45832</v>
      </c>
      <c r="C505" s="1" t="n">
        <v>46106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14407-2026</t>
        </is>
      </c>
      <c r="B506" s="1" t="n">
        <v>46100.43003472222</v>
      </c>
      <c r="C506" s="1" t="n">
        <v>46106</v>
      </c>
      <c r="D506" t="inlineStr">
        <is>
          <t>DALARNAS LÄN</t>
        </is>
      </c>
      <c r="E506" t="inlineStr">
        <is>
          <t>FALUN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42954-2023</t>
        </is>
      </c>
      <c r="B507" s="1" t="n">
        <v>45182.58681712963</v>
      </c>
      <c r="C507" s="1" t="n">
        <v>46106</v>
      </c>
      <c r="D507" t="inlineStr">
        <is>
          <t>DALARNAS LÄN</t>
        </is>
      </c>
      <c r="E507" t="inlineStr">
        <is>
          <t>FALUN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7457-2026</t>
        </is>
      </c>
      <c r="B508" s="1" t="n">
        <v>46058</v>
      </c>
      <c r="C508" s="1" t="n">
        <v>46106</v>
      </c>
      <c r="D508" t="inlineStr">
        <is>
          <t>DALARNAS LÄN</t>
        </is>
      </c>
      <c r="E508" t="inlineStr">
        <is>
          <t>FALUN</t>
        </is>
      </c>
      <c r="F508" t="inlineStr">
        <is>
          <t>Allmännings- och besparingsskogar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19194-2023</t>
        </is>
      </c>
      <c r="B509" s="1" t="n">
        <v>45048.65945601852</v>
      </c>
      <c r="C509" s="1" t="n">
        <v>46106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41969-2025</t>
        </is>
      </c>
      <c r="B510" s="1" t="n">
        <v>45903.48692129629</v>
      </c>
      <c r="C510" s="1" t="n">
        <v>46106</v>
      </c>
      <c r="D510" t="inlineStr">
        <is>
          <t>DALARNAS LÄN</t>
        </is>
      </c>
      <c r="E510" t="inlineStr">
        <is>
          <t>FALUN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14049-2026</t>
        </is>
      </c>
      <c r="B511" s="1" t="n">
        <v>46099.28891203704</v>
      </c>
      <c r="C511" s="1" t="n">
        <v>46106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42256-2025</t>
        </is>
      </c>
      <c r="B512" s="1" t="n">
        <v>45903</v>
      </c>
      <c r="C512" s="1" t="n">
        <v>46106</v>
      </c>
      <c r="D512" t="inlineStr">
        <is>
          <t>DALARNAS LÄN</t>
        </is>
      </c>
      <c r="E512" t="inlineStr">
        <is>
          <t>FALUN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41662-2025</t>
        </is>
      </c>
      <c r="B513" s="1" t="n">
        <v>45902.35120370371</v>
      </c>
      <c r="C513" s="1" t="n">
        <v>46106</v>
      </c>
      <c r="D513" t="inlineStr">
        <is>
          <t>DALARNAS LÄN</t>
        </is>
      </c>
      <c r="E513" t="inlineStr">
        <is>
          <t>FALUN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15178-2026</t>
        </is>
      </c>
      <c r="B514" s="1" t="n">
        <v>46105.45140046296</v>
      </c>
      <c r="C514" s="1" t="n">
        <v>46106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17.1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7722-2026</t>
        </is>
      </c>
      <c r="B515" s="1" t="n">
        <v>46062</v>
      </c>
      <c r="C515" s="1" t="n">
        <v>46106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14295-2026</t>
        </is>
      </c>
      <c r="B516" s="1" t="n">
        <v>46099</v>
      </c>
      <c r="C516" s="1" t="n">
        <v>46106</v>
      </c>
      <c r="D516" t="inlineStr">
        <is>
          <t>DALARNAS LÄN</t>
        </is>
      </c>
      <c r="E516" t="inlineStr">
        <is>
          <t>FALUN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14373-2026</t>
        </is>
      </c>
      <c r="B517" s="1" t="n">
        <v>46100.36946759259</v>
      </c>
      <c r="C517" s="1" t="n">
        <v>46106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32206-2025</t>
        </is>
      </c>
      <c r="B518" s="1" t="n">
        <v>45835</v>
      </c>
      <c r="C518" s="1" t="n">
        <v>46106</v>
      </c>
      <c r="D518" t="inlineStr">
        <is>
          <t>DALARNAS LÄN</t>
        </is>
      </c>
      <c r="E518" t="inlineStr">
        <is>
          <t>FALUN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41144-2023</t>
        </is>
      </c>
      <c r="B519" s="1" t="n">
        <v>45173.94253472222</v>
      </c>
      <c r="C519" s="1" t="n">
        <v>46106</v>
      </c>
      <c r="D519" t="inlineStr">
        <is>
          <t>DALARNAS LÄN</t>
        </is>
      </c>
      <c r="E519" t="inlineStr">
        <is>
          <t>FALUN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41974-2025</t>
        </is>
      </c>
      <c r="B520" s="1" t="n">
        <v>45903.49555555556</v>
      </c>
      <c r="C520" s="1" t="n">
        <v>46106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31838-2025</t>
        </is>
      </c>
      <c r="B521" s="1" t="n">
        <v>45834.59554398148</v>
      </c>
      <c r="C521" s="1" t="n">
        <v>46106</v>
      </c>
      <c r="D521" t="inlineStr">
        <is>
          <t>DALARNAS LÄN</t>
        </is>
      </c>
      <c r="E521" t="inlineStr">
        <is>
          <t>FALUN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6223-2023</t>
        </is>
      </c>
      <c r="B522" s="1" t="n">
        <v>44964</v>
      </c>
      <c r="C522" s="1" t="n">
        <v>46106</v>
      </c>
      <c r="D522" t="inlineStr">
        <is>
          <t>DALARNAS LÄN</t>
        </is>
      </c>
      <c r="E522" t="inlineStr">
        <is>
          <t>FALUN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32216-2025</t>
        </is>
      </c>
      <c r="B523" s="1" t="n">
        <v>45835.58814814815</v>
      </c>
      <c r="C523" s="1" t="n">
        <v>46106</v>
      </c>
      <c r="D523" t="inlineStr">
        <is>
          <t>DALARNAS LÄN</t>
        </is>
      </c>
      <c r="E523" t="inlineStr">
        <is>
          <t>FALUN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42364-2025</t>
        </is>
      </c>
      <c r="B524" s="1" t="n">
        <v>45905.32061342592</v>
      </c>
      <c r="C524" s="1" t="n">
        <v>46106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15208-2026</t>
        </is>
      </c>
      <c r="B525" s="1" t="n">
        <v>46105.49087962963</v>
      </c>
      <c r="C525" s="1" t="n">
        <v>46106</v>
      </c>
      <c r="D525" t="inlineStr">
        <is>
          <t>DALARNAS LÄN</t>
        </is>
      </c>
      <c r="E525" t="inlineStr">
        <is>
          <t>FALUN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15218-2026</t>
        </is>
      </c>
      <c r="B526" s="1" t="n">
        <v>46105.52211805555</v>
      </c>
      <c r="C526" s="1" t="n">
        <v>46106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15366-2026</t>
        </is>
      </c>
      <c r="B527" s="1" t="n">
        <v>46105.77164351852</v>
      </c>
      <c r="C527" s="1" t="n">
        <v>46106</v>
      </c>
      <c r="D527" t="inlineStr">
        <is>
          <t>DALARNAS LÄN</t>
        </is>
      </c>
      <c r="E527" t="inlineStr">
        <is>
          <t>FALUN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15369-2026</t>
        </is>
      </c>
      <c r="B528" s="1" t="n">
        <v>46105.85216435185</v>
      </c>
      <c r="C528" s="1" t="n">
        <v>46106</v>
      </c>
      <c r="D528" t="inlineStr">
        <is>
          <t>DALARNAS LÄN</t>
        </is>
      </c>
      <c r="E528" t="inlineStr">
        <is>
          <t>FALUN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4799-2026</t>
        </is>
      </c>
      <c r="B529" s="1" t="n">
        <v>46048</v>
      </c>
      <c r="C529" s="1" t="n">
        <v>46106</v>
      </c>
      <c r="D529" t="inlineStr">
        <is>
          <t>DALARNAS LÄN</t>
        </is>
      </c>
      <c r="E529" t="inlineStr">
        <is>
          <t>FALUN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7770-2026</t>
        </is>
      </c>
      <c r="B530" s="1" t="n">
        <v>46062</v>
      </c>
      <c r="C530" s="1" t="n">
        <v>46106</v>
      </c>
      <c r="D530" t="inlineStr">
        <is>
          <t>DALARNAS LÄN</t>
        </is>
      </c>
      <c r="E530" t="inlineStr">
        <is>
          <t>FALUN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7631-2026</t>
        </is>
      </c>
      <c r="B531" s="1" t="n">
        <v>46062</v>
      </c>
      <c r="C531" s="1" t="n">
        <v>46106</v>
      </c>
      <c r="D531" t="inlineStr">
        <is>
          <t>DALARNAS LÄN</t>
        </is>
      </c>
      <c r="E531" t="inlineStr">
        <is>
          <t>FALUN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15330-2026</t>
        </is>
      </c>
      <c r="B532" s="1" t="n">
        <v>46105.66069444444</v>
      </c>
      <c r="C532" s="1" t="n">
        <v>46106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12775-2026</t>
        </is>
      </c>
      <c r="B533" s="1" t="n">
        <v>46091.70668981481</v>
      </c>
      <c r="C533" s="1" t="n">
        <v>46106</v>
      </c>
      <c r="D533" t="inlineStr">
        <is>
          <t>DALARNAS LÄN</t>
        </is>
      </c>
      <c r="E533" t="inlineStr">
        <is>
          <t>FALUN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11746-2026</t>
        </is>
      </c>
      <c r="B534" s="1" t="n">
        <v>46084.66542824074</v>
      </c>
      <c r="C534" s="1" t="n">
        <v>46106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42262-2025</t>
        </is>
      </c>
      <c r="B535" s="1" t="n">
        <v>45904.59798611111</v>
      </c>
      <c r="C535" s="1" t="n">
        <v>46106</v>
      </c>
      <c r="D535" t="inlineStr">
        <is>
          <t>DALARNAS LÄN</t>
        </is>
      </c>
      <c r="E535" t="inlineStr">
        <is>
          <t>FALUN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14807-2026</t>
        </is>
      </c>
      <c r="B536" s="1" t="n">
        <v>46103.88275462963</v>
      </c>
      <c r="C536" s="1" t="n">
        <v>46106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32631-2025</t>
        </is>
      </c>
      <c r="B537" s="1" t="n">
        <v>45838.65545138889</v>
      </c>
      <c r="C537" s="1" t="n">
        <v>46106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12868-2026</t>
        </is>
      </c>
      <c r="B538" s="1" t="n">
        <v>46092.49686342593</v>
      </c>
      <c r="C538" s="1" t="n">
        <v>46106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13116-2026</t>
        </is>
      </c>
      <c r="B539" s="1" t="n">
        <v>46093</v>
      </c>
      <c r="C539" s="1" t="n">
        <v>46106</v>
      </c>
      <c r="D539" t="inlineStr">
        <is>
          <t>DALARNAS LÄN</t>
        </is>
      </c>
      <c r="E539" t="inlineStr">
        <is>
          <t>FALUN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7962-2026</t>
        </is>
      </c>
      <c r="B540" s="1" t="n">
        <v>46063.44740740741</v>
      </c>
      <c r="C540" s="1" t="n">
        <v>46106</v>
      </c>
      <c r="D540" t="inlineStr">
        <is>
          <t>DALARNAS LÄN</t>
        </is>
      </c>
      <c r="E540" t="inlineStr">
        <is>
          <t>FALUN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7965-2026</t>
        </is>
      </c>
      <c r="B541" s="1" t="n">
        <v>46063.45644675926</v>
      </c>
      <c r="C541" s="1" t="n">
        <v>46106</v>
      </c>
      <c r="D541" t="inlineStr">
        <is>
          <t>DALARNAS LÄN</t>
        </is>
      </c>
      <c r="E541" t="inlineStr">
        <is>
          <t>FALUN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7696-2026</t>
        </is>
      </c>
      <c r="B542" s="1" t="n">
        <v>46062.4512962963</v>
      </c>
      <c r="C542" s="1" t="n">
        <v>46106</v>
      </c>
      <c r="D542" t="inlineStr">
        <is>
          <t>DALARNAS LÄN</t>
        </is>
      </c>
      <c r="E542" t="inlineStr">
        <is>
          <t>FALUN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15125-2026</t>
        </is>
      </c>
      <c r="B543" s="1" t="n">
        <v>46105.37072916667</v>
      </c>
      <c r="C543" s="1" t="n">
        <v>46106</v>
      </c>
      <c r="D543" t="inlineStr">
        <is>
          <t>DALARNAS LÄN</t>
        </is>
      </c>
      <c r="E543" t="inlineStr">
        <is>
          <t>FALUN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46560-2023</t>
        </is>
      </c>
      <c r="B544" s="1" t="n">
        <v>45198</v>
      </c>
      <c r="C544" s="1" t="n">
        <v>46106</v>
      </c>
      <c r="D544" t="inlineStr">
        <is>
          <t>DALARNAS LÄN</t>
        </is>
      </c>
      <c r="E544" t="inlineStr">
        <is>
          <t>FALUN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32753-2025</t>
        </is>
      </c>
      <c r="B545" s="1" t="n">
        <v>45838</v>
      </c>
      <c r="C545" s="1" t="n">
        <v>46106</v>
      </c>
      <c r="D545" t="inlineStr">
        <is>
          <t>DALARNAS LÄN</t>
        </is>
      </c>
      <c r="E545" t="inlineStr">
        <is>
          <t>FALUN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51914-2024</t>
        </is>
      </c>
      <c r="B546" s="1" t="n">
        <v>45607.60332175926</v>
      </c>
      <c r="C546" s="1" t="n">
        <v>46106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6010-2025</t>
        </is>
      </c>
      <c r="B547" s="1" t="n">
        <v>45695.59496527778</v>
      </c>
      <c r="C547" s="1" t="n">
        <v>46106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14806-2026</t>
        </is>
      </c>
      <c r="B548" s="1" t="n">
        <v>46103.85460648148</v>
      </c>
      <c r="C548" s="1" t="n">
        <v>46106</v>
      </c>
      <c r="D548" t="inlineStr">
        <is>
          <t>DALARNAS LÄN</t>
        </is>
      </c>
      <c r="E548" t="inlineStr">
        <is>
          <t>FALUN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15346-2026</t>
        </is>
      </c>
      <c r="B549" s="1" t="n">
        <v>46105.69130787037</v>
      </c>
      <c r="C549" s="1" t="n">
        <v>46106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8122-2026</t>
        </is>
      </c>
      <c r="B550" s="1" t="n">
        <v>46063</v>
      </c>
      <c r="C550" s="1" t="n">
        <v>46106</v>
      </c>
      <c r="D550" t="inlineStr">
        <is>
          <t>DALARNAS LÄN</t>
        </is>
      </c>
      <c r="E550" t="inlineStr">
        <is>
          <t>FALUN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15169-2026</t>
        </is>
      </c>
      <c r="B551" s="1" t="n">
        <v>46105.44013888889</v>
      </c>
      <c r="C551" s="1" t="n">
        <v>46106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33.4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15209-2026</t>
        </is>
      </c>
      <c r="B552" s="1" t="n">
        <v>46105.49450231482</v>
      </c>
      <c r="C552" s="1" t="n">
        <v>46106</v>
      </c>
      <c r="D552" t="inlineStr">
        <is>
          <t>DALARNAS LÄN</t>
        </is>
      </c>
      <c r="E552" t="inlineStr">
        <is>
          <t>FALUN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14907-2026</t>
        </is>
      </c>
      <c r="B553" s="1" t="n">
        <v>46104</v>
      </c>
      <c r="C553" s="1" t="n">
        <v>46106</v>
      </c>
      <c r="D553" t="inlineStr">
        <is>
          <t>DALARNAS LÄN</t>
        </is>
      </c>
      <c r="E553" t="inlineStr">
        <is>
          <t>FALUN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14912-2026</t>
        </is>
      </c>
      <c r="B554" s="1" t="n">
        <v>46104</v>
      </c>
      <c r="C554" s="1" t="n">
        <v>46106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14961-2026</t>
        </is>
      </c>
      <c r="B555" s="1" t="n">
        <v>46104</v>
      </c>
      <c r="C555" s="1" t="n">
        <v>46106</v>
      </c>
      <c r="D555" t="inlineStr">
        <is>
          <t>DALARNAS LÄN</t>
        </is>
      </c>
      <c r="E555" t="inlineStr">
        <is>
          <t>FALUN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32317-2025</t>
        </is>
      </c>
      <c r="B556" s="1" t="n">
        <v>45836</v>
      </c>
      <c r="C556" s="1" t="n">
        <v>46106</v>
      </c>
      <c r="D556" t="inlineStr">
        <is>
          <t>DALARNAS LÄN</t>
        </is>
      </c>
      <c r="E556" t="inlineStr">
        <is>
          <t>FALUN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52040-2023</t>
        </is>
      </c>
      <c r="B557" s="1" t="n">
        <v>45223.63353009259</v>
      </c>
      <c r="C557" s="1" t="n">
        <v>46106</v>
      </c>
      <c r="D557" t="inlineStr">
        <is>
          <t>DALARNAS LÄN</t>
        </is>
      </c>
      <c r="E557" t="inlineStr">
        <is>
          <t>FALUN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52081-2023</t>
        </is>
      </c>
      <c r="B558" s="1" t="n">
        <v>45223</v>
      </c>
      <c r="C558" s="1" t="n">
        <v>46106</v>
      </c>
      <c r="D558" t="inlineStr">
        <is>
          <t>DALARNAS LÄN</t>
        </is>
      </c>
      <c r="E558" t="inlineStr">
        <is>
          <t>FALUN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32802-2025</t>
        </is>
      </c>
      <c r="B559" s="1" t="n">
        <v>45839</v>
      </c>
      <c r="C559" s="1" t="n">
        <v>46106</v>
      </c>
      <c r="D559" t="inlineStr">
        <is>
          <t>DALARNAS LÄN</t>
        </is>
      </c>
      <c r="E559" t="inlineStr">
        <is>
          <t>FALUN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32456-2025</t>
        </is>
      </c>
      <c r="B560" s="1" t="n">
        <v>45838.40711805555</v>
      </c>
      <c r="C560" s="1" t="n">
        <v>46106</v>
      </c>
      <c r="D560" t="inlineStr">
        <is>
          <t>DALARNAS LÄN</t>
        </is>
      </c>
      <c r="E560" t="inlineStr">
        <is>
          <t>FALUN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15123-2026</t>
        </is>
      </c>
      <c r="B561" s="1" t="n">
        <v>46105.36930555556</v>
      </c>
      <c r="C561" s="1" t="n">
        <v>46106</v>
      </c>
      <c r="D561" t="inlineStr">
        <is>
          <t>DALARNAS LÄN</t>
        </is>
      </c>
      <c r="E561" t="inlineStr">
        <is>
          <t>FALUN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15139-2026</t>
        </is>
      </c>
      <c r="B562" s="1" t="n">
        <v>46104</v>
      </c>
      <c r="C562" s="1" t="n">
        <v>46106</v>
      </c>
      <c r="D562" t="inlineStr">
        <is>
          <t>DALARNAS LÄN</t>
        </is>
      </c>
      <c r="E562" t="inlineStr">
        <is>
          <t>FALUN</t>
        </is>
      </c>
      <c r="F562" t="inlineStr">
        <is>
          <t>Allmännings- och besparingsskogar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7819-2026</t>
        </is>
      </c>
      <c r="B563" s="1" t="n">
        <v>46062.62895833333</v>
      </c>
      <c r="C563" s="1" t="n">
        <v>46106</v>
      </c>
      <c r="D563" t="inlineStr">
        <is>
          <t>DALARNAS LÄN</t>
        </is>
      </c>
      <c r="E563" t="inlineStr">
        <is>
          <t>FALUN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7857-2026</t>
        </is>
      </c>
      <c r="B564" s="1" t="n">
        <v>46062</v>
      </c>
      <c r="C564" s="1" t="n">
        <v>46106</v>
      </c>
      <c r="D564" t="inlineStr">
        <is>
          <t>DALARNAS LÄN</t>
        </is>
      </c>
      <c r="E564" t="inlineStr">
        <is>
          <t>FALUN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42853-2025</t>
        </is>
      </c>
      <c r="B565" s="1" t="n">
        <v>45908.60138888889</v>
      </c>
      <c r="C565" s="1" t="n">
        <v>46106</v>
      </c>
      <c r="D565" t="inlineStr">
        <is>
          <t>DALARNAS LÄN</t>
        </is>
      </c>
      <c r="E565" t="inlineStr">
        <is>
          <t>FALUN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42871-2025</t>
        </is>
      </c>
      <c r="B566" s="1" t="n">
        <v>45908.62725694444</v>
      </c>
      <c r="C566" s="1" t="n">
        <v>46106</v>
      </c>
      <c r="D566" t="inlineStr">
        <is>
          <t>DALARNAS LÄN</t>
        </is>
      </c>
      <c r="E566" t="inlineStr">
        <is>
          <t>FALUN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33148-2025</t>
        </is>
      </c>
      <c r="B567" s="1" t="n">
        <v>45840</v>
      </c>
      <c r="C567" s="1" t="n">
        <v>46106</v>
      </c>
      <c r="D567" t="inlineStr">
        <is>
          <t>DALARNAS LÄN</t>
        </is>
      </c>
      <c r="E567" t="inlineStr">
        <is>
          <t>FALUN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19015-2024</t>
        </is>
      </c>
      <c r="B568" s="1" t="n">
        <v>45427.65140046296</v>
      </c>
      <c r="C568" s="1" t="n">
        <v>46106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11934-2026</t>
        </is>
      </c>
      <c r="B569" s="1" t="n">
        <v>46085</v>
      </c>
      <c r="C569" s="1" t="n">
        <v>46106</v>
      </c>
      <c r="D569" t="inlineStr">
        <is>
          <t>DALARNAS LÄN</t>
        </is>
      </c>
      <c r="E569" t="inlineStr">
        <is>
          <t>FALUN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22739-2022</t>
        </is>
      </c>
      <c r="B570" s="1" t="n">
        <v>44714</v>
      </c>
      <c r="C570" s="1" t="n">
        <v>46106</v>
      </c>
      <c r="D570" t="inlineStr">
        <is>
          <t>DALARNAS LÄN</t>
        </is>
      </c>
      <c r="E570" t="inlineStr">
        <is>
          <t>FALUN</t>
        </is>
      </c>
      <c r="F570" t="inlineStr">
        <is>
          <t>Kyrkan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33525-2025</t>
        </is>
      </c>
      <c r="B571" s="1" t="n">
        <v>45841</v>
      </c>
      <c r="C571" s="1" t="n">
        <v>46106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43092-2025</t>
        </is>
      </c>
      <c r="B572" s="1" t="n">
        <v>45909.62510416667</v>
      </c>
      <c r="C572" s="1" t="n">
        <v>46106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24.3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15124-2026</t>
        </is>
      </c>
      <c r="B573" s="1" t="n">
        <v>46105.36947916666</v>
      </c>
      <c r="C573" s="1" t="n">
        <v>46106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7800-2026</t>
        </is>
      </c>
      <c r="B574" s="1" t="n">
        <v>46062</v>
      </c>
      <c r="C574" s="1" t="n">
        <v>46106</v>
      </c>
      <c r="D574" t="inlineStr">
        <is>
          <t>DALARNAS LÄN</t>
        </is>
      </c>
      <c r="E574" t="inlineStr">
        <is>
          <t>FALUN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11140-2026</t>
        </is>
      </c>
      <c r="B575" s="1" t="n">
        <v>46079</v>
      </c>
      <c r="C575" s="1" t="n">
        <v>46106</v>
      </c>
      <c r="D575" t="inlineStr">
        <is>
          <t>DALARNAS LÄN</t>
        </is>
      </c>
      <c r="E575" t="inlineStr">
        <is>
          <t>FALUN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14841-2026</t>
        </is>
      </c>
      <c r="B576" s="1" t="n">
        <v>46104.39768518518</v>
      </c>
      <c r="C576" s="1" t="n">
        <v>46106</v>
      </c>
      <c r="D576" t="inlineStr">
        <is>
          <t>DALARNAS LÄN</t>
        </is>
      </c>
      <c r="E576" t="inlineStr">
        <is>
          <t>FALUN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14546-2026</t>
        </is>
      </c>
      <c r="B577" s="1" t="n">
        <v>46100.68425925926</v>
      </c>
      <c r="C577" s="1" t="n">
        <v>46106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12999-2026</t>
        </is>
      </c>
      <c r="B578" s="1" t="n">
        <v>46092</v>
      </c>
      <c r="C578" s="1" t="n">
        <v>46106</v>
      </c>
      <c r="D578" t="inlineStr">
        <is>
          <t>DALARNAS LÄN</t>
        </is>
      </c>
      <c r="E578" t="inlineStr">
        <is>
          <t>FALUN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13020-2026</t>
        </is>
      </c>
      <c r="B579" s="1" t="n">
        <v>46092</v>
      </c>
      <c r="C579" s="1" t="n">
        <v>46106</v>
      </c>
      <c r="D579" t="inlineStr">
        <is>
          <t>DALARNAS LÄN</t>
        </is>
      </c>
      <c r="E579" t="inlineStr">
        <is>
          <t>FALUN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13073-2026</t>
        </is>
      </c>
      <c r="B580" s="1" t="n">
        <v>46093</v>
      </c>
      <c r="C580" s="1" t="n">
        <v>46106</v>
      </c>
      <c r="D580" t="inlineStr">
        <is>
          <t>DALARNAS LÄN</t>
        </is>
      </c>
      <c r="E580" t="inlineStr">
        <is>
          <t>FALUN</t>
        </is>
      </c>
      <c r="F580" t="inlineStr">
        <is>
          <t>Allmännings- och besparingsskogar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15293-2026</t>
        </is>
      </c>
      <c r="B581" s="1" t="n">
        <v>46105.62603009259</v>
      </c>
      <c r="C581" s="1" t="n">
        <v>46106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14850-2026</t>
        </is>
      </c>
      <c r="B582" s="1" t="n">
        <v>46104</v>
      </c>
      <c r="C582" s="1" t="n">
        <v>46106</v>
      </c>
      <c r="D582" t="inlineStr">
        <is>
          <t>DALARNAS LÄN</t>
        </is>
      </c>
      <c r="E582" t="inlineStr">
        <is>
          <t>FALUN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14932-2026</t>
        </is>
      </c>
      <c r="B583" s="1" t="n">
        <v>46104</v>
      </c>
      <c r="C583" s="1" t="n">
        <v>46106</v>
      </c>
      <c r="D583" t="inlineStr">
        <is>
          <t>DALARNAS LÄN</t>
        </is>
      </c>
      <c r="E583" t="inlineStr">
        <is>
          <t>FALUN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14492-2026</t>
        </is>
      </c>
      <c r="B584" s="1" t="n">
        <v>46100.59630787037</v>
      </c>
      <c r="C584" s="1" t="n">
        <v>46106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14494-2026</t>
        </is>
      </c>
      <c r="B585" s="1" t="n">
        <v>46100.59673611111</v>
      </c>
      <c r="C585" s="1" t="n">
        <v>46106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33170-2025</t>
        </is>
      </c>
      <c r="B586" s="1" t="n">
        <v>45840</v>
      </c>
      <c r="C586" s="1" t="n">
        <v>46106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21.1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15115-2026</t>
        </is>
      </c>
      <c r="B587" s="1" t="n">
        <v>46105.36430555556</v>
      </c>
      <c r="C587" s="1" t="n">
        <v>46106</v>
      </c>
      <c r="D587" t="inlineStr">
        <is>
          <t>DALARNAS LÄN</t>
        </is>
      </c>
      <c r="E587" t="inlineStr">
        <is>
          <t>FALUN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33542-2025</t>
        </is>
      </c>
      <c r="B588" s="1" t="n">
        <v>45841</v>
      </c>
      <c r="C588" s="1" t="n">
        <v>46106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43295-2025</t>
        </is>
      </c>
      <c r="B589" s="1" t="n">
        <v>45910.62370370371</v>
      </c>
      <c r="C589" s="1" t="n">
        <v>46106</v>
      </c>
      <c r="D589" t="inlineStr">
        <is>
          <t>DALARNAS LÄN</t>
        </is>
      </c>
      <c r="E589" t="inlineStr">
        <is>
          <t>FALUN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43298-2025</t>
        </is>
      </c>
      <c r="B590" s="1" t="n">
        <v>45910.62987268518</v>
      </c>
      <c r="C590" s="1" t="n">
        <v>46106</v>
      </c>
      <c r="D590" t="inlineStr">
        <is>
          <t>DALARNAS LÄN</t>
        </is>
      </c>
      <c r="E590" t="inlineStr">
        <is>
          <t>FALUN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43300-2025</t>
        </is>
      </c>
      <c r="B591" s="1" t="n">
        <v>45910.63303240741</v>
      </c>
      <c r="C591" s="1" t="n">
        <v>46106</v>
      </c>
      <c r="D591" t="inlineStr">
        <is>
          <t>DALARNAS LÄN</t>
        </is>
      </c>
      <c r="E591" t="inlineStr">
        <is>
          <t>FALUN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43508-2025</t>
        </is>
      </c>
      <c r="B592" s="1" t="n">
        <v>45911.55575231482</v>
      </c>
      <c r="C592" s="1" t="n">
        <v>46106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34443-2025</t>
        </is>
      </c>
      <c r="B593" s="1" t="n">
        <v>45845</v>
      </c>
      <c r="C593" s="1" t="n">
        <v>46106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43381-2025</t>
        </is>
      </c>
      <c r="B594" s="1" t="n">
        <v>45911.36196759259</v>
      </c>
      <c r="C594" s="1" t="n">
        <v>46106</v>
      </c>
      <c r="D594" t="inlineStr">
        <is>
          <t>DALARNAS LÄN</t>
        </is>
      </c>
      <c r="E594" t="inlineStr">
        <is>
          <t>FALUN</t>
        </is>
      </c>
      <c r="G594" t="n">
        <v>10.9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43576-2025</t>
        </is>
      </c>
      <c r="B595" s="1" t="n">
        <v>45911.64164351852</v>
      </c>
      <c r="C595" s="1" t="n">
        <v>46106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8753-2024</t>
        </is>
      </c>
      <c r="B596" s="1" t="n">
        <v>45356</v>
      </c>
      <c r="C596" s="1" t="n">
        <v>46106</v>
      </c>
      <c r="D596" t="inlineStr">
        <is>
          <t>DALARNAS LÄN</t>
        </is>
      </c>
      <c r="E596" t="inlineStr">
        <is>
          <t>FALUN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8757-2024</t>
        </is>
      </c>
      <c r="B597" s="1" t="n">
        <v>45356.516875</v>
      </c>
      <c r="C597" s="1" t="n">
        <v>46106</v>
      </c>
      <c r="D597" t="inlineStr">
        <is>
          <t>DALARNAS LÄN</t>
        </is>
      </c>
      <c r="E597" t="inlineStr">
        <is>
          <t>FALUN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43545-2025</t>
        </is>
      </c>
      <c r="B598" s="1" t="n">
        <v>45911.6139699074</v>
      </c>
      <c r="C598" s="1" t="n">
        <v>46106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15100-2026</t>
        </is>
      </c>
      <c r="B599" s="1" t="n">
        <v>46105.34625</v>
      </c>
      <c r="C599" s="1" t="n">
        <v>46106</v>
      </c>
      <c r="D599" t="inlineStr">
        <is>
          <t>DALARNAS LÄN</t>
        </is>
      </c>
      <c r="E599" t="inlineStr">
        <is>
          <t>FALUN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15278-2026</t>
        </is>
      </c>
      <c r="B600" s="1" t="n">
        <v>46105.61011574074</v>
      </c>
      <c r="C600" s="1" t="n">
        <v>46106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34.4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54537-2023</t>
        </is>
      </c>
      <c r="B601" s="1" t="n">
        <v>45233.6091087963</v>
      </c>
      <c r="C601" s="1" t="n">
        <v>46106</v>
      </c>
      <c r="D601" t="inlineStr">
        <is>
          <t>DALARNAS LÄN</t>
        </is>
      </c>
      <c r="E601" t="inlineStr">
        <is>
          <t>FALUN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24782-2025</t>
        </is>
      </c>
      <c r="B602" s="1" t="n">
        <v>45799.41928240741</v>
      </c>
      <c r="C602" s="1" t="n">
        <v>46106</v>
      </c>
      <c r="D602" t="inlineStr">
        <is>
          <t>DALARNAS LÄN</t>
        </is>
      </c>
      <c r="E602" t="inlineStr">
        <is>
          <t>FALUN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15133-2026</t>
        </is>
      </c>
      <c r="B603" s="1" t="n">
        <v>46105.38149305555</v>
      </c>
      <c r="C603" s="1" t="n">
        <v>46106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64521-2023</t>
        </is>
      </c>
      <c r="B604" s="1" t="n">
        <v>45281</v>
      </c>
      <c r="C604" s="1" t="n">
        <v>46106</v>
      </c>
      <c r="D604" t="inlineStr">
        <is>
          <t>DALARNAS LÄN</t>
        </is>
      </c>
      <c r="E604" t="inlineStr">
        <is>
          <t>FALUN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14383-2025</t>
        </is>
      </c>
      <c r="B605" s="1" t="n">
        <v>45741.41736111111</v>
      </c>
      <c r="C605" s="1" t="n">
        <v>46106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43605-2025</t>
        </is>
      </c>
      <c r="B606" s="1" t="n">
        <v>45911</v>
      </c>
      <c r="C606" s="1" t="n">
        <v>46106</v>
      </c>
      <c r="D606" t="inlineStr">
        <is>
          <t>DALARNAS LÄN</t>
        </is>
      </c>
      <c r="E606" t="inlineStr">
        <is>
          <t>FALUN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43257-2025</t>
        </is>
      </c>
      <c r="B607" s="1" t="n">
        <v>45910.55814814815</v>
      </c>
      <c r="C607" s="1" t="n">
        <v>46106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11043-2026</t>
        </is>
      </c>
      <c r="B608" s="1" t="n">
        <v>46079</v>
      </c>
      <c r="C608" s="1" t="n">
        <v>46106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10046-2026</t>
        </is>
      </c>
      <c r="B609" s="1" t="n">
        <v>46073.60056712963</v>
      </c>
      <c r="C609" s="1" t="n">
        <v>46106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15333-2026</t>
        </is>
      </c>
      <c r="B610" s="1" t="n">
        <v>46105.66302083333</v>
      </c>
      <c r="C610" s="1" t="n">
        <v>46106</v>
      </c>
      <c r="D610" t="inlineStr">
        <is>
          <t>DALARNAS LÄN</t>
        </is>
      </c>
      <c r="E610" t="inlineStr">
        <is>
          <t>FALUN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12035-2026</t>
        </is>
      </c>
      <c r="B611" s="1" t="n">
        <v>46086.30998842593</v>
      </c>
      <c r="C611" s="1" t="n">
        <v>46106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43202-2025</t>
        </is>
      </c>
      <c r="B612" s="1" t="n">
        <v>45910.43978009259</v>
      </c>
      <c r="C612" s="1" t="n">
        <v>46106</v>
      </c>
      <c r="D612" t="inlineStr">
        <is>
          <t>DALARNAS LÄN</t>
        </is>
      </c>
      <c r="E612" t="inlineStr">
        <is>
          <t>FALUN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8033-2026</t>
        </is>
      </c>
      <c r="B613" s="1" t="n">
        <v>46063</v>
      </c>
      <c r="C613" s="1" t="n">
        <v>46106</v>
      </c>
      <c r="D613" t="inlineStr">
        <is>
          <t>DALARNAS LÄN</t>
        </is>
      </c>
      <c r="E613" t="inlineStr">
        <is>
          <t>FALUN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43856-2025</t>
        </is>
      </c>
      <c r="B614" s="1" t="n">
        <v>45912.64748842592</v>
      </c>
      <c r="C614" s="1" t="n">
        <v>46106</v>
      </c>
      <c r="D614" t="inlineStr">
        <is>
          <t>DALARNAS LÄN</t>
        </is>
      </c>
      <c r="E614" t="inlineStr">
        <is>
          <t>FALUN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14077-2026</t>
        </is>
      </c>
      <c r="B615" s="1" t="n">
        <v>46099.36325231481</v>
      </c>
      <c r="C615" s="1" t="n">
        <v>46106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12385-2026</t>
        </is>
      </c>
      <c r="B616" s="1" t="n">
        <v>46090</v>
      </c>
      <c r="C616" s="1" t="n">
        <v>46106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14796-2026</t>
        </is>
      </c>
      <c r="B617" s="1" t="n">
        <v>46102.39756944445</v>
      </c>
      <c r="C617" s="1" t="n">
        <v>46106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12.4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15227-2026</t>
        </is>
      </c>
      <c r="B618" s="1" t="n">
        <v>46105.54875</v>
      </c>
      <c r="C618" s="1" t="n">
        <v>46106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8.699999999999999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13815-2026</t>
        </is>
      </c>
      <c r="B619" s="1" t="n">
        <v>46098</v>
      </c>
      <c r="C619" s="1" t="n">
        <v>46106</v>
      </c>
      <c r="D619" t="inlineStr">
        <is>
          <t>DALARNAS LÄN</t>
        </is>
      </c>
      <c r="E619" t="inlineStr">
        <is>
          <t>FALUN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12781-2026</t>
        </is>
      </c>
      <c r="B620" s="1" t="n">
        <v>46091</v>
      </c>
      <c r="C620" s="1" t="n">
        <v>46106</v>
      </c>
      <c r="D620" t="inlineStr">
        <is>
          <t>DALARNAS LÄN</t>
        </is>
      </c>
      <c r="E620" t="inlineStr">
        <is>
          <t>FALUN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7667-2026</t>
        </is>
      </c>
      <c r="B621" s="1" t="n">
        <v>46062.40885416666</v>
      </c>
      <c r="C621" s="1" t="n">
        <v>46106</v>
      </c>
      <c r="D621" t="inlineStr">
        <is>
          <t>DALARNAS LÄN</t>
        </is>
      </c>
      <c r="E621" t="inlineStr">
        <is>
          <t>FALUN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15207-2026</t>
        </is>
      </c>
      <c r="B622" s="1" t="n">
        <v>46105.48836805556</v>
      </c>
      <c r="C622" s="1" t="n">
        <v>46106</v>
      </c>
      <c r="D622" t="inlineStr">
        <is>
          <t>DALARNAS LÄN</t>
        </is>
      </c>
      <c r="E622" t="inlineStr">
        <is>
          <t>FALUN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43183-2024</t>
        </is>
      </c>
      <c r="B623" s="1" t="n">
        <v>45567.66385416667</v>
      </c>
      <c r="C623" s="1" t="n">
        <v>46106</v>
      </c>
      <c r="D623" t="inlineStr">
        <is>
          <t>DALARNAS LÄN</t>
        </is>
      </c>
      <c r="E623" t="inlineStr">
        <is>
          <t>FALUN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11526-2026</t>
        </is>
      </c>
      <c r="B624" s="1" t="n">
        <v>46083.68503472222</v>
      </c>
      <c r="C624" s="1" t="n">
        <v>46106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16491-2025</t>
        </is>
      </c>
      <c r="B625" s="1" t="n">
        <v>45751</v>
      </c>
      <c r="C625" s="1" t="n">
        <v>46106</v>
      </c>
      <c r="D625" t="inlineStr">
        <is>
          <t>DALARNAS LÄN</t>
        </is>
      </c>
      <c r="E625" t="inlineStr">
        <is>
          <t>FALUN</t>
        </is>
      </c>
      <c r="F625" t="inlineStr">
        <is>
          <t>Övriga statliga verk och myndigheter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7778-2026</t>
        </is>
      </c>
      <c r="B626" s="1" t="n">
        <v>46062</v>
      </c>
      <c r="C626" s="1" t="n">
        <v>46106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7780-2026</t>
        </is>
      </c>
      <c r="B627" s="1" t="n">
        <v>46062</v>
      </c>
      <c r="C627" s="1" t="n">
        <v>46106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943-2023</t>
        </is>
      </c>
      <c r="B628" s="1" t="n">
        <v>44933.91175925926</v>
      </c>
      <c r="C628" s="1" t="n">
        <v>46106</v>
      </c>
      <c r="D628" t="inlineStr">
        <is>
          <t>DALARNAS LÄN</t>
        </is>
      </c>
      <c r="E628" t="inlineStr">
        <is>
          <t>FALUN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15086-2026</t>
        </is>
      </c>
      <c r="B629" s="1" t="n">
        <v>46105</v>
      </c>
      <c r="C629" s="1" t="n">
        <v>46106</v>
      </c>
      <c r="D629" t="inlineStr">
        <is>
          <t>DALARNAS LÄN</t>
        </is>
      </c>
      <c r="E629" t="inlineStr">
        <is>
          <t>FALUN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11681-2026</t>
        </is>
      </c>
      <c r="B630" s="1" t="n">
        <v>46084</v>
      </c>
      <c r="C630" s="1" t="n">
        <v>46106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52506-2021</t>
        </is>
      </c>
      <c r="B631" s="1" t="n">
        <v>44466.44211805556</v>
      </c>
      <c r="C631" s="1" t="n">
        <v>46106</v>
      </c>
      <c r="D631" t="inlineStr">
        <is>
          <t>DALARNAS LÄN</t>
        </is>
      </c>
      <c r="E631" t="inlineStr">
        <is>
          <t>FALUN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8040-2026</t>
        </is>
      </c>
      <c r="B632" s="1" t="n">
        <v>46063</v>
      </c>
      <c r="C632" s="1" t="n">
        <v>46106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7967-2026</t>
        </is>
      </c>
      <c r="B633" s="1" t="n">
        <v>46063</v>
      </c>
      <c r="C633" s="1" t="n">
        <v>46106</v>
      </c>
      <c r="D633" t="inlineStr">
        <is>
          <t>DALARNAS LÄN</t>
        </is>
      </c>
      <c r="E633" t="inlineStr">
        <is>
          <t>FALUN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12970-2026</t>
        </is>
      </c>
      <c r="B634" s="1" t="n">
        <v>46092</v>
      </c>
      <c r="C634" s="1" t="n">
        <v>46106</v>
      </c>
      <c r="D634" t="inlineStr">
        <is>
          <t>DALARNAS LÄN</t>
        </is>
      </c>
      <c r="E634" t="inlineStr">
        <is>
          <t>FALUN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15059-2026</t>
        </is>
      </c>
      <c r="B635" s="1" t="n">
        <v>46104.690625</v>
      </c>
      <c r="C635" s="1" t="n">
        <v>46106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9.6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15085-2026</t>
        </is>
      </c>
      <c r="B636" s="1" t="n">
        <v>46105</v>
      </c>
      <c r="C636" s="1" t="n">
        <v>46106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15129-2026</t>
        </is>
      </c>
      <c r="B637" s="1" t="n">
        <v>46105.37494212963</v>
      </c>
      <c r="C637" s="1" t="n">
        <v>46106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15147-2026</t>
        </is>
      </c>
      <c r="B638" s="1" t="n">
        <v>46104</v>
      </c>
      <c r="C638" s="1" t="n">
        <v>46106</v>
      </c>
      <c r="D638" t="inlineStr">
        <is>
          <t>DALARNAS LÄN</t>
        </is>
      </c>
      <c r="E638" t="inlineStr">
        <is>
          <t>FALUN</t>
        </is>
      </c>
      <c r="F638" t="inlineStr">
        <is>
          <t>Allmännings- och besparingsskogar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34941-2025</t>
        </is>
      </c>
      <c r="B639" s="1" t="n">
        <v>45849.58335648148</v>
      </c>
      <c r="C639" s="1" t="n">
        <v>46106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14293-2026</t>
        </is>
      </c>
      <c r="B640" s="1" t="n">
        <v>46099</v>
      </c>
      <c r="C640" s="1" t="n">
        <v>46106</v>
      </c>
      <c r="D640" t="inlineStr">
        <is>
          <t>DALARNAS LÄN</t>
        </is>
      </c>
      <c r="E640" t="inlineStr">
        <is>
          <t>FALUN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14847-2026</t>
        </is>
      </c>
      <c r="B641" s="1" t="n">
        <v>46104</v>
      </c>
      <c r="C641" s="1" t="n">
        <v>46106</v>
      </c>
      <c r="D641" t="inlineStr">
        <is>
          <t>DALARNAS LÄN</t>
        </is>
      </c>
      <c r="E641" t="inlineStr">
        <is>
          <t>FALUN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53643-2024</t>
        </is>
      </c>
      <c r="B642" s="1" t="n">
        <v>45614.89589120371</v>
      </c>
      <c r="C642" s="1" t="n">
        <v>46106</v>
      </c>
      <c r="D642" t="inlineStr">
        <is>
          <t>DALARNAS LÄN</t>
        </is>
      </c>
      <c r="E642" t="inlineStr">
        <is>
          <t>FALUN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12051-2026</t>
        </is>
      </c>
      <c r="B643" s="1" t="n">
        <v>46086.34952546296</v>
      </c>
      <c r="C643" s="1" t="n">
        <v>46106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14909-2026</t>
        </is>
      </c>
      <c r="B644" s="1" t="n">
        <v>46104</v>
      </c>
      <c r="C644" s="1" t="n">
        <v>46106</v>
      </c>
      <c r="D644" t="inlineStr">
        <is>
          <t>DALARNAS LÄN</t>
        </is>
      </c>
      <c r="E644" t="inlineStr">
        <is>
          <t>FALUN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43917-2025</t>
        </is>
      </c>
      <c r="B645" s="1" t="n">
        <v>45914.86606481481</v>
      </c>
      <c r="C645" s="1" t="n">
        <v>46106</v>
      </c>
      <c r="D645" t="inlineStr">
        <is>
          <t>DALARNAS LÄN</t>
        </is>
      </c>
      <c r="E645" t="inlineStr">
        <is>
          <t>FALUN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12504-2026</t>
        </is>
      </c>
      <c r="B646" s="1" t="n">
        <v>46090</v>
      </c>
      <c r="C646" s="1" t="n">
        <v>46106</v>
      </c>
      <c r="D646" t="inlineStr">
        <is>
          <t>DALARNAS LÄN</t>
        </is>
      </c>
      <c r="E646" t="inlineStr">
        <is>
          <t>FALUN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11941-2026</t>
        </is>
      </c>
      <c r="B647" s="1" t="n">
        <v>46085</v>
      </c>
      <c r="C647" s="1" t="n">
        <v>46106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14964-2026</t>
        </is>
      </c>
      <c r="B648" s="1" t="n">
        <v>46104</v>
      </c>
      <c r="C648" s="1" t="n">
        <v>46106</v>
      </c>
      <c r="D648" t="inlineStr">
        <is>
          <t>DALARNAS LÄN</t>
        </is>
      </c>
      <c r="E648" t="inlineStr">
        <is>
          <t>FALUN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24418-2021</t>
        </is>
      </c>
      <c r="B649" s="1" t="n">
        <v>44337.53789351852</v>
      </c>
      <c r="C649" s="1" t="n">
        <v>46106</v>
      </c>
      <c r="D649" t="inlineStr">
        <is>
          <t>DALARNAS LÄN</t>
        </is>
      </c>
      <c r="E649" t="inlineStr">
        <is>
          <t>FALUN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41961-2022</t>
        </is>
      </c>
      <c r="B650" s="1" t="n">
        <v>44830</v>
      </c>
      <c r="C650" s="1" t="n">
        <v>46106</v>
      </c>
      <c r="D650" t="inlineStr">
        <is>
          <t>DALARNAS LÄN</t>
        </is>
      </c>
      <c r="E650" t="inlineStr">
        <is>
          <t>FALUN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7948-2026</t>
        </is>
      </c>
      <c r="B651" s="1" t="n">
        <v>46063</v>
      </c>
      <c r="C651" s="1" t="n">
        <v>46106</v>
      </c>
      <c r="D651" t="inlineStr">
        <is>
          <t>DALARNAS LÄN</t>
        </is>
      </c>
      <c r="E651" t="inlineStr">
        <is>
          <t>FALUN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7977-2026</t>
        </is>
      </c>
      <c r="B652" s="1" t="n">
        <v>46063.47025462963</v>
      </c>
      <c r="C652" s="1" t="n">
        <v>46106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7980-2026</t>
        </is>
      </c>
      <c r="B653" s="1" t="n">
        <v>46063</v>
      </c>
      <c r="C653" s="1" t="n">
        <v>46106</v>
      </c>
      <c r="D653" t="inlineStr">
        <is>
          <t>DALARNAS LÄN</t>
        </is>
      </c>
      <c r="E653" t="inlineStr">
        <is>
          <t>FALUN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2380-2025</t>
        </is>
      </c>
      <c r="B654" s="1" t="n">
        <v>45673.97141203703</v>
      </c>
      <c r="C654" s="1" t="n">
        <v>46106</v>
      </c>
      <c r="D654" t="inlineStr">
        <is>
          <t>DALARNAS LÄN</t>
        </is>
      </c>
      <c r="E654" t="inlineStr">
        <is>
          <t>FALUN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44073-2025</t>
        </is>
      </c>
      <c r="B655" s="1" t="n">
        <v>45915.54880787037</v>
      </c>
      <c r="C655" s="1" t="n">
        <v>46106</v>
      </c>
      <c r="D655" t="inlineStr">
        <is>
          <t>DALARNAS LÄN</t>
        </is>
      </c>
      <c r="E655" t="inlineStr">
        <is>
          <t>FALUN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44118-2025</t>
        </is>
      </c>
      <c r="B656" s="1" t="n">
        <v>45915.57710648148</v>
      </c>
      <c r="C656" s="1" t="n">
        <v>46106</v>
      </c>
      <c r="D656" t="inlineStr">
        <is>
          <t>DALARNAS LÄN</t>
        </is>
      </c>
      <c r="E656" t="inlineStr">
        <is>
          <t>FALUN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8019-2026</t>
        </is>
      </c>
      <c r="B657" s="1" t="n">
        <v>46063.55407407408</v>
      </c>
      <c r="C657" s="1" t="n">
        <v>46106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12501-2026</t>
        </is>
      </c>
      <c r="B658" s="1" t="n">
        <v>46090</v>
      </c>
      <c r="C658" s="1" t="n">
        <v>46106</v>
      </c>
      <c r="D658" t="inlineStr">
        <is>
          <t>DALARNAS LÄN</t>
        </is>
      </c>
      <c r="E658" t="inlineStr">
        <is>
          <t>FALUN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13197-2026</t>
        </is>
      </c>
      <c r="B659" s="1" t="n">
        <v>46093</v>
      </c>
      <c r="C659" s="1" t="n">
        <v>46106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7762-2026</t>
        </is>
      </c>
      <c r="B660" s="1" t="n">
        <v>46062</v>
      </c>
      <c r="C660" s="1" t="n">
        <v>46106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7773-2026</t>
        </is>
      </c>
      <c r="B661" s="1" t="n">
        <v>46062</v>
      </c>
      <c r="C661" s="1" t="n">
        <v>46106</v>
      </c>
      <c r="D661" t="inlineStr">
        <is>
          <t>DALARNAS LÄN</t>
        </is>
      </c>
      <c r="E661" t="inlineStr">
        <is>
          <t>FALUN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14525-2026</t>
        </is>
      </c>
      <c r="B662" s="1" t="n">
        <v>46100.65721064815</v>
      </c>
      <c r="C662" s="1" t="n">
        <v>46106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56241-2024</t>
        </is>
      </c>
      <c r="B663" s="1" t="n">
        <v>45624.63219907408</v>
      </c>
      <c r="C663" s="1" t="n">
        <v>46106</v>
      </c>
      <c r="D663" t="inlineStr">
        <is>
          <t>DALARNAS LÄN</t>
        </is>
      </c>
      <c r="E663" t="inlineStr">
        <is>
          <t>FALUN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56474-2024</t>
        </is>
      </c>
      <c r="B664" s="1" t="n">
        <v>45625.46163194445</v>
      </c>
      <c r="C664" s="1" t="n">
        <v>46106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35085-2025</t>
        </is>
      </c>
      <c r="B665" s="1" t="n">
        <v>45852.50997685185</v>
      </c>
      <c r="C665" s="1" t="n">
        <v>46106</v>
      </c>
      <c r="D665" t="inlineStr">
        <is>
          <t>DALARNAS LÄN</t>
        </is>
      </c>
      <c r="E665" t="inlineStr">
        <is>
          <t>FALUN</t>
        </is>
      </c>
      <c r="G665" t="n">
        <v>19.8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49645-2024</t>
        </is>
      </c>
      <c r="B666" s="1" t="n">
        <v>45596.61451388889</v>
      </c>
      <c r="C666" s="1" t="n">
        <v>46106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4719-2026</t>
        </is>
      </c>
      <c r="B667" s="1" t="n">
        <v>46048</v>
      </c>
      <c r="C667" s="1" t="n">
        <v>46106</v>
      </c>
      <c r="D667" t="inlineStr">
        <is>
          <t>DALARNAS LÄN</t>
        </is>
      </c>
      <c r="E667" t="inlineStr">
        <is>
          <t>FALUN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35323-2025</t>
        </is>
      </c>
      <c r="B668" s="1" t="n">
        <v>45854.49920138889</v>
      </c>
      <c r="C668" s="1" t="n">
        <v>46106</v>
      </c>
      <c r="D668" t="inlineStr">
        <is>
          <t>DALARNAS LÄN</t>
        </is>
      </c>
      <c r="E668" t="inlineStr">
        <is>
          <t>FALUN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11425-2026</t>
        </is>
      </c>
      <c r="B669" s="1" t="n">
        <v>46083.48200231481</v>
      </c>
      <c r="C669" s="1" t="n">
        <v>46106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13064-2026</t>
        </is>
      </c>
      <c r="B670" s="1" t="n">
        <v>46093</v>
      </c>
      <c r="C670" s="1" t="n">
        <v>46106</v>
      </c>
      <c r="D670" t="inlineStr">
        <is>
          <t>DALARNAS LÄN</t>
        </is>
      </c>
      <c r="E670" t="inlineStr">
        <is>
          <t>FALUN</t>
        </is>
      </c>
      <c r="F670" t="inlineStr">
        <is>
          <t>Allmännings- och besparingsskogar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12645-2026</t>
        </is>
      </c>
      <c r="B671" s="1" t="n">
        <v>46091.47430555556</v>
      </c>
      <c r="C671" s="1" t="n">
        <v>46106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5397-2024</t>
        </is>
      </c>
      <c r="B672" s="1" t="n">
        <v>45331</v>
      </c>
      <c r="C672" s="1" t="n">
        <v>46106</v>
      </c>
      <c r="D672" t="inlineStr">
        <is>
          <t>DALARNAS LÄN</t>
        </is>
      </c>
      <c r="E672" t="inlineStr">
        <is>
          <t>FALUN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44863-2025</t>
        </is>
      </c>
      <c r="B673" s="1" t="n">
        <v>45918.45920138889</v>
      </c>
      <c r="C673" s="1" t="n">
        <v>46106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34507-2022</t>
        </is>
      </c>
      <c r="B674" s="1" t="n">
        <v>44792</v>
      </c>
      <c r="C674" s="1" t="n">
        <v>46106</v>
      </c>
      <c r="D674" t="inlineStr">
        <is>
          <t>DALARNAS LÄN</t>
        </is>
      </c>
      <c r="E674" t="inlineStr">
        <is>
          <t>FALUN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35629-2025</t>
        </is>
      </c>
      <c r="B675" s="1" t="n">
        <v>45859.44710648148</v>
      </c>
      <c r="C675" s="1" t="n">
        <v>46106</v>
      </c>
      <c r="D675" t="inlineStr">
        <is>
          <t>DALARNAS LÄN</t>
        </is>
      </c>
      <c r="E675" t="inlineStr">
        <is>
          <t>FALUN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44886-2025</t>
        </is>
      </c>
      <c r="B676" s="1" t="n">
        <v>45918.49219907408</v>
      </c>
      <c r="C676" s="1" t="n">
        <v>46106</v>
      </c>
      <c r="D676" t="inlineStr">
        <is>
          <t>DALARNAS LÄN</t>
        </is>
      </c>
      <c r="E676" t="inlineStr">
        <is>
          <t>FALUN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45039-2025</t>
        </is>
      </c>
      <c r="B677" s="1" t="n">
        <v>45918.7181712963</v>
      </c>
      <c r="C677" s="1" t="n">
        <v>46106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45040-2025</t>
        </is>
      </c>
      <c r="B678" s="1" t="n">
        <v>45918.71972222222</v>
      </c>
      <c r="C678" s="1" t="n">
        <v>46106</v>
      </c>
      <c r="D678" t="inlineStr">
        <is>
          <t>DALARNAS LÄN</t>
        </is>
      </c>
      <c r="E678" t="inlineStr">
        <is>
          <t>FALUN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53062-2024</t>
        </is>
      </c>
      <c r="B679" s="1" t="n">
        <v>45611.47130787037</v>
      </c>
      <c r="C679" s="1" t="n">
        <v>46106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35786-2025</t>
        </is>
      </c>
      <c r="B680" s="1" t="n">
        <v>45861.31113425926</v>
      </c>
      <c r="C680" s="1" t="n">
        <v>46106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45035-2025</t>
        </is>
      </c>
      <c r="B681" s="1" t="n">
        <v>45918.70737268519</v>
      </c>
      <c r="C681" s="1" t="n">
        <v>46106</v>
      </c>
      <c r="D681" t="inlineStr">
        <is>
          <t>DALARNAS LÄN</t>
        </is>
      </c>
      <c r="E681" t="inlineStr">
        <is>
          <t>FALUN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45032-2025</t>
        </is>
      </c>
      <c r="B682" s="1" t="n">
        <v>45918.70072916667</v>
      </c>
      <c r="C682" s="1" t="n">
        <v>46106</v>
      </c>
      <c r="D682" t="inlineStr">
        <is>
          <t>DALARNAS LÄN</t>
        </is>
      </c>
      <c r="E682" t="inlineStr">
        <is>
          <t>FALUN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7916-2023</t>
        </is>
      </c>
      <c r="B683" s="1" t="n">
        <v>44973</v>
      </c>
      <c r="C683" s="1" t="n">
        <v>46106</v>
      </c>
      <c r="D683" t="inlineStr">
        <is>
          <t>DALARNAS LÄN</t>
        </is>
      </c>
      <c r="E683" t="inlineStr">
        <is>
          <t>FALUN</t>
        </is>
      </c>
      <c r="G683" t="n">
        <v>22.8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45549-2025</t>
        </is>
      </c>
      <c r="B684" s="1" t="n">
        <v>45922.63305555555</v>
      </c>
      <c r="C684" s="1" t="n">
        <v>46106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45584-2025</t>
        </is>
      </c>
      <c r="B685" s="1" t="n">
        <v>45922.66877314815</v>
      </c>
      <c r="C685" s="1" t="n">
        <v>46106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36271-2025</t>
        </is>
      </c>
      <c r="B686" s="1" t="n">
        <v>45867.62105324074</v>
      </c>
      <c r="C686" s="1" t="n">
        <v>46106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50184-2022</t>
        </is>
      </c>
      <c r="B687" s="1" t="n">
        <v>44865.60775462963</v>
      </c>
      <c r="C687" s="1" t="n">
        <v>46106</v>
      </c>
      <c r="D687" t="inlineStr">
        <is>
          <t>DALARNAS LÄN</t>
        </is>
      </c>
      <c r="E687" t="inlineStr">
        <is>
          <t>FALUN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45585-2025</t>
        </is>
      </c>
      <c r="B688" s="1" t="n">
        <v>45922.66900462963</v>
      </c>
      <c r="C688" s="1" t="n">
        <v>46106</v>
      </c>
      <c r="D688" t="inlineStr">
        <is>
          <t>DALARNAS LÄN</t>
        </is>
      </c>
      <c r="E688" t="inlineStr">
        <is>
          <t>FALUN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20610-2024</t>
        </is>
      </c>
      <c r="B689" s="1" t="n">
        <v>45436.44923611111</v>
      </c>
      <c r="C689" s="1" t="n">
        <v>46106</v>
      </c>
      <c r="D689" t="inlineStr">
        <is>
          <t>DALARNAS LÄN</t>
        </is>
      </c>
      <c r="E689" t="inlineStr">
        <is>
          <t>FALUN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36199-2025</t>
        </is>
      </c>
      <c r="B690" s="1" t="n">
        <v>45867.43987268519</v>
      </c>
      <c r="C690" s="1" t="n">
        <v>46106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36443-2025</t>
        </is>
      </c>
      <c r="B691" s="1" t="n">
        <v>45869.40634259259</v>
      </c>
      <c r="C691" s="1" t="n">
        <v>46106</v>
      </c>
      <c r="D691" t="inlineStr">
        <is>
          <t>DALARNAS LÄN</t>
        </is>
      </c>
      <c r="E691" t="inlineStr">
        <is>
          <t>FALUN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36411-2025</t>
        </is>
      </c>
      <c r="B692" s="1" t="n">
        <v>45868.68791666667</v>
      </c>
      <c r="C692" s="1" t="n">
        <v>46106</v>
      </c>
      <c r="D692" t="inlineStr">
        <is>
          <t>DALARNAS LÄN</t>
        </is>
      </c>
      <c r="E692" t="inlineStr">
        <is>
          <t>FALUN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36459-2025</t>
        </is>
      </c>
      <c r="B693" s="1" t="n">
        <v>45869.45042824074</v>
      </c>
      <c r="C693" s="1" t="n">
        <v>46106</v>
      </c>
      <c r="D693" t="inlineStr">
        <is>
          <t>DALARNAS LÄN</t>
        </is>
      </c>
      <c r="E693" t="inlineStr">
        <is>
          <t>FALUN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31077-2023</t>
        </is>
      </c>
      <c r="B694" s="1" t="n">
        <v>45113.64037037037</v>
      </c>
      <c r="C694" s="1" t="n">
        <v>46106</v>
      </c>
      <c r="D694" t="inlineStr">
        <is>
          <t>DALARNAS LÄN</t>
        </is>
      </c>
      <c r="E694" t="inlineStr">
        <is>
          <t>FALUN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52232-2024</t>
        </is>
      </c>
      <c r="B695" s="1" t="n">
        <v>45607</v>
      </c>
      <c r="C695" s="1" t="n">
        <v>46106</v>
      </c>
      <c r="D695" t="inlineStr">
        <is>
          <t>DALARNAS LÄN</t>
        </is>
      </c>
      <c r="E695" t="inlineStr">
        <is>
          <t>FALUN</t>
        </is>
      </c>
      <c r="F695" t="inlineStr">
        <is>
          <t>Allmännings- och besparingsskogar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46364-2025</t>
        </is>
      </c>
      <c r="B696" s="1" t="n">
        <v>45925.49892361111</v>
      </c>
      <c r="C696" s="1" t="n">
        <v>46106</v>
      </c>
      <c r="D696" t="inlineStr">
        <is>
          <t>DALARNAS LÄN</t>
        </is>
      </c>
      <c r="E696" t="inlineStr">
        <is>
          <t>FALUN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28249-2023</t>
        </is>
      </c>
      <c r="B697" s="1" t="n">
        <v>45099.59907407407</v>
      </c>
      <c r="C697" s="1" t="n">
        <v>46106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46834-2025</t>
        </is>
      </c>
      <c r="B698" s="1" t="n">
        <v>45927.73971064815</v>
      </c>
      <c r="C698" s="1" t="n">
        <v>46106</v>
      </c>
      <c r="D698" t="inlineStr">
        <is>
          <t>DALARNAS LÄN</t>
        </is>
      </c>
      <c r="E698" t="inlineStr">
        <is>
          <t>FALUN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1699-2025</t>
        </is>
      </c>
      <c r="B699" s="1" t="n">
        <v>45670.74568287037</v>
      </c>
      <c r="C699" s="1" t="n">
        <v>46106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46294-2024</t>
        </is>
      </c>
      <c r="B700" s="1" t="n">
        <v>45581.6672337963</v>
      </c>
      <c r="C700" s="1" t="n">
        <v>46106</v>
      </c>
      <c r="D700" t="inlineStr">
        <is>
          <t>DALARNAS LÄN</t>
        </is>
      </c>
      <c r="E700" t="inlineStr">
        <is>
          <t>FALUN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37061-2025</t>
        </is>
      </c>
      <c r="B701" s="1" t="n">
        <v>45874</v>
      </c>
      <c r="C701" s="1" t="n">
        <v>46106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46538-2025</t>
        </is>
      </c>
      <c r="B702" s="1" t="n">
        <v>45926.34296296296</v>
      </c>
      <c r="C702" s="1" t="n">
        <v>46106</v>
      </c>
      <c r="D702" t="inlineStr">
        <is>
          <t>DALARNAS LÄN</t>
        </is>
      </c>
      <c r="E702" t="inlineStr">
        <is>
          <t>FALUN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46801-2025</t>
        </is>
      </c>
      <c r="B703" s="1" t="n">
        <v>45926.66944444444</v>
      </c>
      <c r="C703" s="1" t="n">
        <v>46106</v>
      </c>
      <c r="D703" t="inlineStr">
        <is>
          <t>DALARNAS LÄN</t>
        </is>
      </c>
      <c r="E703" t="inlineStr">
        <is>
          <t>FALUN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42436-2024</t>
        </is>
      </c>
      <c r="B704" s="1" t="n">
        <v>45565.42178240741</v>
      </c>
      <c r="C704" s="1" t="n">
        <v>46106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58133-2024</t>
        </is>
      </c>
      <c r="B705" s="1" t="n">
        <v>45632.40962962963</v>
      </c>
      <c r="C705" s="1" t="n">
        <v>46106</v>
      </c>
      <c r="D705" t="inlineStr">
        <is>
          <t>DALARNAS LÄN</t>
        </is>
      </c>
      <c r="E705" t="inlineStr">
        <is>
          <t>FALUN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4834-2024</t>
        </is>
      </c>
      <c r="B706" s="1" t="n">
        <v>45329</v>
      </c>
      <c r="C706" s="1" t="n">
        <v>46106</v>
      </c>
      <c r="D706" t="inlineStr">
        <is>
          <t>DALARNAS LÄN</t>
        </is>
      </c>
      <c r="E706" t="inlineStr">
        <is>
          <t>FALUN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35807-2022</t>
        </is>
      </c>
      <c r="B707" s="1" t="n">
        <v>44802</v>
      </c>
      <c r="C707" s="1" t="n">
        <v>46106</v>
      </c>
      <c r="D707" t="inlineStr">
        <is>
          <t>DALARNAS LÄN</t>
        </is>
      </c>
      <c r="E707" t="inlineStr">
        <is>
          <t>FALUN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37372-2025</t>
        </is>
      </c>
      <c r="B708" s="1" t="n">
        <v>45877</v>
      </c>
      <c r="C708" s="1" t="n">
        <v>46106</v>
      </c>
      <c r="D708" t="inlineStr">
        <is>
          <t>DALARNAS LÄN</t>
        </is>
      </c>
      <c r="E708" t="inlineStr">
        <is>
          <t>FALUN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51135-2024</t>
        </is>
      </c>
      <c r="B709" s="1" t="n">
        <v>45603.53417824074</v>
      </c>
      <c r="C709" s="1" t="n">
        <v>46106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47407-2025</t>
        </is>
      </c>
      <c r="B710" s="1" t="n">
        <v>45930.61326388889</v>
      </c>
      <c r="C710" s="1" t="n">
        <v>46106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47403-2025</t>
        </is>
      </c>
      <c r="B711" s="1" t="n">
        <v>45930.60982638889</v>
      </c>
      <c r="C711" s="1" t="n">
        <v>46106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47838-2025</t>
        </is>
      </c>
      <c r="B712" s="1" t="n">
        <v>45931</v>
      </c>
      <c r="C712" s="1" t="n">
        <v>46106</v>
      </c>
      <c r="D712" t="inlineStr">
        <is>
          <t>DALARNAS LÄN</t>
        </is>
      </c>
      <c r="E712" t="inlineStr">
        <is>
          <t>FALUN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37456-2025</t>
        </is>
      </c>
      <c r="B713" s="1" t="n">
        <v>45877.56728009259</v>
      </c>
      <c r="C713" s="1" t="n">
        <v>46106</v>
      </c>
      <c r="D713" t="inlineStr">
        <is>
          <t>DALARNAS LÄN</t>
        </is>
      </c>
      <c r="E713" t="inlineStr">
        <is>
          <t>FALUN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7891-2024</t>
        </is>
      </c>
      <c r="B714" s="1" t="n">
        <v>45350.40842592593</v>
      </c>
      <c r="C714" s="1" t="n">
        <v>46106</v>
      </c>
      <c r="D714" t="inlineStr">
        <is>
          <t>DALARNAS LÄN</t>
        </is>
      </c>
      <c r="E714" t="inlineStr">
        <is>
          <t>FALUN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48309-2025</t>
        </is>
      </c>
      <c r="B715" s="1" t="n">
        <v>45933.61548611111</v>
      </c>
      <c r="C715" s="1" t="n">
        <v>46106</v>
      </c>
      <c r="D715" t="inlineStr">
        <is>
          <t>DALARNAS LÄN</t>
        </is>
      </c>
      <c r="E715" t="inlineStr">
        <is>
          <t>FALUN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44095-2024</t>
        </is>
      </c>
      <c r="B716" s="1" t="n">
        <v>45572</v>
      </c>
      <c r="C716" s="1" t="n">
        <v>46106</v>
      </c>
      <c r="D716" t="inlineStr">
        <is>
          <t>DALARNAS LÄN</t>
        </is>
      </c>
      <c r="E716" t="inlineStr">
        <is>
          <t>FALUN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24131-2022</t>
        </is>
      </c>
      <c r="B717" s="1" t="n">
        <v>44725</v>
      </c>
      <c r="C717" s="1" t="n">
        <v>46106</v>
      </c>
      <c r="D717" t="inlineStr">
        <is>
          <t>DALARNAS LÄN</t>
        </is>
      </c>
      <c r="E717" t="inlineStr">
        <is>
          <t>FALUN</t>
        </is>
      </c>
      <c r="F717" t="inlineStr">
        <is>
          <t>Kyrkan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17695-2025</t>
        </is>
      </c>
      <c r="B718" s="1" t="n">
        <v>45758</v>
      </c>
      <c r="C718" s="1" t="n">
        <v>46106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48304-2025</t>
        </is>
      </c>
      <c r="B719" s="1" t="n">
        <v>45933.6132175926</v>
      </c>
      <c r="C719" s="1" t="n">
        <v>46106</v>
      </c>
      <c r="D719" t="inlineStr">
        <is>
          <t>DALARNAS LÄN</t>
        </is>
      </c>
      <c r="E719" t="inlineStr">
        <is>
          <t>FALUN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33611-2024</t>
        </is>
      </c>
      <c r="B720" s="1" t="n">
        <v>45520.38844907407</v>
      </c>
      <c r="C720" s="1" t="n">
        <v>46106</v>
      </c>
      <c r="D720" t="inlineStr">
        <is>
          <t>DALARNAS LÄN</t>
        </is>
      </c>
      <c r="E720" t="inlineStr">
        <is>
          <t>FALUN</t>
        </is>
      </c>
      <c r="G720" t="n">
        <v>11.2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56279-2023</t>
        </is>
      </c>
      <c r="B721" s="1" t="n">
        <v>45241.68520833334</v>
      </c>
      <c r="C721" s="1" t="n">
        <v>46106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58819-2023</t>
        </is>
      </c>
      <c r="B722" s="1" t="n">
        <v>45252.38962962963</v>
      </c>
      <c r="C722" s="1" t="n">
        <v>46106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47945-2025</t>
        </is>
      </c>
      <c r="B723" s="1" t="n">
        <v>45932.573125</v>
      </c>
      <c r="C723" s="1" t="n">
        <v>46106</v>
      </c>
      <c r="D723" t="inlineStr">
        <is>
          <t>DALARNAS LÄN</t>
        </is>
      </c>
      <c r="E723" t="inlineStr">
        <is>
          <t>FALUN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47910-2025</t>
        </is>
      </c>
      <c r="B724" s="1" t="n">
        <v>45932.51163194444</v>
      </c>
      <c r="C724" s="1" t="n">
        <v>46106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141-2025</t>
        </is>
      </c>
      <c r="B725" s="1" t="n">
        <v>45659.58247685185</v>
      </c>
      <c r="C725" s="1" t="n">
        <v>46106</v>
      </c>
      <c r="D725" t="inlineStr">
        <is>
          <t>DALARNAS LÄN</t>
        </is>
      </c>
      <c r="E725" t="inlineStr">
        <is>
          <t>FALUN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48387-2025</t>
        </is>
      </c>
      <c r="B726" s="1" t="n">
        <v>45933.85835648148</v>
      </c>
      <c r="C726" s="1" t="n">
        <v>46106</v>
      </c>
      <c r="D726" t="inlineStr">
        <is>
          <t>DALARNAS LÄN</t>
        </is>
      </c>
      <c r="E726" t="inlineStr">
        <is>
          <t>FALUN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48866-2025</t>
        </is>
      </c>
      <c r="B727" s="1" t="n">
        <v>45937.44818287037</v>
      </c>
      <c r="C727" s="1" t="n">
        <v>46106</v>
      </c>
      <c r="D727" t="inlineStr">
        <is>
          <t>DALARNAS LÄN</t>
        </is>
      </c>
      <c r="E727" t="inlineStr">
        <is>
          <t>FALUN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49430-2025</t>
        </is>
      </c>
      <c r="B728" s="1" t="n">
        <v>45938.79863425926</v>
      </c>
      <c r="C728" s="1" t="n">
        <v>46106</v>
      </c>
      <c r="D728" t="inlineStr">
        <is>
          <t>DALARNAS LÄN</t>
        </is>
      </c>
      <c r="E728" t="inlineStr">
        <is>
          <t>FALUN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41664-2022</t>
        </is>
      </c>
      <c r="B729" s="1" t="n">
        <v>44827</v>
      </c>
      <c r="C729" s="1" t="n">
        <v>46106</v>
      </c>
      <c r="D729" t="inlineStr">
        <is>
          <t>DALARNAS LÄN</t>
        </is>
      </c>
      <c r="E729" t="inlineStr">
        <is>
          <t>FALUN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21747-2024</t>
        </is>
      </c>
      <c r="B730" s="1" t="n">
        <v>45442.5603125</v>
      </c>
      <c r="C730" s="1" t="n">
        <v>46106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37997-2025</t>
        </is>
      </c>
      <c r="B731" s="1" t="n">
        <v>45881.84025462963</v>
      </c>
      <c r="C731" s="1" t="n">
        <v>46106</v>
      </c>
      <c r="D731" t="inlineStr">
        <is>
          <t>DALARNAS LÄN</t>
        </is>
      </c>
      <c r="E731" t="inlineStr">
        <is>
          <t>FALUN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37999-2025</t>
        </is>
      </c>
      <c r="B732" s="1" t="n">
        <v>45881.86136574074</v>
      </c>
      <c r="C732" s="1" t="n">
        <v>46106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49134-2025</t>
        </is>
      </c>
      <c r="B733" s="1" t="n">
        <v>45937.92665509259</v>
      </c>
      <c r="C733" s="1" t="n">
        <v>46106</v>
      </c>
      <c r="D733" t="inlineStr">
        <is>
          <t>DALARNAS LÄN</t>
        </is>
      </c>
      <c r="E733" t="inlineStr">
        <is>
          <t>FALUN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49150-2025</t>
        </is>
      </c>
      <c r="B734" s="1" t="n">
        <v>45938.34032407407</v>
      </c>
      <c r="C734" s="1" t="n">
        <v>46106</v>
      </c>
      <c r="D734" t="inlineStr">
        <is>
          <t>DALARNAS LÄN</t>
        </is>
      </c>
      <c r="E734" t="inlineStr">
        <is>
          <t>FALUN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39710-2021</t>
        </is>
      </c>
      <c r="B735" s="1" t="n">
        <v>44417</v>
      </c>
      <c r="C735" s="1" t="n">
        <v>46106</v>
      </c>
      <c r="D735" t="inlineStr">
        <is>
          <t>DALARNAS LÄN</t>
        </is>
      </c>
      <c r="E735" t="inlineStr">
        <is>
          <t>FALUN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37998-2025</t>
        </is>
      </c>
      <c r="B736" s="1" t="n">
        <v>45881.85384259259</v>
      </c>
      <c r="C736" s="1" t="n">
        <v>46106</v>
      </c>
      <c r="D736" t="inlineStr">
        <is>
          <t>DALARNAS LÄN</t>
        </is>
      </c>
      <c r="E736" t="inlineStr">
        <is>
          <t>FALUN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39666-2024</t>
        </is>
      </c>
      <c r="B737" s="1" t="n">
        <v>45552</v>
      </c>
      <c r="C737" s="1" t="n">
        <v>46106</v>
      </c>
      <c r="D737" t="inlineStr">
        <is>
          <t>DALARNAS LÄN</t>
        </is>
      </c>
      <c r="E737" t="inlineStr">
        <is>
          <t>FALUN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43005-2022</t>
        </is>
      </c>
      <c r="B738" s="1" t="n">
        <v>44833.50582175926</v>
      </c>
      <c r="C738" s="1" t="n">
        <v>46106</v>
      </c>
      <c r="D738" t="inlineStr">
        <is>
          <t>DALARNAS LÄN</t>
        </is>
      </c>
      <c r="E738" t="inlineStr">
        <is>
          <t>FALUN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49002-2025</t>
        </is>
      </c>
      <c r="B739" s="1" t="n">
        <v>45937.59822916667</v>
      </c>
      <c r="C739" s="1" t="n">
        <v>46106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15816-2025</t>
        </is>
      </c>
      <c r="B740" s="1" t="n">
        <v>45748.67491898148</v>
      </c>
      <c r="C740" s="1" t="n">
        <v>46106</v>
      </c>
      <c r="D740" t="inlineStr">
        <is>
          <t>DALARNAS LÄN</t>
        </is>
      </c>
      <c r="E740" t="inlineStr">
        <is>
          <t>FALUN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1591-2025</t>
        </is>
      </c>
      <c r="B741" s="1" t="n">
        <v>45670.58081018519</v>
      </c>
      <c r="C741" s="1" t="n">
        <v>46106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49891-2025</t>
        </is>
      </c>
      <c r="B742" s="1" t="n">
        <v>45940.57618055555</v>
      </c>
      <c r="C742" s="1" t="n">
        <v>46106</v>
      </c>
      <c r="D742" t="inlineStr">
        <is>
          <t>DALARNAS LÄN</t>
        </is>
      </c>
      <c r="E742" t="inlineStr">
        <is>
          <t>FALUN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63383-2023</t>
        </is>
      </c>
      <c r="B743" s="1" t="n">
        <v>45274</v>
      </c>
      <c r="C743" s="1" t="n">
        <v>46106</v>
      </c>
      <c r="D743" t="inlineStr">
        <is>
          <t>DALARNAS LÄN</t>
        </is>
      </c>
      <c r="E743" t="inlineStr">
        <is>
          <t>FALUN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49905-2025</t>
        </is>
      </c>
      <c r="B744" s="1" t="n">
        <v>45940.59796296297</v>
      </c>
      <c r="C744" s="1" t="n">
        <v>46106</v>
      </c>
      <c r="D744" t="inlineStr">
        <is>
          <t>DALARNAS LÄN</t>
        </is>
      </c>
      <c r="E744" t="inlineStr">
        <is>
          <t>FALUN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50224-2025</t>
        </is>
      </c>
      <c r="B745" s="1" t="n">
        <v>45943.68886574074</v>
      </c>
      <c r="C745" s="1" t="n">
        <v>46106</v>
      </c>
      <c r="D745" t="inlineStr">
        <is>
          <t>DALARNAS LÄN</t>
        </is>
      </c>
      <c r="E745" t="inlineStr">
        <is>
          <t>FALUN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49877-2025</t>
        </is>
      </c>
      <c r="B746" s="1" t="n">
        <v>45940.5586574074</v>
      </c>
      <c r="C746" s="1" t="n">
        <v>46106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53073-2024</t>
        </is>
      </c>
      <c r="B747" s="1" t="n">
        <v>45611.48383101852</v>
      </c>
      <c r="C747" s="1" t="n">
        <v>46106</v>
      </c>
      <c r="D747" t="inlineStr">
        <is>
          <t>DALARNAS LÄN</t>
        </is>
      </c>
      <c r="E747" t="inlineStr">
        <is>
          <t>FALUN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50630-2025</t>
        </is>
      </c>
      <c r="B748" s="1" t="n">
        <v>45945.6441087963</v>
      </c>
      <c r="C748" s="1" t="n">
        <v>46106</v>
      </c>
      <c r="D748" t="inlineStr">
        <is>
          <t>DALARNAS LÄN</t>
        </is>
      </c>
      <c r="E748" t="inlineStr">
        <is>
          <t>FALUN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65056-2023</t>
        </is>
      </c>
      <c r="B749" s="1" t="n">
        <v>45287.56077546296</v>
      </c>
      <c r="C749" s="1" t="n">
        <v>46106</v>
      </c>
      <c r="D749" t="inlineStr">
        <is>
          <t>DALARNAS LÄN</t>
        </is>
      </c>
      <c r="E749" t="inlineStr">
        <is>
          <t>FALUN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39914-2024</t>
        </is>
      </c>
      <c r="B750" s="1" t="n">
        <v>45553.53113425926</v>
      </c>
      <c r="C750" s="1" t="n">
        <v>46106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29740-2025</t>
        </is>
      </c>
      <c r="B751" s="1" t="n">
        <v>45825.59111111111</v>
      </c>
      <c r="C751" s="1" t="n">
        <v>46106</v>
      </c>
      <c r="D751" t="inlineStr">
        <is>
          <t>DALARNAS LÄN</t>
        </is>
      </c>
      <c r="E751" t="inlineStr">
        <is>
          <t>FALUN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6070-2023</t>
        </is>
      </c>
      <c r="B752" s="1" t="n">
        <v>44964.5124074074</v>
      </c>
      <c r="C752" s="1" t="n">
        <v>46106</v>
      </c>
      <c r="D752" t="inlineStr">
        <is>
          <t>DALARNAS LÄN</t>
        </is>
      </c>
      <c r="E752" t="inlineStr">
        <is>
          <t>FALUN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38924-2025</t>
        </is>
      </c>
      <c r="B753" s="1" t="n">
        <v>45887.63130787037</v>
      </c>
      <c r="C753" s="1" t="n">
        <v>46106</v>
      </c>
      <c r="D753" t="inlineStr">
        <is>
          <t>DALARNAS LÄN</t>
        </is>
      </c>
      <c r="E753" t="inlineStr">
        <is>
          <t>FALUN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19967-2025</t>
        </is>
      </c>
      <c r="B754" s="1" t="n">
        <v>45771.68155092592</v>
      </c>
      <c r="C754" s="1" t="n">
        <v>46106</v>
      </c>
      <c r="D754" t="inlineStr">
        <is>
          <t>DALARNAS LÄN</t>
        </is>
      </c>
      <c r="E754" t="inlineStr">
        <is>
          <t>FALUN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50417-2025</t>
        </is>
      </c>
      <c r="B755" s="1" t="n">
        <v>45944.649375</v>
      </c>
      <c r="C755" s="1" t="n">
        <v>46106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50300-2025</t>
        </is>
      </c>
      <c r="B756" s="1" t="n">
        <v>45944.41258101852</v>
      </c>
      <c r="C756" s="1" t="n">
        <v>46106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39033-2024</t>
        </is>
      </c>
      <c r="B757" s="1" t="n">
        <v>45548</v>
      </c>
      <c r="C757" s="1" t="n">
        <v>46106</v>
      </c>
      <c r="D757" t="inlineStr">
        <is>
          <t>DALARNAS LÄN</t>
        </is>
      </c>
      <c r="E757" t="inlineStr">
        <is>
          <t>FALUN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27495-2022</t>
        </is>
      </c>
      <c r="B758" s="1" t="n">
        <v>44742</v>
      </c>
      <c r="C758" s="1" t="n">
        <v>46106</v>
      </c>
      <c r="D758" t="inlineStr">
        <is>
          <t>DALARNAS LÄN</t>
        </is>
      </c>
      <c r="E758" t="inlineStr">
        <is>
          <t>FALUN</t>
        </is>
      </c>
      <c r="F758" t="inlineStr">
        <is>
          <t>Kyrkan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14552-2025</t>
        </is>
      </c>
      <c r="B759" s="1" t="n">
        <v>45741</v>
      </c>
      <c r="C759" s="1" t="n">
        <v>46106</v>
      </c>
      <c r="D759" t="inlineStr">
        <is>
          <t>DALARNAS LÄN</t>
        </is>
      </c>
      <c r="E759" t="inlineStr">
        <is>
          <t>FALUN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26615-2022</t>
        </is>
      </c>
      <c r="B760" s="1" t="n">
        <v>44739</v>
      </c>
      <c r="C760" s="1" t="n">
        <v>46106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33931-2024</t>
        </is>
      </c>
      <c r="B761" s="1" t="n">
        <v>45523.43003472222</v>
      </c>
      <c r="C761" s="1" t="n">
        <v>46106</v>
      </c>
      <c r="D761" t="inlineStr">
        <is>
          <t>DALARNAS LÄN</t>
        </is>
      </c>
      <c r="E761" t="inlineStr">
        <is>
          <t>FALUN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33998-2024</t>
        </is>
      </c>
      <c r="B762" s="1" t="n">
        <v>45523.54817129629</v>
      </c>
      <c r="C762" s="1" t="n">
        <v>46106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48295-2025</t>
        </is>
      </c>
      <c r="B763" s="1" t="n">
        <v>45933</v>
      </c>
      <c r="C763" s="1" t="n">
        <v>46106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51306-2025</t>
        </is>
      </c>
      <c r="B764" s="1" t="n">
        <v>45950.3656712963</v>
      </c>
      <c r="C764" s="1" t="n">
        <v>46106</v>
      </c>
      <c r="D764" t="inlineStr">
        <is>
          <t>DALARNAS LÄN</t>
        </is>
      </c>
      <c r="E764" t="inlineStr">
        <is>
          <t>FALUN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51568-2025</t>
        </is>
      </c>
      <c r="B765" s="1" t="n">
        <v>45951.32380787037</v>
      </c>
      <c r="C765" s="1" t="n">
        <v>46106</v>
      </c>
      <c r="D765" t="inlineStr">
        <is>
          <t>DALARNAS LÄN</t>
        </is>
      </c>
      <c r="E765" t="inlineStr">
        <is>
          <t>FALUN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22484-2024</t>
        </is>
      </c>
      <c r="B766" s="1" t="n">
        <v>45446.96997685185</v>
      </c>
      <c r="C766" s="1" t="n">
        <v>46106</v>
      </c>
      <c r="D766" t="inlineStr">
        <is>
          <t>DALARNAS LÄN</t>
        </is>
      </c>
      <c r="E766" t="inlineStr">
        <is>
          <t>FALUN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52279-2025</t>
        </is>
      </c>
      <c r="B767" s="1" t="n">
        <v>45953.56828703704</v>
      </c>
      <c r="C767" s="1" t="n">
        <v>46106</v>
      </c>
      <c r="D767" t="inlineStr">
        <is>
          <t>DALARNAS LÄN</t>
        </is>
      </c>
      <c r="E767" t="inlineStr">
        <is>
          <t>FALUN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16334-2023</t>
        </is>
      </c>
      <c r="B768" s="1" t="n">
        <v>45028</v>
      </c>
      <c r="C768" s="1" t="n">
        <v>46106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52271-2025</t>
        </is>
      </c>
      <c r="B769" s="1" t="n">
        <v>45953.54445601852</v>
      </c>
      <c r="C769" s="1" t="n">
        <v>46106</v>
      </c>
      <c r="D769" t="inlineStr">
        <is>
          <t>DALARNAS LÄN</t>
        </is>
      </c>
      <c r="E769" t="inlineStr">
        <is>
          <t>FALUN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15999-2024</t>
        </is>
      </c>
      <c r="B770" s="1" t="n">
        <v>45405.61724537037</v>
      </c>
      <c r="C770" s="1" t="n">
        <v>46106</v>
      </c>
      <c r="D770" t="inlineStr">
        <is>
          <t>DALARNAS LÄN</t>
        </is>
      </c>
      <c r="E770" t="inlineStr">
        <is>
          <t>FALUN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43266-2023</t>
        </is>
      </c>
      <c r="B771" s="1" t="n">
        <v>45183.51255787037</v>
      </c>
      <c r="C771" s="1" t="n">
        <v>46106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17507-2025</t>
        </is>
      </c>
      <c r="B772" s="1" t="n">
        <v>45757</v>
      </c>
      <c r="C772" s="1" t="n">
        <v>46106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16092-2025</t>
        </is>
      </c>
      <c r="B773" s="1" t="n">
        <v>45749.9131712963</v>
      </c>
      <c r="C773" s="1" t="n">
        <v>46106</v>
      </c>
      <c r="D773" t="inlineStr">
        <is>
          <t>DALARNAS LÄN</t>
        </is>
      </c>
      <c r="E773" t="inlineStr">
        <is>
          <t>FALUN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52460-2025</t>
        </is>
      </c>
      <c r="B774" s="1" t="n">
        <v>45954.4345949074</v>
      </c>
      <c r="C774" s="1" t="n">
        <v>46106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52752-2025</t>
        </is>
      </c>
      <c r="B775" s="1" t="n">
        <v>45957.38789351852</v>
      </c>
      <c r="C775" s="1" t="n">
        <v>46106</v>
      </c>
      <c r="D775" t="inlineStr">
        <is>
          <t>DALARNAS LÄN</t>
        </is>
      </c>
      <c r="E775" t="inlineStr">
        <is>
          <t>FALUN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58322-2023</t>
        </is>
      </c>
      <c r="B776" s="1" t="n">
        <v>45250</v>
      </c>
      <c r="C776" s="1" t="n">
        <v>46106</v>
      </c>
      <c r="D776" t="inlineStr">
        <is>
          <t>DALARNAS LÄN</t>
        </is>
      </c>
      <c r="E776" t="inlineStr">
        <is>
          <t>FALUN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52836-2025</t>
        </is>
      </c>
      <c r="B777" s="1" t="n">
        <v>45957.47209490741</v>
      </c>
      <c r="C777" s="1" t="n">
        <v>46106</v>
      </c>
      <c r="D777" t="inlineStr">
        <is>
          <t>DALARNAS LÄN</t>
        </is>
      </c>
      <c r="E777" t="inlineStr">
        <is>
          <t>FALUN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63723-2023</t>
        </is>
      </c>
      <c r="B778" s="1" t="n">
        <v>45276.37109953703</v>
      </c>
      <c r="C778" s="1" t="n">
        <v>46106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74196-2021</t>
        </is>
      </c>
      <c r="B779" s="1" t="n">
        <v>44558</v>
      </c>
      <c r="C779" s="1" t="n">
        <v>46106</v>
      </c>
      <c r="D779" t="inlineStr">
        <is>
          <t>DALARNAS LÄN</t>
        </is>
      </c>
      <c r="E779" t="inlineStr">
        <is>
          <t>FALUN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40426-2022</t>
        </is>
      </c>
      <c r="B780" s="1" t="n">
        <v>44823.46959490741</v>
      </c>
      <c r="C780" s="1" t="n">
        <v>46106</v>
      </c>
      <c r="D780" t="inlineStr">
        <is>
          <t>DALARNAS LÄN</t>
        </is>
      </c>
      <c r="E780" t="inlineStr">
        <is>
          <t>FALUN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52605-2025</t>
        </is>
      </c>
      <c r="B781" s="1" t="n">
        <v>45954.65809027778</v>
      </c>
      <c r="C781" s="1" t="n">
        <v>46106</v>
      </c>
      <c r="D781" t="inlineStr">
        <is>
          <t>DALARNAS LÄN</t>
        </is>
      </c>
      <c r="E781" t="inlineStr">
        <is>
          <t>FALUN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52615-2021</t>
        </is>
      </c>
      <c r="B782" s="1" t="n">
        <v>44466</v>
      </c>
      <c r="C782" s="1" t="n">
        <v>46106</v>
      </c>
      <c r="D782" t="inlineStr">
        <is>
          <t>DALARNAS LÄN</t>
        </is>
      </c>
      <c r="E782" t="inlineStr">
        <is>
          <t>FALUN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53202-2025</t>
        </is>
      </c>
      <c r="B783" s="1" t="n">
        <v>45958.57608796296</v>
      </c>
      <c r="C783" s="1" t="n">
        <v>46106</v>
      </c>
      <c r="D783" t="inlineStr">
        <is>
          <t>DALARNAS LÄN</t>
        </is>
      </c>
      <c r="E783" t="inlineStr">
        <is>
          <t>FALUN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63842-2023</t>
        </is>
      </c>
      <c r="B784" s="1" t="n">
        <v>45278.47667824074</v>
      </c>
      <c r="C784" s="1" t="n">
        <v>46106</v>
      </c>
      <c r="D784" t="inlineStr">
        <is>
          <t>DALARNAS LÄN</t>
        </is>
      </c>
      <c r="E784" t="inlineStr">
        <is>
          <t>FALUN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746-2025</t>
        </is>
      </c>
      <c r="B785" s="1" t="n">
        <v>45665.43957175926</v>
      </c>
      <c r="C785" s="1" t="n">
        <v>46106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53454-2025</t>
        </is>
      </c>
      <c r="B786" s="1" t="n">
        <v>45959.66145833334</v>
      </c>
      <c r="C786" s="1" t="n">
        <v>46106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2554-2025</t>
        </is>
      </c>
      <c r="B787" s="1" t="n">
        <v>45674.64569444444</v>
      </c>
      <c r="C787" s="1" t="n">
        <v>46106</v>
      </c>
      <c r="D787" t="inlineStr">
        <is>
          <t>DALARNAS LÄN</t>
        </is>
      </c>
      <c r="E787" t="inlineStr">
        <is>
          <t>FALUN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42292-2023</t>
        </is>
      </c>
      <c r="B788" s="1" t="n">
        <v>45180</v>
      </c>
      <c r="C788" s="1" t="n">
        <v>46106</v>
      </c>
      <c r="D788" t="inlineStr">
        <is>
          <t>DALARNAS LÄN</t>
        </is>
      </c>
      <c r="E788" t="inlineStr">
        <is>
          <t>FALUN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43236-2024</t>
        </is>
      </c>
      <c r="B789" s="1" t="n">
        <v>45567.93851851852</v>
      </c>
      <c r="C789" s="1" t="n">
        <v>46106</v>
      </c>
      <c r="D789" t="inlineStr">
        <is>
          <t>DALARNAS LÄN</t>
        </is>
      </c>
      <c r="E789" t="inlineStr">
        <is>
          <t>FALUN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40953-2023</t>
        </is>
      </c>
      <c r="B790" s="1" t="n">
        <v>45173</v>
      </c>
      <c r="C790" s="1" t="n">
        <v>46106</v>
      </c>
      <c r="D790" t="inlineStr">
        <is>
          <t>DALARNAS LÄN</t>
        </is>
      </c>
      <c r="E790" t="inlineStr">
        <is>
          <t>FALUN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53200-2025</t>
        </is>
      </c>
      <c r="B791" s="1" t="n">
        <v>45958.57474537037</v>
      </c>
      <c r="C791" s="1" t="n">
        <v>46106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27445-2025</t>
        </is>
      </c>
      <c r="B792" s="1" t="n">
        <v>45813</v>
      </c>
      <c r="C792" s="1" t="n">
        <v>46106</v>
      </c>
      <c r="D792" t="inlineStr">
        <is>
          <t>DALARNAS LÄN</t>
        </is>
      </c>
      <c r="E792" t="inlineStr">
        <is>
          <t>FALUN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54626-2024</t>
        </is>
      </c>
      <c r="B793" s="1" t="n">
        <v>45617.81964120371</v>
      </c>
      <c r="C793" s="1" t="n">
        <v>46106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20141-2021</t>
        </is>
      </c>
      <c r="B794" s="1" t="n">
        <v>44314</v>
      </c>
      <c r="C794" s="1" t="n">
        <v>46106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25894-2025</t>
        </is>
      </c>
      <c r="B795" s="1" t="n">
        <v>45804.54371527778</v>
      </c>
      <c r="C795" s="1" t="n">
        <v>46106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14688-2023</t>
        </is>
      </c>
      <c r="B796" s="1" t="n">
        <v>45014.34444444445</v>
      </c>
      <c r="C796" s="1" t="n">
        <v>46106</v>
      </c>
      <c r="D796" t="inlineStr">
        <is>
          <t>DALARNAS LÄN</t>
        </is>
      </c>
      <c r="E796" t="inlineStr">
        <is>
          <t>FALUN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53996-2025</t>
        </is>
      </c>
      <c r="B797" s="1" t="n">
        <v>45961.58828703704</v>
      </c>
      <c r="C797" s="1" t="n">
        <v>46106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54335-2025</t>
        </is>
      </c>
      <c r="B798" s="1" t="n">
        <v>45965.35204861111</v>
      </c>
      <c r="C798" s="1" t="n">
        <v>46106</v>
      </c>
      <c r="D798" t="inlineStr">
        <is>
          <t>DALARNAS LÄN</t>
        </is>
      </c>
      <c r="E798" t="inlineStr">
        <is>
          <t>FALUN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54340-2025</t>
        </is>
      </c>
      <c r="B799" s="1" t="n">
        <v>45965.35895833333</v>
      </c>
      <c r="C799" s="1" t="n">
        <v>46106</v>
      </c>
      <c r="D799" t="inlineStr">
        <is>
          <t>DALARNAS LÄN</t>
        </is>
      </c>
      <c r="E799" t="inlineStr">
        <is>
          <t>FALUN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59799-2024</t>
        </is>
      </c>
      <c r="B800" s="1" t="n">
        <v>45639.59391203704</v>
      </c>
      <c r="C800" s="1" t="n">
        <v>46106</v>
      </c>
      <c r="D800" t="inlineStr">
        <is>
          <t>DALARNAS LÄN</t>
        </is>
      </c>
      <c r="E800" t="inlineStr">
        <is>
          <t>FALUN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54566-2025</t>
        </is>
      </c>
      <c r="B801" s="1" t="n">
        <v>45965</v>
      </c>
      <c r="C801" s="1" t="n">
        <v>46106</v>
      </c>
      <c r="D801" t="inlineStr">
        <is>
          <t>DALARNAS LÄN</t>
        </is>
      </c>
      <c r="E801" t="inlineStr">
        <is>
          <t>FALUN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56149-2022</t>
        </is>
      </c>
      <c r="B802" s="1" t="n">
        <v>44889</v>
      </c>
      <c r="C802" s="1" t="n">
        <v>46106</v>
      </c>
      <c r="D802" t="inlineStr">
        <is>
          <t>DALARNAS LÄN</t>
        </is>
      </c>
      <c r="E802" t="inlineStr">
        <is>
          <t>FALUN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54839-2025</t>
        </is>
      </c>
      <c r="B803" s="1" t="n">
        <v>45966.68412037037</v>
      </c>
      <c r="C803" s="1" t="n">
        <v>46106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22784-2024</t>
        </is>
      </c>
      <c r="B804" s="1" t="n">
        <v>45448.48077546297</v>
      </c>
      <c r="C804" s="1" t="n">
        <v>46106</v>
      </c>
      <c r="D804" t="inlineStr">
        <is>
          <t>DALARNAS LÄN</t>
        </is>
      </c>
      <c r="E804" t="inlineStr">
        <is>
          <t>FALUN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1088-2024</t>
        </is>
      </c>
      <c r="B805" s="1" t="n">
        <v>45302.3704050926</v>
      </c>
      <c r="C805" s="1" t="n">
        <v>46106</v>
      </c>
      <c r="D805" t="inlineStr">
        <is>
          <t>DALARNAS LÄN</t>
        </is>
      </c>
      <c r="E805" t="inlineStr">
        <is>
          <t>FALUN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55047-2025</t>
        </is>
      </c>
      <c r="B806" s="1" t="n">
        <v>45967.66421296296</v>
      </c>
      <c r="C806" s="1" t="n">
        <v>46106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17424-2025</t>
        </is>
      </c>
      <c r="B807" s="1" t="n">
        <v>45757.39393518519</v>
      </c>
      <c r="C807" s="1" t="n">
        <v>46106</v>
      </c>
      <c r="D807" t="inlineStr">
        <is>
          <t>DALARNAS LÄN</t>
        </is>
      </c>
      <c r="E807" t="inlineStr">
        <is>
          <t>FALUN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36425-2022</t>
        </is>
      </c>
      <c r="B808" s="1" t="n">
        <v>44804</v>
      </c>
      <c r="C808" s="1" t="n">
        <v>46106</v>
      </c>
      <c r="D808" t="inlineStr">
        <is>
          <t>DALARNAS LÄN</t>
        </is>
      </c>
      <c r="E808" t="inlineStr">
        <is>
          <t>FALUN</t>
        </is>
      </c>
      <c r="F808" t="inlineStr">
        <is>
          <t>Övriga statliga verk och myndigheter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36080-2024</t>
        </is>
      </c>
      <c r="B809" s="1" t="n">
        <v>45533.66743055556</v>
      </c>
      <c r="C809" s="1" t="n">
        <v>46106</v>
      </c>
      <c r="D809" t="inlineStr">
        <is>
          <t>DALARNAS LÄN</t>
        </is>
      </c>
      <c r="E809" t="inlineStr">
        <is>
          <t>FALUN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49969-2024</t>
        </is>
      </c>
      <c r="B810" s="1" t="n">
        <v>45597.63780092593</v>
      </c>
      <c r="C810" s="1" t="n">
        <v>46106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55201-2025</t>
        </is>
      </c>
      <c r="B811" s="1" t="n">
        <v>45968.5665625</v>
      </c>
      <c r="C811" s="1" t="n">
        <v>46106</v>
      </c>
      <c r="D811" t="inlineStr">
        <is>
          <t>DALARNAS LÄN</t>
        </is>
      </c>
      <c r="E811" t="inlineStr">
        <is>
          <t>FALUN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35379-2022</t>
        </is>
      </c>
      <c r="B812" s="1" t="n">
        <v>44798.58018518519</v>
      </c>
      <c r="C812" s="1" t="n">
        <v>46106</v>
      </c>
      <c r="D812" t="inlineStr">
        <is>
          <t>DALARNAS LÄN</t>
        </is>
      </c>
      <c r="E812" t="inlineStr">
        <is>
          <t>FALUN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55516-2025</t>
        </is>
      </c>
      <c r="B813" s="1" t="n">
        <v>45971.60277777778</v>
      </c>
      <c r="C813" s="1" t="n">
        <v>46106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55140-2025</t>
        </is>
      </c>
      <c r="B814" s="1" t="n">
        <v>45968</v>
      </c>
      <c r="C814" s="1" t="n">
        <v>46106</v>
      </c>
      <c r="D814" t="inlineStr">
        <is>
          <t>DALARNAS LÄN</t>
        </is>
      </c>
      <c r="E814" t="inlineStr">
        <is>
          <t>FALUN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14756-2025</t>
        </is>
      </c>
      <c r="B815" s="1" t="n">
        <v>45742.66762731481</v>
      </c>
      <c r="C815" s="1" t="n">
        <v>46106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55985-2025</t>
        </is>
      </c>
      <c r="B816" s="1" t="n">
        <v>45973.54806712963</v>
      </c>
      <c r="C816" s="1" t="n">
        <v>46106</v>
      </c>
      <c r="D816" t="inlineStr">
        <is>
          <t>DALARNAS LÄN</t>
        </is>
      </c>
      <c r="E816" t="inlineStr">
        <is>
          <t>FALUN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43193-2024</t>
        </is>
      </c>
      <c r="B817" s="1" t="n">
        <v>45567.67582175926</v>
      </c>
      <c r="C817" s="1" t="n">
        <v>46106</v>
      </c>
      <c r="D817" t="inlineStr">
        <is>
          <t>DALARNAS LÄN</t>
        </is>
      </c>
      <c r="E817" t="inlineStr">
        <is>
          <t>FALUN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55989-2025</t>
        </is>
      </c>
      <c r="B818" s="1" t="n">
        <v>45973.55604166666</v>
      </c>
      <c r="C818" s="1" t="n">
        <v>46106</v>
      </c>
      <c r="D818" t="inlineStr">
        <is>
          <t>DALARNAS LÄN</t>
        </is>
      </c>
      <c r="E818" t="inlineStr">
        <is>
          <t>FALUN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47343-2024</t>
        </is>
      </c>
      <c r="B819" s="1" t="n">
        <v>45587.40817129629</v>
      </c>
      <c r="C819" s="1" t="n">
        <v>46106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2745-2025</t>
        </is>
      </c>
      <c r="B820" s="1" t="n">
        <v>45677.46194444445</v>
      </c>
      <c r="C820" s="1" t="n">
        <v>46106</v>
      </c>
      <c r="D820" t="inlineStr">
        <is>
          <t>DALARNAS LÄN</t>
        </is>
      </c>
      <c r="E820" t="inlineStr">
        <is>
          <t>FALUN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55724-2025</t>
        </is>
      </c>
      <c r="B821" s="1" t="n">
        <v>45972.53078703704</v>
      </c>
      <c r="C821" s="1" t="n">
        <v>46106</v>
      </c>
      <c r="D821" t="inlineStr">
        <is>
          <t>DALARNAS LÄN</t>
        </is>
      </c>
      <c r="E821" t="inlineStr">
        <is>
          <t>FALUN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21744-2021</t>
        </is>
      </c>
      <c r="B822" s="1" t="n">
        <v>44322.54041666666</v>
      </c>
      <c r="C822" s="1" t="n">
        <v>46106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29844-2022</t>
        </is>
      </c>
      <c r="B823" s="1" t="n">
        <v>44755</v>
      </c>
      <c r="C823" s="1" t="n">
        <v>46106</v>
      </c>
      <c r="D823" t="inlineStr">
        <is>
          <t>DALARNAS LÄN</t>
        </is>
      </c>
      <c r="E823" t="inlineStr">
        <is>
          <t>FALUN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23323-2024</t>
        </is>
      </c>
      <c r="B824" s="1" t="n">
        <v>45453</v>
      </c>
      <c r="C824" s="1" t="n">
        <v>46106</v>
      </c>
      <c r="D824" t="inlineStr">
        <is>
          <t>DALARNAS LÄN</t>
        </is>
      </c>
      <c r="E824" t="inlineStr">
        <is>
          <t>FALUN</t>
        </is>
      </c>
      <c r="F824" t="inlineStr">
        <is>
          <t>Övriga statliga verk och myndigheter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46200-2023</t>
        </is>
      </c>
      <c r="B825" s="1" t="n">
        <v>45196</v>
      </c>
      <c r="C825" s="1" t="n">
        <v>46106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17224-2025</t>
        </is>
      </c>
      <c r="B826" s="1" t="n">
        <v>45756.45913194444</v>
      </c>
      <c r="C826" s="1" t="n">
        <v>46106</v>
      </c>
      <c r="D826" t="inlineStr">
        <is>
          <t>DALARNAS LÄN</t>
        </is>
      </c>
      <c r="E826" t="inlineStr">
        <is>
          <t>FALUN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3689-2022</t>
        </is>
      </c>
      <c r="B827" s="1" t="n">
        <v>44586.57684027778</v>
      </c>
      <c r="C827" s="1" t="n">
        <v>46106</v>
      </c>
      <c r="D827" t="inlineStr">
        <is>
          <t>DALARNAS LÄN</t>
        </is>
      </c>
      <c r="E827" t="inlineStr">
        <is>
          <t>FALUN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56913-2025</t>
        </is>
      </c>
      <c r="B828" s="1" t="n">
        <v>45978.58047453704</v>
      </c>
      <c r="C828" s="1" t="n">
        <v>46106</v>
      </c>
      <c r="D828" t="inlineStr">
        <is>
          <t>DALARNAS LÄN</t>
        </is>
      </c>
      <c r="E828" t="inlineStr">
        <is>
          <t>FALUN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56924-2025</t>
        </is>
      </c>
      <c r="B829" s="1" t="n">
        <v>45978.60094907408</v>
      </c>
      <c r="C829" s="1" t="n">
        <v>46106</v>
      </c>
      <c r="D829" t="inlineStr">
        <is>
          <t>DALARNAS LÄN</t>
        </is>
      </c>
      <c r="E829" t="inlineStr">
        <is>
          <t>FALUN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56931-2025</t>
        </is>
      </c>
      <c r="B830" s="1" t="n">
        <v>45978.60877314815</v>
      </c>
      <c r="C830" s="1" t="n">
        <v>46106</v>
      </c>
      <c r="D830" t="inlineStr">
        <is>
          <t>DALARNAS LÄN</t>
        </is>
      </c>
      <c r="E830" t="inlineStr">
        <is>
          <t>FALUN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57059-2025</t>
        </is>
      </c>
      <c r="B831" s="1" t="n">
        <v>45979.36890046296</v>
      </c>
      <c r="C831" s="1" t="n">
        <v>46106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56906-2025</t>
        </is>
      </c>
      <c r="B832" s="1" t="n">
        <v>45978.57512731481</v>
      </c>
      <c r="C832" s="1" t="n">
        <v>46106</v>
      </c>
      <c r="D832" t="inlineStr">
        <is>
          <t>DALARNAS LÄN</t>
        </is>
      </c>
      <c r="E832" t="inlineStr">
        <is>
          <t>FALUN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56887-2025</t>
        </is>
      </c>
      <c r="B833" s="1" t="n">
        <v>45978.55947916667</v>
      </c>
      <c r="C833" s="1" t="n">
        <v>46106</v>
      </c>
      <c r="D833" t="inlineStr">
        <is>
          <t>DALARNAS LÄN</t>
        </is>
      </c>
      <c r="E833" t="inlineStr">
        <is>
          <t>FALUN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56894-2025</t>
        </is>
      </c>
      <c r="B834" s="1" t="n">
        <v>45978.56789351852</v>
      </c>
      <c r="C834" s="1" t="n">
        <v>46106</v>
      </c>
      <c r="D834" t="inlineStr">
        <is>
          <t>DALARNAS LÄN</t>
        </is>
      </c>
      <c r="E834" t="inlineStr">
        <is>
          <t>FALUN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56962-2025</t>
        </is>
      </c>
      <c r="B835" s="1" t="n">
        <v>45978.66276620371</v>
      </c>
      <c r="C835" s="1" t="n">
        <v>46106</v>
      </c>
      <c r="D835" t="inlineStr">
        <is>
          <t>DALARNAS LÄN</t>
        </is>
      </c>
      <c r="E835" t="inlineStr">
        <is>
          <t>FALUN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57304-2025</t>
        </is>
      </c>
      <c r="B836" s="1" t="n">
        <v>45979.93065972222</v>
      </c>
      <c r="C836" s="1" t="n">
        <v>46106</v>
      </c>
      <c r="D836" t="inlineStr">
        <is>
          <t>DALARNAS LÄN</t>
        </is>
      </c>
      <c r="E836" t="inlineStr">
        <is>
          <t>FALUN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57305-2025</t>
        </is>
      </c>
      <c r="B837" s="1" t="n">
        <v>45979.93915509259</v>
      </c>
      <c r="C837" s="1" t="n">
        <v>46106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47768-2024</t>
        </is>
      </c>
      <c r="B838" s="1" t="n">
        <v>45588.56266203704</v>
      </c>
      <c r="C838" s="1" t="n">
        <v>46106</v>
      </c>
      <c r="D838" t="inlineStr">
        <is>
          <t>DALARNAS LÄN</t>
        </is>
      </c>
      <c r="E838" t="inlineStr">
        <is>
          <t>FALUN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57544-2025</t>
        </is>
      </c>
      <c r="B839" s="1" t="n">
        <v>45980.65521990741</v>
      </c>
      <c r="C839" s="1" t="n">
        <v>46106</v>
      </c>
      <c r="D839" t="inlineStr">
        <is>
          <t>DALARNAS LÄN</t>
        </is>
      </c>
      <c r="E839" t="inlineStr">
        <is>
          <t>FALUN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13583-2022</t>
        </is>
      </c>
      <c r="B840" s="1" t="n">
        <v>44648</v>
      </c>
      <c r="C840" s="1" t="n">
        <v>46106</v>
      </c>
      <c r="D840" t="inlineStr">
        <is>
          <t>DALARNAS LÄN</t>
        </is>
      </c>
      <c r="E840" t="inlineStr">
        <is>
          <t>FALUN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32571-2024</t>
        </is>
      </c>
      <c r="B841" s="1" t="n">
        <v>45513</v>
      </c>
      <c r="C841" s="1" t="n">
        <v>46106</v>
      </c>
      <c r="D841" t="inlineStr">
        <is>
          <t>DALARNAS LÄN</t>
        </is>
      </c>
      <c r="E841" t="inlineStr">
        <is>
          <t>FALUN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17297-2021</t>
        </is>
      </c>
      <c r="B842" s="1" t="n">
        <v>44298.60944444445</v>
      </c>
      <c r="C842" s="1" t="n">
        <v>46106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HYPERLINK("https://klasma.github.io/Logging_2080/knärot/A 17297-2021 karta knärot.png", "A 17297-2021")</f>
        <v/>
      </c>
      <c r="V842">
        <f>HYPERLINK("https://klasma.github.io/Logging_2080/klagomål/A 17297-2021 FSC-klagomål.docx", "A 17297-2021")</f>
        <v/>
      </c>
      <c r="W842">
        <f>HYPERLINK("https://klasma.github.io/Logging_2080/klagomålsmail/A 17297-2021 FSC-klagomål mail.docx", "A 17297-2021")</f>
        <v/>
      </c>
      <c r="X842">
        <f>HYPERLINK("https://klasma.github.io/Logging_2080/tillsyn/A 17297-2021 tillsynsbegäran.docx", "A 17297-2021")</f>
        <v/>
      </c>
      <c r="Y842">
        <f>HYPERLINK("https://klasma.github.io/Logging_2080/tillsynsmail/A 17297-2021 tillsynsbegäran mail.docx", "A 17297-2021")</f>
        <v/>
      </c>
    </row>
    <row r="843" ht="15" customHeight="1">
      <c r="A843" t="inlineStr">
        <is>
          <t>A 57500-2025</t>
        </is>
      </c>
      <c r="B843" s="1" t="n">
        <v>45980.58920138889</v>
      </c>
      <c r="C843" s="1" t="n">
        <v>46106</v>
      </c>
      <c r="D843" t="inlineStr">
        <is>
          <t>DALARNAS LÄN</t>
        </is>
      </c>
      <c r="E843" t="inlineStr">
        <is>
          <t>FALUN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18050-2023</t>
        </is>
      </c>
      <c r="B844" s="1" t="n">
        <v>45040</v>
      </c>
      <c r="C844" s="1" t="n">
        <v>46106</v>
      </c>
      <c r="D844" t="inlineStr">
        <is>
          <t>DALARNAS LÄN</t>
        </is>
      </c>
      <c r="E844" t="inlineStr">
        <is>
          <t>FALUN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47633-2022</t>
        </is>
      </c>
      <c r="B845" s="1" t="n">
        <v>44854.41751157407</v>
      </c>
      <c r="C845" s="1" t="n">
        <v>46106</v>
      </c>
      <c r="D845" t="inlineStr">
        <is>
          <t>DALARNAS LÄN</t>
        </is>
      </c>
      <c r="E845" t="inlineStr">
        <is>
          <t>FALUN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57954-2025</t>
        </is>
      </c>
      <c r="B846" s="1" t="n">
        <v>45982.3503587963</v>
      </c>
      <c r="C846" s="1" t="n">
        <v>46106</v>
      </c>
      <c r="D846" t="inlineStr">
        <is>
          <t>DALARNAS LÄN</t>
        </is>
      </c>
      <c r="E846" t="inlineStr">
        <is>
          <t>FALUN</t>
        </is>
      </c>
      <c r="G846" t="n">
        <v>15.1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57955-2025</t>
        </is>
      </c>
      <c r="B847" s="1" t="n">
        <v>45982.35270833333</v>
      </c>
      <c r="C847" s="1" t="n">
        <v>46106</v>
      </c>
      <c r="D847" t="inlineStr">
        <is>
          <t>DALARNAS LÄN</t>
        </is>
      </c>
      <c r="E847" t="inlineStr">
        <is>
          <t>FALUN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58181-2025</t>
        </is>
      </c>
      <c r="B848" s="1" t="n">
        <v>45982</v>
      </c>
      <c r="C848" s="1" t="n">
        <v>46106</v>
      </c>
      <c r="D848" t="inlineStr">
        <is>
          <t>DALARNAS LÄN</t>
        </is>
      </c>
      <c r="E848" t="inlineStr">
        <is>
          <t>FALUN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11748-2025</t>
        </is>
      </c>
      <c r="B849" s="1" t="n">
        <v>45727</v>
      </c>
      <c r="C849" s="1" t="n">
        <v>46106</v>
      </c>
      <c r="D849" t="inlineStr">
        <is>
          <t>DALARNAS LÄN</t>
        </is>
      </c>
      <c r="E849" t="inlineStr">
        <is>
          <t>FALUN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27885-2023</t>
        </is>
      </c>
      <c r="B850" s="1" t="n">
        <v>45098.60805555555</v>
      </c>
      <c r="C850" s="1" t="n">
        <v>46106</v>
      </c>
      <c r="D850" t="inlineStr">
        <is>
          <t>DALARNAS LÄN</t>
        </is>
      </c>
      <c r="E850" t="inlineStr">
        <is>
          <t>FALUN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53703-2023</t>
        </is>
      </c>
      <c r="B851" s="1" t="n">
        <v>45224</v>
      </c>
      <c r="C851" s="1" t="n">
        <v>46106</v>
      </c>
      <c r="D851" t="inlineStr">
        <is>
          <t>DALARNAS LÄN</t>
        </is>
      </c>
      <c r="E851" t="inlineStr">
        <is>
          <t>FALUN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58011-2025</t>
        </is>
      </c>
      <c r="B852" s="1" t="n">
        <v>45982.46353009259</v>
      </c>
      <c r="C852" s="1" t="n">
        <v>46106</v>
      </c>
      <c r="D852" t="inlineStr">
        <is>
          <t>DALARNAS LÄN</t>
        </is>
      </c>
      <c r="E852" t="inlineStr">
        <is>
          <t>FALUN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59326-2024</t>
        </is>
      </c>
      <c r="B853" s="1" t="n">
        <v>45637.72605324074</v>
      </c>
      <c r="C853" s="1" t="n">
        <v>46106</v>
      </c>
      <c r="D853" t="inlineStr">
        <is>
          <t>DALARNAS LÄN</t>
        </is>
      </c>
      <c r="E853" t="inlineStr">
        <is>
          <t>FALUN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22658-2021</t>
        </is>
      </c>
      <c r="B854" s="1" t="n">
        <v>44327.53788194444</v>
      </c>
      <c r="C854" s="1" t="n">
        <v>46106</v>
      </c>
      <c r="D854" t="inlineStr">
        <is>
          <t>DALARNAS LÄN</t>
        </is>
      </c>
      <c r="E854" t="inlineStr">
        <is>
          <t>FALUN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56642-2024</t>
        </is>
      </c>
      <c r="B855" s="1" t="n">
        <v>45625.7271412037</v>
      </c>
      <c r="C855" s="1" t="n">
        <v>46106</v>
      </c>
      <c r="D855" t="inlineStr">
        <is>
          <t>DALARNAS LÄN</t>
        </is>
      </c>
      <c r="E855" t="inlineStr">
        <is>
          <t>FALUN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58679-2025</t>
        </is>
      </c>
      <c r="B856" s="1" t="n">
        <v>45986</v>
      </c>
      <c r="C856" s="1" t="n">
        <v>46106</v>
      </c>
      <c r="D856" t="inlineStr">
        <is>
          <t>DALARNAS LÄN</t>
        </is>
      </c>
      <c r="E856" t="inlineStr">
        <is>
          <t>FALUN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58914-2025</t>
        </is>
      </c>
      <c r="B857" s="1" t="n">
        <v>45987.52473379629</v>
      </c>
      <c r="C857" s="1" t="n">
        <v>46106</v>
      </c>
      <c r="D857" t="inlineStr">
        <is>
          <t>DALARNAS LÄN</t>
        </is>
      </c>
      <c r="E857" t="inlineStr">
        <is>
          <t>FALUN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17149-2025</t>
        </is>
      </c>
      <c r="B858" s="1" t="n">
        <v>45756.31309027778</v>
      </c>
      <c r="C858" s="1" t="n">
        <v>46106</v>
      </c>
      <c r="D858" t="inlineStr">
        <is>
          <t>DALARNAS LÄN</t>
        </is>
      </c>
      <c r="E858" t="inlineStr">
        <is>
          <t>FALUN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17227-2025</t>
        </is>
      </c>
      <c r="B859" s="1" t="n">
        <v>45756.46278935186</v>
      </c>
      <c r="C859" s="1" t="n">
        <v>46106</v>
      </c>
      <c r="D859" t="inlineStr">
        <is>
          <t>DALARNAS LÄN</t>
        </is>
      </c>
      <c r="E859" t="inlineStr">
        <is>
          <t>FALUN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22159-2024</t>
        </is>
      </c>
      <c r="B860" s="1" t="n">
        <v>45445.8946412037</v>
      </c>
      <c r="C860" s="1" t="n">
        <v>46106</v>
      </c>
      <c r="D860" t="inlineStr">
        <is>
          <t>DALARNAS LÄN</t>
        </is>
      </c>
      <c r="E860" t="inlineStr">
        <is>
          <t>FALUN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2993-2025</t>
        </is>
      </c>
      <c r="B861" s="1" t="n">
        <v>45678.53607638889</v>
      </c>
      <c r="C861" s="1" t="n">
        <v>46106</v>
      </c>
      <c r="D861" t="inlineStr">
        <is>
          <t>DALARNAS LÄN</t>
        </is>
      </c>
      <c r="E861" t="inlineStr">
        <is>
          <t>FALUN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59190-2025</t>
        </is>
      </c>
      <c r="B862" s="1" t="n">
        <v>45988.58940972222</v>
      </c>
      <c r="C862" s="1" t="n">
        <v>46106</v>
      </c>
      <c r="D862" t="inlineStr">
        <is>
          <t>DALARNAS LÄN</t>
        </is>
      </c>
      <c r="E862" t="inlineStr">
        <is>
          <t>FALUN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36652-2024</t>
        </is>
      </c>
      <c r="B863" s="1" t="n">
        <v>45537.61153935185</v>
      </c>
      <c r="C863" s="1" t="n">
        <v>46106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42952-2023</t>
        </is>
      </c>
      <c r="B864" s="1" t="n">
        <v>45182</v>
      </c>
      <c r="C864" s="1" t="n">
        <v>46106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33534-2023</t>
        </is>
      </c>
      <c r="B865" s="1" t="n">
        <v>45131.55674768519</v>
      </c>
      <c r="C865" s="1" t="n">
        <v>46106</v>
      </c>
      <c r="D865" t="inlineStr">
        <is>
          <t>DALARNAS LÄN</t>
        </is>
      </c>
      <c r="E865" t="inlineStr">
        <is>
          <t>FALUN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33539-2023</t>
        </is>
      </c>
      <c r="B866" s="1" t="n">
        <v>45131.56550925926</v>
      </c>
      <c r="C866" s="1" t="n">
        <v>46106</v>
      </c>
      <c r="D866" t="inlineStr">
        <is>
          <t>DALARNAS LÄN</t>
        </is>
      </c>
      <c r="E866" t="inlineStr">
        <is>
          <t>FALUN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33543-2023</t>
        </is>
      </c>
      <c r="B867" s="1" t="n">
        <v>45131.57393518519</v>
      </c>
      <c r="C867" s="1" t="n">
        <v>46106</v>
      </c>
      <c r="D867" t="inlineStr">
        <is>
          <t>DALARNAS LÄN</t>
        </is>
      </c>
      <c r="E867" t="inlineStr">
        <is>
          <t>FALUN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21288-2024</t>
        </is>
      </c>
      <c r="B868" s="1" t="n">
        <v>45440.66130787037</v>
      </c>
      <c r="C868" s="1" t="n">
        <v>46106</v>
      </c>
      <c r="D868" t="inlineStr">
        <is>
          <t>DALARNAS LÄN</t>
        </is>
      </c>
      <c r="E868" t="inlineStr">
        <is>
          <t>FALUN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61387-2024</t>
        </is>
      </c>
      <c r="B869" s="1" t="n">
        <v>45646.41444444445</v>
      </c>
      <c r="C869" s="1" t="n">
        <v>46106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16.6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15610-2024</t>
        </is>
      </c>
      <c r="B870" s="1" t="n">
        <v>45401.93005787037</v>
      </c>
      <c r="C870" s="1" t="n">
        <v>46106</v>
      </c>
      <c r="D870" t="inlineStr">
        <is>
          <t>DALARNAS LÄN</t>
        </is>
      </c>
      <c r="E870" t="inlineStr">
        <is>
          <t>FALUN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59223-2025</t>
        </is>
      </c>
      <c r="B871" s="1" t="n">
        <v>45988.61914351852</v>
      </c>
      <c r="C871" s="1" t="n">
        <v>46106</v>
      </c>
      <c r="D871" t="inlineStr">
        <is>
          <t>DALARNAS LÄN</t>
        </is>
      </c>
      <c r="E871" t="inlineStr">
        <is>
          <t>FALUN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59483-2025</t>
        </is>
      </c>
      <c r="B872" s="1" t="n">
        <v>45989.59152777777</v>
      </c>
      <c r="C872" s="1" t="n">
        <v>46106</v>
      </c>
      <c r="D872" t="inlineStr">
        <is>
          <t>DALARNAS LÄN</t>
        </is>
      </c>
      <c r="E872" t="inlineStr">
        <is>
          <t>FALUN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59193-2025</t>
        </is>
      </c>
      <c r="B873" s="1" t="n">
        <v>45988.59164351852</v>
      </c>
      <c r="C873" s="1" t="n">
        <v>46106</v>
      </c>
      <c r="D873" t="inlineStr">
        <is>
          <t>DALARNAS LÄN</t>
        </is>
      </c>
      <c r="E873" t="inlineStr">
        <is>
          <t>FALUN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59229-2025</t>
        </is>
      </c>
      <c r="B874" s="1" t="n">
        <v>45988.62331018518</v>
      </c>
      <c r="C874" s="1" t="n">
        <v>46106</v>
      </c>
      <c r="D874" t="inlineStr">
        <is>
          <t>DALARNAS LÄN</t>
        </is>
      </c>
      <c r="E874" t="inlineStr">
        <is>
          <t>FALUN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40828-2025</t>
        </is>
      </c>
      <c r="B875" s="1" t="n">
        <v>45897.50747685185</v>
      </c>
      <c r="C875" s="1" t="n">
        <v>46106</v>
      </c>
      <c r="D875" t="inlineStr">
        <is>
          <t>DALARNAS LÄN</t>
        </is>
      </c>
      <c r="E875" t="inlineStr">
        <is>
          <t>FALUN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54609-2025</t>
        </is>
      </c>
      <c r="B876" s="1" t="n">
        <v>45966.31795138889</v>
      </c>
      <c r="C876" s="1" t="n">
        <v>46106</v>
      </c>
      <c r="D876" t="inlineStr">
        <is>
          <t>DALARNAS LÄN</t>
        </is>
      </c>
      <c r="E876" t="inlineStr">
        <is>
          <t>FALUN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59200-2025</t>
        </is>
      </c>
      <c r="B877" s="1" t="n">
        <v>45988</v>
      </c>
      <c r="C877" s="1" t="n">
        <v>46106</v>
      </c>
      <c r="D877" t="inlineStr">
        <is>
          <t>DALARNAS LÄN</t>
        </is>
      </c>
      <c r="E877" t="inlineStr">
        <is>
          <t>FALUN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19090-2025</t>
        </is>
      </c>
      <c r="B878" s="1" t="n">
        <v>45767.46240740741</v>
      </c>
      <c r="C878" s="1" t="n">
        <v>46106</v>
      </c>
      <c r="D878" t="inlineStr">
        <is>
          <t>DALARNAS LÄN</t>
        </is>
      </c>
      <c r="E878" t="inlineStr">
        <is>
          <t>FALUN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59748-2025</t>
        </is>
      </c>
      <c r="B879" s="1" t="n">
        <v>45992.58369212963</v>
      </c>
      <c r="C879" s="1" t="n">
        <v>46106</v>
      </c>
      <c r="D879" t="inlineStr">
        <is>
          <t>DALARNAS LÄN</t>
        </is>
      </c>
      <c r="E879" t="inlineStr">
        <is>
          <t>FALUN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19969-2025</t>
        </is>
      </c>
      <c r="B880" s="1" t="n">
        <v>45771.683125</v>
      </c>
      <c r="C880" s="1" t="n">
        <v>46106</v>
      </c>
      <c r="D880" t="inlineStr">
        <is>
          <t>DALARNAS LÄN</t>
        </is>
      </c>
      <c r="E880" t="inlineStr">
        <is>
          <t>FALUN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59832-2025</t>
        </is>
      </c>
      <c r="B881" s="1" t="n">
        <v>45992.66231481481</v>
      </c>
      <c r="C881" s="1" t="n">
        <v>46106</v>
      </c>
      <c r="D881" t="inlineStr">
        <is>
          <t>DALARNAS LÄN</t>
        </is>
      </c>
      <c r="E881" t="inlineStr">
        <is>
          <t>FALUN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47073-2024</t>
        </is>
      </c>
      <c r="B882" s="1" t="n">
        <v>45586.49591435185</v>
      </c>
      <c r="C882" s="1" t="n">
        <v>46106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59571-2025</t>
        </is>
      </c>
      <c r="B883" s="1" t="n">
        <v>45992.00342592593</v>
      </c>
      <c r="C883" s="1" t="n">
        <v>46106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3132-2025</t>
        </is>
      </c>
      <c r="B884" s="1" t="n">
        <v>45678</v>
      </c>
      <c r="C884" s="1" t="n">
        <v>46106</v>
      </c>
      <c r="D884" t="inlineStr">
        <is>
          <t>DALARNAS LÄN</t>
        </is>
      </c>
      <c r="E884" t="inlineStr">
        <is>
          <t>FALUN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60085-2025</t>
        </is>
      </c>
      <c r="B885" s="1" t="n">
        <v>45993.71023148148</v>
      </c>
      <c r="C885" s="1" t="n">
        <v>46106</v>
      </c>
      <c r="D885" t="inlineStr">
        <is>
          <t>DALARNAS LÄN</t>
        </is>
      </c>
      <c r="E885" t="inlineStr">
        <is>
          <t>FALUN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60086-2025</t>
        </is>
      </c>
      <c r="B886" s="1" t="n">
        <v>45993.71630787037</v>
      </c>
      <c r="C886" s="1" t="n">
        <v>46106</v>
      </c>
      <c r="D886" t="inlineStr">
        <is>
          <t>DALARNAS LÄN</t>
        </is>
      </c>
      <c r="E886" t="inlineStr">
        <is>
          <t>FALUN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16540-2025</t>
        </is>
      </c>
      <c r="B887" s="1" t="n">
        <v>45751.66671296296</v>
      </c>
      <c r="C887" s="1" t="n">
        <v>46106</v>
      </c>
      <c r="D887" t="inlineStr">
        <is>
          <t>DALARNAS LÄN</t>
        </is>
      </c>
      <c r="E887" t="inlineStr">
        <is>
          <t>FALUN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53029-2024</t>
        </is>
      </c>
      <c r="B888" s="1" t="n">
        <v>45611</v>
      </c>
      <c r="C888" s="1" t="n">
        <v>46106</v>
      </c>
      <c r="D888" t="inlineStr">
        <is>
          <t>DALARNAS LÄN</t>
        </is>
      </c>
      <c r="E888" t="inlineStr">
        <is>
          <t>FALUN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46871-2023</t>
        </is>
      </c>
      <c r="B889" s="1" t="n">
        <v>45200.8262962963</v>
      </c>
      <c r="C889" s="1" t="n">
        <v>46106</v>
      </c>
      <c r="D889" t="inlineStr">
        <is>
          <t>DALARNAS LÄN</t>
        </is>
      </c>
      <c r="E889" t="inlineStr">
        <is>
          <t>FALUN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56585-2024</t>
        </is>
      </c>
      <c r="B890" s="1" t="n">
        <v>45625.60799768518</v>
      </c>
      <c r="C890" s="1" t="n">
        <v>46106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54951-2024</t>
        </is>
      </c>
      <c r="B891" s="1" t="n">
        <v>45619.49099537037</v>
      </c>
      <c r="C891" s="1" t="n">
        <v>46106</v>
      </c>
      <c r="D891" t="inlineStr">
        <is>
          <t>DALARNAS LÄN</t>
        </is>
      </c>
      <c r="E891" t="inlineStr">
        <is>
          <t>FALUN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60562-2025</t>
        </is>
      </c>
      <c r="B892" s="1" t="n">
        <v>45994</v>
      </c>
      <c r="C892" s="1" t="n">
        <v>46106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60683-2025</t>
        </is>
      </c>
      <c r="B893" s="1" t="n">
        <v>45996</v>
      </c>
      <c r="C893" s="1" t="n">
        <v>46106</v>
      </c>
      <c r="D893" t="inlineStr">
        <is>
          <t>DALARNAS LÄN</t>
        </is>
      </c>
      <c r="E893" t="inlineStr">
        <is>
          <t>FALUN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8435-2025</t>
        </is>
      </c>
      <c r="B894" s="1" t="n">
        <v>45709.43188657407</v>
      </c>
      <c r="C894" s="1" t="n">
        <v>46106</v>
      </c>
      <c r="D894" t="inlineStr">
        <is>
          <t>DALARNAS LÄN</t>
        </is>
      </c>
      <c r="E894" t="inlineStr">
        <is>
          <t>FALUN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63499-2023</t>
        </is>
      </c>
      <c r="B895" s="1" t="n">
        <v>45274.67877314815</v>
      </c>
      <c r="C895" s="1" t="n">
        <v>46106</v>
      </c>
      <c r="D895" t="inlineStr">
        <is>
          <t>DALARNAS LÄN</t>
        </is>
      </c>
      <c r="E895" t="inlineStr">
        <is>
          <t>FALUN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36398-2024</t>
        </is>
      </c>
      <c r="B896" s="1" t="n">
        <v>45535.42527777778</v>
      </c>
      <c r="C896" s="1" t="n">
        <v>46106</v>
      </c>
      <c r="D896" t="inlineStr">
        <is>
          <t>DALARNAS LÄN</t>
        </is>
      </c>
      <c r="E896" t="inlineStr">
        <is>
          <t>FALUN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60676-2025</t>
        </is>
      </c>
      <c r="B897" s="1" t="n">
        <v>45996.55976851852</v>
      </c>
      <c r="C897" s="1" t="n">
        <v>46106</v>
      </c>
      <c r="D897" t="inlineStr">
        <is>
          <t>DALARNAS LÄN</t>
        </is>
      </c>
      <c r="E897" t="inlineStr">
        <is>
          <t>FALUN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46561-2023</t>
        </is>
      </c>
      <c r="B898" s="1" t="n">
        <v>45198</v>
      </c>
      <c r="C898" s="1" t="n">
        <v>46106</v>
      </c>
      <c r="D898" t="inlineStr">
        <is>
          <t>DALARNAS LÄN</t>
        </is>
      </c>
      <c r="E898" t="inlineStr">
        <is>
          <t>FALUN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34890-2021</t>
        </is>
      </c>
      <c r="B899" s="1" t="n">
        <v>44383</v>
      </c>
      <c r="C899" s="1" t="n">
        <v>46106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61064-2025</t>
        </is>
      </c>
      <c r="B900" s="1" t="n">
        <v>46000</v>
      </c>
      <c r="C900" s="1" t="n">
        <v>46106</v>
      </c>
      <c r="D900" t="inlineStr">
        <is>
          <t>DALARNAS LÄN</t>
        </is>
      </c>
      <c r="E900" t="inlineStr">
        <is>
          <t>FALUN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7754-2024</t>
        </is>
      </c>
      <c r="B901" s="1" t="n">
        <v>45349.52979166667</v>
      </c>
      <c r="C901" s="1" t="n">
        <v>46106</v>
      </c>
      <c r="D901" t="inlineStr">
        <is>
          <t>DALARNAS LÄN</t>
        </is>
      </c>
      <c r="E901" t="inlineStr">
        <is>
          <t>FALUN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42369-2025</t>
        </is>
      </c>
      <c r="B902" s="1" t="n">
        <v>45905.33054398148</v>
      </c>
      <c r="C902" s="1" t="n">
        <v>46106</v>
      </c>
      <c r="D902" t="inlineStr">
        <is>
          <t>DALARNAS LÄN</t>
        </is>
      </c>
      <c r="E902" t="inlineStr">
        <is>
          <t>FALUN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61059-2025</t>
        </is>
      </c>
      <c r="B903" s="1" t="n">
        <v>46000.36319444444</v>
      </c>
      <c r="C903" s="1" t="n">
        <v>46106</v>
      </c>
      <c r="D903" t="inlineStr">
        <is>
          <t>DALARNAS LÄN</t>
        </is>
      </c>
      <c r="E903" t="inlineStr">
        <is>
          <t>FALUN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61877-2025</t>
        </is>
      </c>
      <c r="B904" s="1" t="n">
        <v>46003.41165509259</v>
      </c>
      <c r="C904" s="1" t="n">
        <v>46106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44520-2025</t>
        </is>
      </c>
      <c r="B905" s="1" t="n">
        <v>45916.7175462963</v>
      </c>
      <c r="C905" s="1" t="n">
        <v>46106</v>
      </c>
      <c r="D905" t="inlineStr">
        <is>
          <t>DALARNAS LÄN</t>
        </is>
      </c>
      <c r="E905" t="inlineStr">
        <is>
          <t>FALUN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33898-2024</t>
        </is>
      </c>
      <c r="B906" s="1" t="n">
        <v>45523.35789351852</v>
      </c>
      <c r="C906" s="1" t="n">
        <v>46106</v>
      </c>
      <c r="D906" t="inlineStr">
        <is>
          <t>DALARNAS LÄN</t>
        </is>
      </c>
      <c r="E906" t="inlineStr">
        <is>
          <t>FALUN</t>
        </is>
      </c>
      <c r="F906" t="inlineStr">
        <is>
          <t>Allmännings- och besparingsskogar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8756-2024</t>
        </is>
      </c>
      <c r="B907" s="1" t="n">
        <v>45356</v>
      </c>
      <c r="C907" s="1" t="n">
        <v>46106</v>
      </c>
      <c r="D907" t="inlineStr">
        <is>
          <t>DALARNAS LÄN</t>
        </is>
      </c>
      <c r="E907" t="inlineStr">
        <is>
          <t>FALUN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44629-2025</t>
        </is>
      </c>
      <c r="B908" s="1" t="n">
        <v>45917</v>
      </c>
      <c r="C908" s="1" t="n">
        <v>46106</v>
      </c>
      <c r="D908" t="inlineStr">
        <is>
          <t>DALARNAS LÄN</t>
        </is>
      </c>
      <c r="E908" t="inlineStr">
        <is>
          <t>FALUN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27627-2021</t>
        </is>
      </c>
      <c r="B909" s="1" t="n">
        <v>44354.35270833333</v>
      </c>
      <c r="C909" s="1" t="n">
        <v>46106</v>
      </c>
      <c r="D909" t="inlineStr">
        <is>
          <t>DALARNAS LÄN</t>
        </is>
      </c>
      <c r="E909" t="inlineStr">
        <is>
          <t>FALUN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62358-2025</t>
        </is>
      </c>
      <c r="B910" s="1" t="n">
        <v>46007.32116898148</v>
      </c>
      <c r="C910" s="1" t="n">
        <v>46106</v>
      </c>
      <c r="D910" t="inlineStr">
        <is>
          <t>DALARNAS LÄN</t>
        </is>
      </c>
      <c r="E910" t="inlineStr">
        <is>
          <t>FALUN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62362-2025</t>
        </is>
      </c>
      <c r="B911" s="1" t="n">
        <v>46007.32331018519</v>
      </c>
      <c r="C911" s="1" t="n">
        <v>46106</v>
      </c>
      <c r="D911" t="inlineStr">
        <is>
          <t>DALARNAS LÄN</t>
        </is>
      </c>
      <c r="E911" t="inlineStr">
        <is>
          <t>FALUN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45690-2025</t>
        </is>
      </c>
      <c r="B912" s="1" t="n">
        <v>45923.38413194445</v>
      </c>
      <c r="C912" s="1" t="n">
        <v>46106</v>
      </c>
      <c r="D912" t="inlineStr">
        <is>
          <t>DALARNAS LÄN</t>
        </is>
      </c>
      <c r="E912" t="inlineStr">
        <is>
          <t>FALUN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19917-2023</t>
        </is>
      </c>
      <c r="B913" s="1" t="n">
        <v>45054.44313657407</v>
      </c>
      <c r="C913" s="1" t="n">
        <v>46106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19707-2025</t>
        </is>
      </c>
      <c r="B914" s="1" t="n">
        <v>45771</v>
      </c>
      <c r="C914" s="1" t="n">
        <v>46106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17225-2025</t>
        </is>
      </c>
      <c r="B915" s="1" t="n">
        <v>45756.46113425926</v>
      </c>
      <c r="C915" s="1" t="n">
        <v>46106</v>
      </c>
      <c r="D915" t="inlineStr">
        <is>
          <t>DALARNAS LÄN</t>
        </is>
      </c>
      <c r="E915" t="inlineStr">
        <is>
          <t>FALUN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3133-2025</t>
        </is>
      </c>
      <c r="B916" s="1" t="n">
        <v>45678</v>
      </c>
      <c r="C916" s="1" t="n">
        <v>46106</v>
      </c>
      <c r="D916" t="inlineStr">
        <is>
          <t>DALARNAS LÄN</t>
        </is>
      </c>
      <c r="E916" t="inlineStr">
        <is>
          <t>FALUN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17202-2023</t>
        </is>
      </c>
      <c r="B917" s="1" t="n">
        <v>45034</v>
      </c>
      <c r="C917" s="1" t="n">
        <v>46106</v>
      </c>
      <c r="D917" t="inlineStr">
        <is>
          <t>DALARNAS LÄN</t>
        </is>
      </c>
      <c r="E917" t="inlineStr">
        <is>
          <t>FALUN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56557-2024</t>
        </is>
      </c>
      <c r="B918" s="1" t="n">
        <v>45625.57991898148</v>
      </c>
      <c r="C918" s="1" t="n">
        <v>46106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5760-2026</t>
        </is>
      </c>
      <c r="B919" s="1" t="n">
        <v>46051.62545138889</v>
      </c>
      <c r="C919" s="1" t="n">
        <v>46106</v>
      </c>
      <c r="D919" t="inlineStr">
        <is>
          <t>DALARNAS LÄN</t>
        </is>
      </c>
      <c r="E919" t="inlineStr">
        <is>
          <t>FALUN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48702-2022</t>
        </is>
      </c>
      <c r="B920" s="1" t="n">
        <v>44859.48425925926</v>
      </c>
      <c r="C920" s="1" t="n">
        <v>46106</v>
      </c>
      <c r="D920" t="inlineStr">
        <is>
          <t>DALARNAS LÄN</t>
        </is>
      </c>
      <c r="E920" t="inlineStr">
        <is>
          <t>FALUN</t>
        </is>
      </c>
      <c r="G920" t="n">
        <v>11.6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63307-2025</t>
        </is>
      </c>
      <c r="B921" s="1" t="n">
        <v>46010.61465277777</v>
      </c>
      <c r="C921" s="1" t="n">
        <v>46106</v>
      </c>
      <c r="D921" t="inlineStr">
        <is>
          <t>DALARNAS LÄN</t>
        </is>
      </c>
      <c r="E921" t="inlineStr">
        <is>
          <t>FALUN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63291-2025</t>
        </is>
      </c>
      <c r="B922" s="1" t="n">
        <v>46010</v>
      </c>
      <c r="C922" s="1" t="n">
        <v>46106</v>
      </c>
      <c r="D922" t="inlineStr">
        <is>
          <t>DALARNAS LÄN</t>
        </is>
      </c>
      <c r="E922" t="inlineStr">
        <is>
          <t>FALUN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46959-2023</t>
        </is>
      </c>
      <c r="B923" s="1" t="n">
        <v>45201</v>
      </c>
      <c r="C923" s="1" t="n">
        <v>46106</v>
      </c>
      <c r="D923" t="inlineStr">
        <is>
          <t>DALARNAS LÄN</t>
        </is>
      </c>
      <c r="E923" t="inlineStr">
        <is>
          <t>FALUN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24729-2023</t>
        </is>
      </c>
      <c r="B924" s="1" t="n">
        <v>45084.57733796296</v>
      </c>
      <c r="C924" s="1" t="n">
        <v>46106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27679-2024</t>
        </is>
      </c>
      <c r="B925" s="1" t="n">
        <v>45475.26847222223</v>
      </c>
      <c r="C925" s="1" t="n">
        <v>46106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63178-2025</t>
        </is>
      </c>
      <c r="B926" s="1" t="n">
        <v>46010.42155092592</v>
      </c>
      <c r="C926" s="1" t="n">
        <v>46106</v>
      </c>
      <c r="D926" t="inlineStr">
        <is>
          <t>DALARNAS LÄN</t>
        </is>
      </c>
      <c r="E926" t="inlineStr">
        <is>
          <t>FALUN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14553-2025</t>
        </is>
      </c>
      <c r="B927" s="1" t="n">
        <v>45741</v>
      </c>
      <c r="C927" s="1" t="n">
        <v>46106</v>
      </c>
      <c r="D927" t="inlineStr">
        <is>
          <t>DALARNAS LÄN</t>
        </is>
      </c>
      <c r="E927" t="inlineStr">
        <is>
          <t>FALUN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63303-2025</t>
        </is>
      </c>
      <c r="B928" s="1" t="n">
        <v>46010.61101851852</v>
      </c>
      <c r="C928" s="1" t="n">
        <v>46106</v>
      </c>
      <c r="D928" t="inlineStr">
        <is>
          <t>DALARNAS LÄN</t>
        </is>
      </c>
      <c r="E928" t="inlineStr">
        <is>
          <t>FALUN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63522-2025</t>
        </is>
      </c>
      <c r="B929" s="1" t="n">
        <v>46013.53605324074</v>
      </c>
      <c r="C929" s="1" t="n">
        <v>46106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47-2026</t>
        </is>
      </c>
      <c r="B930" s="1" t="n">
        <v>46014</v>
      </c>
      <c r="C930" s="1" t="n">
        <v>46106</v>
      </c>
      <c r="D930" t="inlineStr">
        <is>
          <t>DALARNAS LÄN</t>
        </is>
      </c>
      <c r="E930" t="inlineStr">
        <is>
          <t>FALUN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44-2026</t>
        </is>
      </c>
      <c r="B931" s="1" t="n">
        <v>46014</v>
      </c>
      <c r="C931" s="1" t="n">
        <v>46106</v>
      </c>
      <c r="D931" t="inlineStr">
        <is>
          <t>DALARNAS LÄN</t>
        </is>
      </c>
      <c r="E931" t="inlineStr">
        <is>
          <t>FALUN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36579-2024</t>
        </is>
      </c>
      <c r="B932" s="1" t="n">
        <v>45537.50268518519</v>
      </c>
      <c r="C932" s="1" t="n">
        <v>46106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6801-2026</t>
        </is>
      </c>
      <c r="B933" s="1" t="n">
        <v>46055</v>
      </c>
      <c r="C933" s="1" t="n">
        <v>46106</v>
      </c>
      <c r="D933" t="inlineStr">
        <is>
          <t>DALARNAS LÄN</t>
        </is>
      </c>
      <c r="E933" t="inlineStr">
        <is>
          <t>FALUN</t>
        </is>
      </c>
      <c r="F933" t="inlineStr">
        <is>
          <t>Övriga statliga verk och myndigheter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51920-2024</t>
        </is>
      </c>
      <c r="B934" s="1" t="n">
        <v>45607.60989583333</v>
      </c>
      <c r="C934" s="1" t="n">
        <v>46106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54834-2024</t>
        </is>
      </c>
      <c r="B935" s="1" t="n">
        <v>45618.55950231481</v>
      </c>
      <c r="C935" s="1" t="n">
        <v>46106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4287-2026</t>
        </is>
      </c>
      <c r="B936" s="1" t="n">
        <v>46044</v>
      </c>
      <c r="C936" s="1" t="n">
        <v>46106</v>
      </c>
      <c r="D936" t="inlineStr">
        <is>
          <t>DALARNAS LÄN</t>
        </is>
      </c>
      <c r="E936" t="inlineStr">
        <is>
          <t>FALUN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63960-2025</t>
        </is>
      </c>
      <c r="B937" s="1" t="n">
        <v>46020</v>
      </c>
      <c r="C937" s="1" t="n">
        <v>46106</v>
      </c>
      <c r="D937" t="inlineStr">
        <is>
          <t>DALARNAS LÄN</t>
        </is>
      </c>
      <c r="E937" t="inlineStr">
        <is>
          <t>FALUN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63974-2025</t>
        </is>
      </c>
      <c r="B938" s="1" t="n">
        <v>46021</v>
      </c>
      <c r="C938" s="1" t="n">
        <v>46106</v>
      </c>
      <c r="D938" t="inlineStr">
        <is>
          <t>DALARNAS LÄN</t>
        </is>
      </c>
      <c r="E938" t="inlineStr">
        <is>
          <t>FALUN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64115-2025</t>
        </is>
      </c>
      <c r="B939" s="1" t="n">
        <v>46021</v>
      </c>
      <c r="C939" s="1" t="n">
        <v>46106</v>
      </c>
      <c r="D939" t="inlineStr">
        <is>
          <t>DALARNAS LÄN</t>
        </is>
      </c>
      <c r="E939" t="inlineStr">
        <is>
          <t>FALUN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64004-2025</t>
        </is>
      </c>
      <c r="B940" s="1" t="n">
        <v>46021</v>
      </c>
      <c r="C940" s="1" t="n">
        <v>46106</v>
      </c>
      <c r="D940" t="inlineStr">
        <is>
          <t>DALARNAS LÄN</t>
        </is>
      </c>
      <c r="E940" t="inlineStr">
        <is>
          <t>FALUN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19309-2024</t>
        </is>
      </c>
      <c r="B941" s="1" t="n">
        <v>45428</v>
      </c>
      <c r="C941" s="1" t="n">
        <v>46106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19310-2024</t>
        </is>
      </c>
      <c r="B942" s="1" t="n">
        <v>45428</v>
      </c>
      <c r="C942" s="1" t="n">
        <v>46106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64069-2025</t>
        </is>
      </c>
      <c r="B943" s="1" t="n">
        <v>46021</v>
      </c>
      <c r="C943" s="1" t="n">
        <v>46106</v>
      </c>
      <c r="D943" t="inlineStr">
        <is>
          <t>DALARNAS LÄN</t>
        </is>
      </c>
      <c r="E943" t="inlineStr">
        <is>
          <t>FALUN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64077-2025</t>
        </is>
      </c>
      <c r="B944" s="1" t="n">
        <v>46021.66048611111</v>
      </c>
      <c r="C944" s="1" t="n">
        <v>46106</v>
      </c>
      <c r="D944" t="inlineStr">
        <is>
          <t>DALARNAS LÄN</t>
        </is>
      </c>
      <c r="E944" t="inlineStr">
        <is>
          <t>FALUN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4282-2026</t>
        </is>
      </c>
      <c r="B945" s="1" t="n">
        <v>46044</v>
      </c>
      <c r="C945" s="1" t="n">
        <v>46106</v>
      </c>
      <c r="D945" t="inlineStr">
        <is>
          <t>DALARNAS LÄN</t>
        </is>
      </c>
      <c r="E945" t="inlineStr">
        <is>
          <t>FALUN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43187-2024</t>
        </is>
      </c>
      <c r="B946" s="1" t="n">
        <v>45567.67040509259</v>
      </c>
      <c r="C946" s="1" t="n">
        <v>46106</v>
      </c>
      <c r="D946" t="inlineStr">
        <is>
          <t>DALARNAS LÄN</t>
        </is>
      </c>
      <c r="E946" t="inlineStr">
        <is>
          <t>FALUN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64143-2025</t>
        </is>
      </c>
      <c r="B947" s="1" t="n">
        <v>46022</v>
      </c>
      <c r="C947" s="1" t="n">
        <v>46106</v>
      </c>
      <c r="D947" t="inlineStr">
        <is>
          <t>DALARNAS LÄN</t>
        </is>
      </c>
      <c r="E947" t="inlineStr">
        <is>
          <t>FALUN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8155-2026</t>
        </is>
      </c>
      <c r="B948" s="1" t="n">
        <v>46064.36071759259</v>
      </c>
      <c r="C948" s="1" t="n">
        <v>46106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64135-2025</t>
        </is>
      </c>
      <c r="B949" s="1" t="n">
        <v>46022.35636574074</v>
      </c>
      <c r="C949" s="1" t="n">
        <v>46106</v>
      </c>
      <c r="D949" t="inlineStr">
        <is>
          <t>DALARNAS LÄN</t>
        </is>
      </c>
      <c r="E949" t="inlineStr">
        <is>
          <t>FALUN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64136-2025</t>
        </is>
      </c>
      <c r="B950" s="1" t="n">
        <v>46022.35697916667</v>
      </c>
      <c r="C950" s="1" t="n">
        <v>46106</v>
      </c>
      <c r="D950" t="inlineStr">
        <is>
          <t>DALARNAS LÄN</t>
        </is>
      </c>
      <c r="E950" t="inlineStr">
        <is>
          <t>FALUN</t>
        </is>
      </c>
      <c r="G950" t="n">
        <v>10.2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8557-2026</t>
        </is>
      </c>
      <c r="B951" s="1" t="n">
        <v>46065.6375462963</v>
      </c>
      <c r="C951" s="1" t="n">
        <v>46106</v>
      </c>
      <c r="D951" t="inlineStr">
        <is>
          <t>DALARNAS LÄN</t>
        </is>
      </c>
      <c r="E951" t="inlineStr">
        <is>
          <t>FALUN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8437-2026</t>
        </is>
      </c>
      <c r="B952" s="1" t="n">
        <v>46065.3947800926</v>
      </c>
      <c r="C952" s="1" t="n">
        <v>46106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64103-2025</t>
        </is>
      </c>
      <c r="B953" s="1" t="n">
        <v>46021.80604166666</v>
      </c>
      <c r="C953" s="1" t="n">
        <v>46106</v>
      </c>
      <c r="D953" t="inlineStr">
        <is>
          <t>DALARNAS LÄN</t>
        </is>
      </c>
      <c r="E953" t="inlineStr">
        <is>
          <t>FALUN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64134-2025</t>
        </is>
      </c>
      <c r="B954" s="1" t="n">
        <v>46022.33027777778</v>
      </c>
      <c r="C954" s="1" t="n">
        <v>46106</v>
      </c>
      <c r="D954" t="inlineStr">
        <is>
          <t>DALARNAS LÄN</t>
        </is>
      </c>
      <c r="E954" t="inlineStr">
        <is>
          <t>FALUN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64137-2025</t>
        </is>
      </c>
      <c r="B955" s="1" t="n">
        <v>46022.36045138889</v>
      </c>
      <c r="C955" s="1" t="n">
        <v>46106</v>
      </c>
      <c r="D955" t="inlineStr">
        <is>
          <t>DALARNAS LÄN</t>
        </is>
      </c>
      <c r="E955" t="inlineStr">
        <is>
          <t>FALUN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12-2026</t>
        </is>
      </c>
      <c r="B956" s="1" t="n">
        <v>46023.63576388889</v>
      </c>
      <c r="C956" s="1" t="n">
        <v>46106</v>
      </c>
      <c r="D956" t="inlineStr">
        <is>
          <t>DALARNAS LÄN</t>
        </is>
      </c>
      <c r="E956" t="inlineStr">
        <is>
          <t>FALUN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8212-2026</t>
        </is>
      </c>
      <c r="B957" s="1" t="n">
        <v>46064.45237268518</v>
      </c>
      <c r="C957" s="1" t="n">
        <v>46106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8282-2026</t>
        </is>
      </c>
      <c r="B958" s="1" t="n">
        <v>46064.5596875</v>
      </c>
      <c r="C958" s="1" t="n">
        <v>46106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8368-2026</t>
        </is>
      </c>
      <c r="B959" s="1" t="n">
        <v>46064</v>
      </c>
      <c r="C959" s="1" t="n">
        <v>46106</v>
      </c>
      <c r="D959" t="inlineStr">
        <is>
          <t>DALARNAS LÄN</t>
        </is>
      </c>
      <c r="E959" t="inlineStr">
        <is>
          <t>FALUN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8483-2026</t>
        </is>
      </c>
      <c r="B960" s="1" t="n">
        <v>46065.46907407408</v>
      </c>
      <c r="C960" s="1" t="n">
        <v>46106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8869-2026</t>
        </is>
      </c>
      <c r="B961" s="1" t="n">
        <v>46066.80663194445</v>
      </c>
      <c r="C961" s="1" t="n">
        <v>46106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181-2026</t>
        </is>
      </c>
      <c r="B962" s="1" t="n">
        <v>46025</v>
      </c>
      <c r="C962" s="1" t="n">
        <v>46106</v>
      </c>
      <c r="D962" t="inlineStr">
        <is>
          <t>DALARNAS LÄN</t>
        </is>
      </c>
      <c r="E962" t="inlineStr">
        <is>
          <t>FALUN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196-2026</t>
        </is>
      </c>
      <c r="B963" s="1" t="n">
        <v>46025</v>
      </c>
      <c r="C963" s="1" t="n">
        <v>46106</v>
      </c>
      <c r="D963" t="inlineStr">
        <is>
          <t>DALARNAS LÄN</t>
        </is>
      </c>
      <c r="E963" t="inlineStr">
        <is>
          <t>FALUN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211-2026</t>
        </is>
      </c>
      <c r="B964" s="1" t="n">
        <v>46026.61393518518</v>
      </c>
      <c r="C964" s="1" t="n">
        <v>46106</v>
      </c>
      <c r="D964" t="inlineStr">
        <is>
          <t>DALARNAS LÄN</t>
        </is>
      </c>
      <c r="E964" t="inlineStr">
        <is>
          <t>FALUN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46-2026</t>
        </is>
      </c>
      <c r="B965" s="1" t="n">
        <v>46024</v>
      </c>
      <c r="C965" s="1" t="n">
        <v>46106</v>
      </c>
      <c r="D965" t="inlineStr">
        <is>
          <t>DALARNAS LÄN</t>
        </is>
      </c>
      <c r="E965" t="inlineStr">
        <is>
          <t>FALUN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128-2026</t>
        </is>
      </c>
      <c r="B966" s="1" t="n">
        <v>46024.59564814815</v>
      </c>
      <c r="C966" s="1" t="n">
        <v>46106</v>
      </c>
      <c r="D966" t="inlineStr">
        <is>
          <t>DALARNAS LÄN</t>
        </is>
      </c>
      <c r="E966" t="inlineStr">
        <is>
          <t>FALUN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8734-2026</t>
        </is>
      </c>
      <c r="B967" s="1" t="n">
        <v>46066.4991087963</v>
      </c>
      <c r="C967" s="1" t="n">
        <v>46106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8808-2026</t>
        </is>
      </c>
      <c r="B968" s="1" t="n">
        <v>46066.60846064815</v>
      </c>
      <c r="C968" s="1" t="n">
        <v>46106</v>
      </c>
      <c r="D968" t="inlineStr">
        <is>
          <t>DALARNAS LÄN</t>
        </is>
      </c>
      <c r="E968" t="inlineStr">
        <is>
          <t>FALUN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121-2026</t>
        </is>
      </c>
      <c r="B969" s="1" t="n">
        <v>46024.57332175926</v>
      </c>
      <c r="C969" s="1" t="n">
        <v>46106</v>
      </c>
      <c r="D969" t="inlineStr">
        <is>
          <t>DALARNAS LÄN</t>
        </is>
      </c>
      <c r="E969" t="inlineStr">
        <is>
          <t>FALUN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9082-2026</t>
        </is>
      </c>
      <c r="B970" s="1" t="n">
        <v>46069.60684027777</v>
      </c>
      <c r="C970" s="1" t="n">
        <v>46106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9128-2026</t>
        </is>
      </c>
      <c r="B971" s="1" t="n">
        <v>46069.70519675926</v>
      </c>
      <c r="C971" s="1" t="n">
        <v>46106</v>
      </c>
      <c r="D971" t="inlineStr">
        <is>
          <t>DALARNAS LÄN</t>
        </is>
      </c>
      <c r="E971" t="inlineStr">
        <is>
          <t>FALUN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297-2026</t>
        </is>
      </c>
      <c r="B972" s="1" t="n">
        <v>46027.51010416666</v>
      </c>
      <c r="C972" s="1" t="n">
        <v>46106</v>
      </c>
      <c r="D972" t="inlineStr">
        <is>
          <t>DALARNAS LÄN</t>
        </is>
      </c>
      <c r="E972" t="inlineStr">
        <is>
          <t>FALUN</t>
        </is>
      </c>
      <c r="G972" t="n">
        <v>9.1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105-2026</t>
        </is>
      </c>
      <c r="B973" s="1" t="n">
        <v>46024.52768518519</v>
      </c>
      <c r="C973" s="1" t="n">
        <v>46106</v>
      </c>
      <c r="D973" t="inlineStr">
        <is>
          <t>DALARNAS LÄN</t>
        </is>
      </c>
      <c r="E973" t="inlineStr">
        <is>
          <t>FALUN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185-2026</t>
        </is>
      </c>
      <c r="B974" s="1" t="n">
        <v>46025</v>
      </c>
      <c r="C974" s="1" t="n">
        <v>46106</v>
      </c>
      <c r="D974" t="inlineStr">
        <is>
          <t>DALARNAS LÄN</t>
        </is>
      </c>
      <c r="E974" t="inlineStr">
        <is>
          <t>FALUN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193-2026</t>
        </is>
      </c>
      <c r="B975" s="1" t="n">
        <v>46025</v>
      </c>
      <c r="C975" s="1" t="n">
        <v>46106</v>
      </c>
      <c r="D975" t="inlineStr">
        <is>
          <t>DALARNAS LÄN</t>
        </is>
      </c>
      <c r="E975" t="inlineStr">
        <is>
          <t>FALUN</t>
        </is>
      </c>
      <c r="G975" t="n">
        <v>13.4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198-2026</t>
        </is>
      </c>
      <c r="B976" s="1" t="n">
        <v>46026</v>
      </c>
      <c r="C976" s="1" t="n">
        <v>46106</v>
      </c>
      <c r="D976" t="inlineStr">
        <is>
          <t>DALARNAS LÄN</t>
        </is>
      </c>
      <c r="E976" t="inlineStr">
        <is>
          <t>FALUN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208-2026</t>
        </is>
      </c>
      <c r="B977" s="1" t="n">
        <v>46026</v>
      </c>
      <c r="C977" s="1" t="n">
        <v>46106</v>
      </c>
      <c r="D977" t="inlineStr">
        <is>
          <t>DALARNAS LÄN</t>
        </is>
      </c>
      <c r="E977" t="inlineStr">
        <is>
          <t>FALUN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8633-2026</t>
        </is>
      </c>
      <c r="B978" s="1" t="n">
        <v>46066.35101851852</v>
      </c>
      <c r="C978" s="1" t="n">
        <v>46106</v>
      </c>
      <c r="D978" t="inlineStr">
        <is>
          <t>DALARNAS LÄN</t>
        </is>
      </c>
      <c r="E978" t="inlineStr">
        <is>
          <t>FALUN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12224-2022</t>
        </is>
      </c>
      <c r="B979" s="1" t="n">
        <v>44637.3625925926</v>
      </c>
      <c r="C979" s="1" t="n">
        <v>46106</v>
      </c>
      <c r="D979" t="inlineStr">
        <is>
          <t>DALARNAS LÄN</t>
        </is>
      </c>
      <c r="E979" t="inlineStr">
        <is>
          <t>FALUN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8977-2026</t>
        </is>
      </c>
      <c r="B980" s="1" t="n">
        <v>46069.43842592592</v>
      </c>
      <c r="C980" s="1" t="n">
        <v>46106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19.2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8598-2026</t>
        </is>
      </c>
      <c r="B981" s="1" t="n">
        <v>46065</v>
      </c>
      <c r="C981" s="1" t="n">
        <v>46106</v>
      </c>
      <c r="D981" t="inlineStr">
        <is>
          <t>DALARNAS LÄN</t>
        </is>
      </c>
      <c r="E981" t="inlineStr">
        <is>
          <t>FALUN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283-2026</t>
        </is>
      </c>
      <c r="B982" s="1" t="n">
        <v>46027.48546296296</v>
      </c>
      <c r="C982" s="1" t="n">
        <v>46106</v>
      </c>
      <c r="D982" t="inlineStr">
        <is>
          <t>DALARNAS LÄN</t>
        </is>
      </c>
      <c r="E982" t="inlineStr">
        <is>
          <t>FALUN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295-2026</t>
        </is>
      </c>
      <c r="B983" s="1" t="n">
        <v>46027.50873842592</v>
      </c>
      <c r="C983" s="1" t="n">
        <v>46106</v>
      </c>
      <c r="D983" t="inlineStr">
        <is>
          <t>DALARNAS LÄN</t>
        </is>
      </c>
      <c r="E983" t="inlineStr">
        <is>
          <t>FALUN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8599-2026</t>
        </is>
      </c>
      <c r="B984" s="1" t="n">
        <v>46065</v>
      </c>
      <c r="C984" s="1" t="n">
        <v>46106</v>
      </c>
      <c r="D984" t="inlineStr">
        <is>
          <t>DALARNAS LÄN</t>
        </is>
      </c>
      <c r="E984" t="inlineStr">
        <is>
          <t>FALUN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8797-2026</t>
        </is>
      </c>
      <c r="B985" s="1" t="n">
        <v>46066.59480324074</v>
      </c>
      <c r="C985" s="1" t="n">
        <v>46106</v>
      </c>
      <c r="D985" t="inlineStr">
        <is>
          <t>DALARNAS LÄN</t>
        </is>
      </c>
      <c r="E985" t="inlineStr">
        <is>
          <t>FALUN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8815-2026</t>
        </is>
      </c>
      <c r="B986" s="1" t="n">
        <v>46066.6190162037</v>
      </c>
      <c r="C986" s="1" t="n">
        <v>46106</v>
      </c>
      <c r="D986" t="inlineStr">
        <is>
          <t>DALARNAS LÄN</t>
        </is>
      </c>
      <c r="E986" t="inlineStr">
        <is>
          <t>FALUN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8589-2026</t>
        </is>
      </c>
      <c r="B987" s="1" t="n">
        <v>46065</v>
      </c>
      <c r="C987" s="1" t="n">
        <v>46106</v>
      </c>
      <c r="D987" t="inlineStr">
        <is>
          <t>DALARNAS LÄN</t>
        </is>
      </c>
      <c r="E987" t="inlineStr">
        <is>
          <t>FALUN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39872-2022</t>
        </is>
      </c>
      <c r="B988" s="1" t="n">
        <v>44819.62913194444</v>
      </c>
      <c r="C988" s="1" t="n">
        <v>46106</v>
      </c>
      <c r="D988" t="inlineStr">
        <is>
          <t>DALARNAS LÄN</t>
        </is>
      </c>
      <c r="E988" t="inlineStr">
        <is>
          <t>FALUN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478-2026</t>
        </is>
      </c>
      <c r="B989" s="1" t="n">
        <v>46024</v>
      </c>
      <c r="C989" s="1" t="n">
        <v>46106</v>
      </c>
      <c r="D989" t="inlineStr">
        <is>
          <t>DALARNAS LÄN</t>
        </is>
      </c>
      <c r="E989" t="inlineStr">
        <is>
          <t>FALUN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190-2026</t>
        </is>
      </c>
      <c r="B990" s="1" t="n">
        <v>46025</v>
      </c>
      <c r="C990" s="1" t="n">
        <v>46106</v>
      </c>
      <c r="D990" t="inlineStr">
        <is>
          <t>DALARNAS LÄN</t>
        </is>
      </c>
      <c r="E990" t="inlineStr">
        <is>
          <t>FALUN</t>
        </is>
      </c>
      <c r="G990" t="n">
        <v>46.9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194-2026</t>
        </is>
      </c>
      <c r="B991" s="1" t="n">
        <v>46025</v>
      </c>
      <c r="C991" s="1" t="n">
        <v>46106</v>
      </c>
      <c r="D991" t="inlineStr">
        <is>
          <t>DALARNAS LÄN</t>
        </is>
      </c>
      <c r="E991" t="inlineStr">
        <is>
          <t>FALUN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195-2026</t>
        </is>
      </c>
      <c r="B992" s="1" t="n">
        <v>46025</v>
      </c>
      <c r="C992" s="1" t="n">
        <v>46106</v>
      </c>
      <c r="D992" t="inlineStr">
        <is>
          <t>DALARNAS LÄN</t>
        </is>
      </c>
      <c r="E992" t="inlineStr">
        <is>
          <t>FALUN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8687-2026</t>
        </is>
      </c>
      <c r="B993" s="1" t="n">
        <v>46066</v>
      </c>
      <c r="C993" s="1" t="n">
        <v>46106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104-2026</t>
        </is>
      </c>
      <c r="B994" s="1" t="n">
        <v>46024.52130787037</v>
      </c>
      <c r="C994" s="1" t="n">
        <v>46106</v>
      </c>
      <c r="D994" t="inlineStr">
        <is>
          <t>DALARNAS LÄN</t>
        </is>
      </c>
      <c r="E994" t="inlineStr">
        <is>
          <t>FALUN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294-2026</t>
        </is>
      </c>
      <c r="B995" s="1" t="n">
        <v>46027.50773148148</v>
      </c>
      <c r="C995" s="1" t="n">
        <v>46106</v>
      </c>
      <c r="D995" t="inlineStr">
        <is>
          <t>DALARNAS LÄN</t>
        </is>
      </c>
      <c r="E995" t="inlineStr">
        <is>
          <t>FALUN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312-2026</t>
        </is>
      </c>
      <c r="B996" s="1" t="n">
        <v>46027</v>
      </c>
      <c r="C996" s="1" t="n">
        <v>46106</v>
      </c>
      <c r="D996" t="inlineStr">
        <is>
          <t>DALARNAS LÄN</t>
        </is>
      </c>
      <c r="E996" t="inlineStr">
        <is>
          <t>FALUN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331-2026</t>
        </is>
      </c>
      <c r="B997" s="1" t="n">
        <v>46027.59479166667</v>
      </c>
      <c r="C997" s="1" t="n">
        <v>46106</v>
      </c>
      <c r="D997" t="inlineStr">
        <is>
          <t>DALARNAS LÄN</t>
        </is>
      </c>
      <c r="E997" t="inlineStr">
        <is>
          <t>FALUN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374-2026</t>
        </is>
      </c>
      <c r="B998" s="1" t="n">
        <v>46027</v>
      </c>
      <c r="C998" s="1" t="n">
        <v>46106</v>
      </c>
      <c r="D998" t="inlineStr">
        <is>
          <t>DALARNAS LÄN</t>
        </is>
      </c>
      <c r="E998" t="inlineStr">
        <is>
          <t>FALUN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548-2026</t>
        </is>
      </c>
      <c r="B999" s="1" t="n">
        <v>46024</v>
      </c>
      <c r="C999" s="1" t="n">
        <v>46106</v>
      </c>
      <c r="D999" t="inlineStr">
        <is>
          <t>DALARNAS LÄN</t>
        </is>
      </c>
      <c r="E999" t="inlineStr">
        <is>
          <t>FALUN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178-2026</t>
        </is>
      </c>
      <c r="B1000" s="1" t="n">
        <v>46025</v>
      </c>
      <c r="C1000" s="1" t="n">
        <v>46106</v>
      </c>
      <c r="D1000" t="inlineStr">
        <is>
          <t>DALARNAS LÄN</t>
        </is>
      </c>
      <c r="E1000" t="inlineStr">
        <is>
          <t>FALUN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179-2026</t>
        </is>
      </c>
      <c r="B1001" s="1" t="n">
        <v>46025</v>
      </c>
      <c r="C1001" s="1" t="n">
        <v>46106</v>
      </c>
      <c r="D1001" t="inlineStr">
        <is>
          <t>DALARNAS LÄN</t>
        </is>
      </c>
      <c r="E1001" t="inlineStr">
        <is>
          <t>FALUN</t>
        </is>
      </c>
      <c r="G1001" t="n">
        <v>20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369-2026</t>
        </is>
      </c>
      <c r="B1002" s="1" t="n">
        <v>46027</v>
      </c>
      <c r="C1002" s="1" t="n">
        <v>46106</v>
      </c>
      <c r="D1002" t="inlineStr">
        <is>
          <t>DALARNAS LÄN</t>
        </is>
      </c>
      <c r="E1002" t="inlineStr">
        <is>
          <t>FALUN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8409-2026</t>
        </is>
      </c>
      <c r="B1003" s="1" t="n">
        <v>46065</v>
      </c>
      <c r="C1003" s="1" t="n">
        <v>46106</v>
      </c>
      <c r="D1003" t="inlineStr">
        <is>
          <t>DALARNAS LÄN</t>
        </is>
      </c>
      <c r="E1003" t="inlineStr">
        <is>
          <t>FALUN</t>
        </is>
      </c>
      <c r="G1003" t="n">
        <v>11.1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8821-2026</t>
        </is>
      </c>
      <c r="B1004" s="1" t="n">
        <v>46066.62600694445</v>
      </c>
      <c r="C1004" s="1" t="n">
        <v>46106</v>
      </c>
      <c r="D1004" t="inlineStr">
        <is>
          <t>DALARNAS LÄN</t>
        </is>
      </c>
      <c r="E1004" t="inlineStr">
        <is>
          <t>FALUN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8842-2026</t>
        </is>
      </c>
      <c r="B1005" s="1" t="n">
        <v>46066.64539351852</v>
      </c>
      <c r="C1005" s="1" t="n">
        <v>46106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HYPERLINK("https://klasma.github.io/Logging_2080/knärot/A 8842-2026 karta knärot.png", "A 8842-2026")</f>
        <v/>
      </c>
      <c r="V1005">
        <f>HYPERLINK("https://klasma.github.io/Logging_2080/klagomål/A 8842-2026 FSC-klagomål.docx", "A 8842-2026")</f>
        <v/>
      </c>
      <c r="W1005">
        <f>HYPERLINK("https://klasma.github.io/Logging_2080/klagomålsmail/A 8842-2026 FSC-klagomål mail.docx", "A 8842-2026")</f>
        <v/>
      </c>
      <c r="X1005">
        <f>HYPERLINK("https://klasma.github.io/Logging_2080/tillsyn/A 8842-2026 tillsynsbegäran.docx", "A 8842-2026")</f>
        <v/>
      </c>
      <c r="Y1005">
        <f>HYPERLINK("https://klasma.github.io/Logging_2080/tillsynsmail/A 8842-2026 tillsynsbegäran mail.docx", "A 8842-2026")</f>
        <v/>
      </c>
    </row>
    <row r="1006" ht="15" customHeight="1">
      <c r="A1006" t="inlineStr">
        <is>
          <t>A 8597-2026</t>
        </is>
      </c>
      <c r="B1006" s="1" t="n">
        <v>46065</v>
      </c>
      <c r="C1006" s="1" t="n">
        <v>46106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569-2026</t>
        </is>
      </c>
      <c r="B1007" s="1" t="n">
        <v>46024</v>
      </c>
      <c r="C1007" s="1" t="n">
        <v>46106</v>
      </c>
      <c r="D1007" t="inlineStr">
        <is>
          <t>DALARNAS LÄN</t>
        </is>
      </c>
      <c r="E1007" t="inlineStr">
        <is>
          <t>FALUN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284-2026</t>
        </is>
      </c>
      <c r="B1008" s="1" t="n">
        <v>46027.48597222222</v>
      </c>
      <c r="C1008" s="1" t="n">
        <v>46106</v>
      </c>
      <c r="D1008" t="inlineStr">
        <is>
          <t>DALARNAS LÄN</t>
        </is>
      </c>
      <c r="E1008" t="inlineStr">
        <is>
          <t>FALUN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52856-2023</t>
        </is>
      </c>
      <c r="B1009" s="1" t="n">
        <v>45226</v>
      </c>
      <c r="C1009" s="1" t="n">
        <v>46106</v>
      </c>
      <c r="D1009" t="inlineStr">
        <is>
          <t>DALARNAS LÄN</t>
        </is>
      </c>
      <c r="E1009" t="inlineStr">
        <is>
          <t>FALUN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296-2026</t>
        </is>
      </c>
      <c r="B1010" s="1" t="n">
        <v>46027.50947916666</v>
      </c>
      <c r="C1010" s="1" t="n">
        <v>46106</v>
      </c>
      <c r="D1010" t="inlineStr">
        <is>
          <t>DALARNAS LÄN</t>
        </is>
      </c>
      <c r="E1010" t="inlineStr">
        <is>
          <t>FALUN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2463-2024</t>
        </is>
      </c>
      <c r="B1011" s="1" t="n">
        <v>45313.33021990741</v>
      </c>
      <c r="C1011" s="1" t="n">
        <v>46106</v>
      </c>
      <c r="D1011" t="inlineStr">
        <is>
          <t>DALARNAS LÄN</t>
        </is>
      </c>
      <c r="E1011" t="inlineStr">
        <is>
          <t>FALUN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8904-2026</t>
        </is>
      </c>
      <c r="B1012" s="1" t="n">
        <v>46068.88479166666</v>
      </c>
      <c r="C1012" s="1" t="n">
        <v>46106</v>
      </c>
      <c r="D1012" t="inlineStr">
        <is>
          <t>DALARNAS LÄN</t>
        </is>
      </c>
      <c r="E1012" t="inlineStr">
        <is>
          <t>FALUN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63312-2023</t>
        </is>
      </c>
      <c r="B1013" s="1" t="n">
        <v>45274</v>
      </c>
      <c r="C1013" s="1" t="n">
        <v>46106</v>
      </c>
      <c r="D1013" t="inlineStr">
        <is>
          <t>DALARNAS LÄN</t>
        </is>
      </c>
      <c r="E1013" t="inlineStr">
        <is>
          <t>FALUN</t>
        </is>
      </c>
      <c r="G1013" t="n">
        <v>16.2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225-2026</t>
        </is>
      </c>
      <c r="B1014" s="1" t="n">
        <v>46026.90065972223</v>
      </c>
      <c r="C1014" s="1" t="n">
        <v>46106</v>
      </c>
      <c r="D1014" t="inlineStr">
        <is>
          <t>DALARNAS LÄN</t>
        </is>
      </c>
      <c r="E1014" t="inlineStr">
        <is>
          <t>FALUN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187-2026</t>
        </is>
      </c>
      <c r="B1015" s="1" t="n">
        <v>46025</v>
      </c>
      <c r="C1015" s="1" t="n">
        <v>46106</v>
      </c>
      <c r="D1015" t="inlineStr">
        <is>
          <t>DALARNAS LÄN</t>
        </is>
      </c>
      <c r="E1015" t="inlineStr">
        <is>
          <t>FALUN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8867-2026</t>
        </is>
      </c>
      <c r="B1016" s="1" t="n">
        <v>46066</v>
      </c>
      <c r="C1016" s="1" t="n">
        <v>46106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9594-2026</t>
        </is>
      </c>
      <c r="B1017" s="1" t="n">
        <v>46071.81111111111</v>
      </c>
      <c r="C1017" s="1" t="n">
        <v>46106</v>
      </c>
      <c r="D1017" t="inlineStr">
        <is>
          <t>DALARNAS LÄN</t>
        </is>
      </c>
      <c r="E1017" t="inlineStr">
        <is>
          <t>FALUN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9231-2026</t>
        </is>
      </c>
      <c r="B1018" s="1" t="n">
        <v>46070.465</v>
      </c>
      <c r="C1018" s="1" t="n">
        <v>46106</v>
      </c>
      <c r="D1018" t="inlineStr">
        <is>
          <t>DALARNAS LÄN</t>
        </is>
      </c>
      <c r="E1018" t="inlineStr">
        <is>
          <t>FALUN</t>
        </is>
      </c>
      <c r="F1018" t="inlineStr">
        <is>
          <t>Bergvik skog väst AB</t>
        </is>
      </c>
      <c r="G1018" t="n">
        <v>9.800000000000001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6792-2026</t>
        </is>
      </c>
      <c r="B1019" s="1" t="n">
        <v>46055</v>
      </c>
      <c r="C1019" s="1" t="n">
        <v>46106</v>
      </c>
      <c r="D1019" t="inlineStr">
        <is>
          <t>DALARNAS LÄN</t>
        </is>
      </c>
      <c r="E1019" t="inlineStr">
        <is>
          <t>FALUN</t>
        </is>
      </c>
      <c r="F1019" t="inlineStr">
        <is>
          <t>Övriga statliga verk och myndigheter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387-2026</t>
        </is>
      </c>
      <c r="B1020" s="1" t="n">
        <v>46027.85378472223</v>
      </c>
      <c r="C1020" s="1" t="n">
        <v>46106</v>
      </c>
      <c r="D1020" t="inlineStr">
        <is>
          <t>DALARNAS LÄN</t>
        </is>
      </c>
      <c r="E1020" t="inlineStr">
        <is>
          <t>FALUN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9439-2026</t>
        </is>
      </c>
      <c r="B1021" s="1" t="n">
        <v>46071.4655324074</v>
      </c>
      <c r="C1021" s="1" t="n">
        <v>46106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9232-2026</t>
        </is>
      </c>
      <c r="B1022" s="1" t="n">
        <v>46070.46709490741</v>
      </c>
      <c r="C1022" s="1" t="n">
        <v>46106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981-2026</t>
        </is>
      </c>
      <c r="B1023" s="1" t="n">
        <v>46029</v>
      </c>
      <c r="C1023" s="1" t="n">
        <v>46106</v>
      </c>
      <c r="D1023" t="inlineStr">
        <is>
          <t>DALARNAS LÄN</t>
        </is>
      </c>
      <c r="E1023" t="inlineStr">
        <is>
          <t>FALUN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6799-2026</t>
        </is>
      </c>
      <c r="B1024" s="1" t="n">
        <v>46055</v>
      </c>
      <c r="C1024" s="1" t="n">
        <v>46106</v>
      </c>
      <c r="D1024" t="inlineStr">
        <is>
          <t>DALARNAS LÄN</t>
        </is>
      </c>
      <c r="E1024" t="inlineStr">
        <is>
          <t>FALUN</t>
        </is>
      </c>
      <c r="F1024" t="inlineStr">
        <is>
          <t>Övriga statliga verk och myndigheter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425-2026</t>
        </is>
      </c>
      <c r="B1025" s="1" t="n">
        <v>46029</v>
      </c>
      <c r="C1025" s="1" t="n">
        <v>46106</v>
      </c>
      <c r="D1025" t="inlineStr">
        <is>
          <t>DALARNAS LÄN</t>
        </is>
      </c>
      <c r="E1025" t="inlineStr">
        <is>
          <t>FALUN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8278-2026</t>
        </is>
      </c>
      <c r="B1026" s="1" t="n">
        <v>46064</v>
      </c>
      <c r="C1026" s="1" t="n">
        <v>46106</v>
      </c>
      <c r="D1026" t="inlineStr">
        <is>
          <t>DALARNAS LÄN</t>
        </is>
      </c>
      <c r="E1026" t="inlineStr">
        <is>
          <t>FALUN</t>
        </is>
      </c>
      <c r="F1026" t="inlineStr">
        <is>
          <t>Bergvik skog väst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670-2026</t>
        </is>
      </c>
      <c r="B1027" s="1" t="n">
        <v>46029</v>
      </c>
      <c r="C1027" s="1" t="n">
        <v>46106</v>
      </c>
      <c r="D1027" t="inlineStr">
        <is>
          <t>DALARNAS LÄN</t>
        </is>
      </c>
      <c r="E1027" t="inlineStr">
        <is>
          <t>FALUN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53640-2024</t>
        </is>
      </c>
      <c r="B1028" s="1" t="n">
        <v>45614.87096064815</v>
      </c>
      <c r="C1028" s="1" t="n">
        <v>46106</v>
      </c>
      <c r="D1028" t="inlineStr">
        <is>
          <t>DALARNAS LÄN</t>
        </is>
      </c>
      <c r="E1028" t="inlineStr">
        <is>
          <t>FALUN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789-2026</t>
        </is>
      </c>
      <c r="B1029" s="1" t="n">
        <v>46029</v>
      </c>
      <c r="C1029" s="1" t="n">
        <v>46106</v>
      </c>
      <c r="D1029" t="inlineStr">
        <is>
          <t>DALARNAS LÄN</t>
        </is>
      </c>
      <c r="E1029" t="inlineStr">
        <is>
          <t>FALUN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3209-2022</t>
        </is>
      </c>
      <c r="B1030" s="1" t="n">
        <v>44582.6703125</v>
      </c>
      <c r="C1030" s="1" t="n">
        <v>46106</v>
      </c>
      <c r="D1030" t="inlineStr">
        <is>
          <t>DALARNAS LÄN</t>
        </is>
      </c>
      <c r="E1030" t="inlineStr">
        <is>
          <t>FALUN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396-2026</t>
        </is>
      </c>
      <c r="B1031" s="1" t="n">
        <v>46028</v>
      </c>
      <c r="C1031" s="1" t="n">
        <v>46106</v>
      </c>
      <c r="D1031" t="inlineStr">
        <is>
          <t>DALARNAS LÄN</t>
        </is>
      </c>
      <c r="E1031" t="inlineStr">
        <is>
          <t>FALUN</t>
        </is>
      </c>
      <c r="G1031" t="n">
        <v>34.8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405-2026</t>
        </is>
      </c>
      <c r="B1032" s="1" t="n">
        <v>46028</v>
      </c>
      <c r="C1032" s="1" t="n">
        <v>46106</v>
      </c>
      <c r="D1032" t="inlineStr">
        <is>
          <t>DALARNAS LÄN</t>
        </is>
      </c>
      <c r="E1032" t="inlineStr">
        <is>
          <t>FALUN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8271-2026</t>
        </is>
      </c>
      <c r="B1033" s="1" t="n">
        <v>46064</v>
      </c>
      <c r="C1033" s="1" t="n">
        <v>46106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389-2026</t>
        </is>
      </c>
      <c r="B1034" s="1" t="n">
        <v>46027.93612268518</v>
      </c>
      <c r="C1034" s="1" t="n">
        <v>46106</v>
      </c>
      <c r="D1034" t="inlineStr">
        <is>
          <t>DALARNAS LÄN</t>
        </is>
      </c>
      <c r="E1034" t="inlineStr">
        <is>
          <t>FALUN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9041-2026</t>
        </is>
      </c>
      <c r="B1035" s="1" t="n">
        <v>46069</v>
      </c>
      <c r="C1035" s="1" t="n">
        <v>46106</v>
      </c>
      <c r="D1035" t="inlineStr">
        <is>
          <t>DALARNAS LÄN</t>
        </is>
      </c>
      <c r="E1035" t="inlineStr">
        <is>
          <t>FALUN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795-2026</t>
        </is>
      </c>
      <c r="B1036" s="1" t="n">
        <v>46029</v>
      </c>
      <c r="C1036" s="1" t="n">
        <v>46106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9346-2026</t>
        </is>
      </c>
      <c r="B1037" s="1" t="n">
        <v>46070</v>
      </c>
      <c r="C1037" s="1" t="n">
        <v>46106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606-2026</t>
        </is>
      </c>
      <c r="B1038" s="1" t="n">
        <v>46029</v>
      </c>
      <c r="C1038" s="1" t="n">
        <v>46106</v>
      </c>
      <c r="D1038" t="inlineStr">
        <is>
          <t>DALARNAS LÄN</t>
        </is>
      </c>
      <c r="E1038" t="inlineStr">
        <is>
          <t>FALUN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386-2026</t>
        </is>
      </c>
      <c r="B1039" s="1" t="n">
        <v>46027.83980324074</v>
      </c>
      <c r="C1039" s="1" t="n">
        <v>46106</v>
      </c>
      <c r="D1039" t="inlineStr">
        <is>
          <t>DALARNAS LÄN</t>
        </is>
      </c>
      <c r="E1039" t="inlineStr">
        <is>
          <t>FALUN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10318-2024</t>
        </is>
      </c>
      <c r="B1040" s="1" t="n">
        <v>45365.54184027778</v>
      </c>
      <c r="C1040" s="1" t="n">
        <v>46106</v>
      </c>
      <c r="D1040" t="inlineStr">
        <is>
          <t>DALARNAS LÄN</t>
        </is>
      </c>
      <c r="E1040" t="inlineStr">
        <is>
          <t>FALUN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9337-2026</t>
        </is>
      </c>
      <c r="B1041" s="1" t="n">
        <v>46070.66954861111</v>
      </c>
      <c r="C1041" s="1" t="n">
        <v>46106</v>
      </c>
      <c r="D1041" t="inlineStr">
        <is>
          <t>DALARNAS LÄN</t>
        </is>
      </c>
      <c r="E1041" t="inlineStr">
        <is>
          <t>FALUN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9342-2026</t>
        </is>
      </c>
      <c r="B1042" s="1" t="n">
        <v>46070.67762731481</v>
      </c>
      <c r="C1042" s="1" t="n">
        <v>46106</v>
      </c>
      <c r="D1042" t="inlineStr">
        <is>
          <t>DALARNAS LÄN</t>
        </is>
      </c>
      <c r="E1042" t="inlineStr">
        <is>
          <t>FALUN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9343-2026</t>
        </is>
      </c>
      <c r="B1043" s="1" t="n">
        <v>46070</v>
      </c>
      <c r="C1043" s="1" t="n">
        <v>46106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14.6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1303-2026</t>
        </is>
      </c>
      <c r="B1044" s="1" t="n">
        <v>46031</v>
      </c>
      <c r="C1044" s="1" t="n">
        <v>46106</v>
      </c>
      <c r="D1044" t="inlineStr">
        <is>
          <t>DALARNAS LÄN</t>
        </is>
      </c>
      <c r="E1044" t="inlineStr">
        <is>
          <t>FALUN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1315-2026</t>
        </is>
      </c>
      <c r="B1045" s="1" t="n">
        <v>46031</v>
      </c>
      <c r="C1045" s="1" t="n">
        <v>46106</v>
      </c>
      <c r="D1045" t="inlineStr">
        <is>
          <t>DALARNAS LÄN</t>
        </is>
      </c>
      <c r="E1045" t="inlineStr">
        <is>
          <t>FALUN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11579-2024</t>
        </is>
      </c>
      <c r="B1046" s="1" t="n">
        <v>45373.34085648148</v>
      </c>
      <c r="C1046" s="1" t="n">
        <v>46106</v>
      </c>
      <c r="D1046" t="inlineStr">
        <is>
          <t>DALARNAS LÄN</t>
        </is>
      </c>
      <c r="E1046" t="inlineStr">
        <is>
          <t>FALUN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11584-2024</t>
        </is>
      </c>
      <c r="B1047" s="1" t="n">
        <v>45373.36180555556</v>
      </c>
      <c r="C1047" s="1" t="n">
        <v>46106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56136-2024</t>
        </is>
      </c>
      <c r="B1048" s="1" t="n">
        <v>45624.4871412037</v>
      </c>
      <c r="C1048" s="1" t="n">
        <v>46106</v>
      </c>
      <c r="D1048" t="inlineStr">
        <is>
          <t>DALARNAS LÄN</t>
        </is>
      </c>
      <c r="E1048" t="inlineStr">
        <is>
          <t>FALUN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56141-2024</t>
        </is>
      </c>
      <c r="B1049" s="1" t="n">
        <v>45624.48984953704</v>
      </c>
      <c r="C1049" s="1" t="n">
        <v>46106</v>
      </c>
      <c r="D1049" t="inlineStr">
        <is>
          <t>DALARNAS LÄN</t>
        </is>
      </c>
      <c r="E1049" t="inlineStr">
        <is>
          <t>FALUN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1362-2026</t>
        </is>
      </c>
      <c r="B1050" s="1" t="n">
        <v>46031</v>
      </c>
      <c r="C1050" s="1" t="n">
        <v>46106</v>
      </c>
      <c r="D1050" t="inlineStr">
        <is>
          <t>DALARNAS LÄN</t>
        </is>
      </c>
      <c r="E1050" t="inlineStr">
        <is>
          <t>FALUN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1363-2026</t>
        </is>
      </c>
      <c r="B1051" s="1" t="n">
        <v>46031</v>
      </c>
      <c r="C1051" s="1" t="n">
        <v>46106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1321-2026</t>
        </is>
      </c>
      <c r="B1052" s="1" t="n">
        <v>46031.54619212963</v>
      </c>
      <c r="C1052" s="1" t="n">
        <v>46106</v>
      </c>
      <c r="D1052" t="inlineStr">
        <is>
          <t>DALARNAS LÄN</t>
        </is>
      </c>
      <c r="E1052" t="inlineStr">
        <is>
          <t>FALUN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1015-2026</t>
        </is>
      </c>
      <c r="B1053" s="1" t="n">
        <v>46030</v>
      </c>
      <c r="C1053" s="1" t="n">
        <v>46106</v>
      </c>
      <c r="D1053" t="inlineStr">
        <is>
          <t>DALARNAS LÄN</t>
        </is>
      </c>
      <c r="E1053" t="inlineStr">
        <is>
          <t>FALUN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9746-2026</t>
        </is>
      </c>
      <c r="B1054" s="1" t="n">
        <v>46072.52494212963</v>
      </c>
      <c r="C1054" s="1" t="n">
        <v>46106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9544-2026</t>
        </is>
      </c>
      <c r="B1055" s="1" t="n">
        <v>46071</v>
      </c>
      <c r="C1055" s="1" t="n">
        <v>46106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11.3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9654-2026</t>
        </is>
      </c>
      <c r="B1056" s="1" t="n">
        <v>46072.36206018519</v>
      </c>
      <c r="C1056" s="1" t="n">
        <v>46106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34603-2021</t>
        </is>
      </c>
      <c r="B1057" s="1" t="n">
        <v>44382.49001157407</v>
      </c>
      <c r="C1057" s="1" t="n">
        <v>46106</v>
      </c>
      <c r="D1057" t="inlineStr">
        <is>
          <t>DALARNAS LÄN</t>
        </is>
      </c>
      <c r="E1057" t="inlineStr">
        <is>
          <t>FALUN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9198-2026</t>
        </is>
      </c>
      <c r="B1058" s="1" t="n">
        <v>46070</v>
      </c>
      <c r="C1058" s="1" t="n">
        <v>46106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852-2026</t>
        </is>
      </c>
      <c r="B1059" s="1" t="n">
        <v>46030</v>
      </c>
      <c r="C1059" s="1" t="n">
        <v>46106</v>
      </c>
      <c r="D1059" t="inlineStr">
        <is>
          <t>DALARNAS LÄN</t>
        </is>
      </c>
      <c r="E1059" t="inlineStr">
        <is>
          <t>FALUN</t>
        </is>
      </c>
      <c r="G1059" t="n">
        <v>15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1306-2026</t>
        </is>
      </c>
      <c r="B1060" s="1" t="n">
        <v>46031</v>
      </c>
      <c r="C1060" s="1" t="n">
        <v>46106</v>
      </c>
      <c r="D1060" t="inlineStr">
        <is>
          <t>DALARNAS LÄN</t>
        </is>
      </c>
      <c r="E1060" t="inlineStr">
        <is>
          <t>FALUN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866-2026</t>
        </is>
      </c>
      <c r="B1061" s="1" t="n">
        <v>46030</v>
      </c>
      <c r="C1061" s="1" t="n">
        <v>46106</v>
      </c>
      <c r="D1061" t="inlineStr">
        <is>
          <t>DALARNAS LÄN</t>
        </is>
      </c>
      <c r="E1061" t="inlineStr">
        <is>
          <t>FALUN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864-2026</t>
        </is>
      </c>
      <c r="B1062" s="1" t="n">
        <v>46030</v>
      </c>
      <c r="C1062" s="1" t="n">
        <v>46106</v>
      </c>
      <c r="D1062" t="inlineStr">
        <is>
          <t>DALARNAS LÄN</t>
        </is>
      </c>
      <c r="E1062" t="inlineStr">
        <is>
          <t>FALUN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1609-2026</t>
        </is>
      </c>
      <c r="B1063" s="1" t="n">
        <v>46031</v>
      </c>
      <c r="C1063" s="1" t="n">
        <v>46106</v>
      </c>
      <c r="D1063" t="inlineStr">
        <is>
          <t>DALARNAS LÄN</t>
        </is>
      </c>
      <c r="E1063" t="inlineStr">
        <is>
          <t>FALUN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9364-2026</t>
        </is>
      </c>
      <c r="B1064" s="1" t="n">
        <v>46070</v>
      </c>
      <c r="C1064" s="1" t="n">
        <v>46106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8587-2026</t>
        </is>
      </c>
      <c r="B1065" s="1" t="n">
        <v>46065</v>
      </c>
      <c r="C1065" s="1" t="n">
        <v>46106</v>
      </c>
      <c r="D1065" t="inlineStr">
        <is>
          <t>DALARNAS LÄN</t>
        </is>
      </c>
      <c r="E1065" t="inlineStr">
        <is>
          <t>FALUN</t>
        </is>
      </c>
      <c r="F1065" t="inlineStr">
        <is>
          <t>Allmännings- och besparingsskogar</t>
        </is>
      </c>
      <c r="G1065" t="n">
        <v>10.4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9699-2026</t>
        </is>
      </c>
      <c r="B1066" s="1" t="n">
        <v>46072.41680555556</v>
      </c>
      <c r="C1066" s="1" t="n">
        <v>46106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1036-2026</t>
        </is>
      </c>
      <c r="B1067" s="1" t="n">
        <v>46030</v>
      </c>
      <c r="C1067" s="1" t="n">
        <v>46106</v>
      </c>
      <c r="D1067" t="inlineStr">
        <is>
          <t>DALARNAS LÄN</t>
        </is>
      </c>
      <c r="E1067" t="inlineStr">
        <is>
          <t>FALUN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1141-2026</t>
        </is>
      </c>
      <c r="B1068" s="1" t="n">
        <v>46030</v>
      </c>
      <c r="C1068" s="1" t="n">
        <v>46106</v>
      </c>
      <c r="D1068" t="inlineStr">
        <is>
          <t>DALARNAS LÄN</t>
        </is>
      </c>
      <c r="E1068" t="inlineStr">
        <is>
          <t>FALUN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1178-2026</t>
        </is>
      </c>
      <c r="B1069" s="1" t="n">
        <v>46031.35710648148</v>
      </c>
      <c r="C1069" s="1" t="n">
        <v>46106</v>
      </c>
      <c r="D1069" t="inlineStr">
        <is>
          <t>DALARNAS LÄN</t>
        </is>
      </c>
      <c r="E1069" t="inlineStr">
        <is>
          <t>FALUN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1183-2026</t>
        </is>
      </c>
      <c r="B1070" s="1" t="n">
        <v>46031.35973379629</v>
      </c>
      <c r="C1070" s="1" t="n">
        <v>46106</v>
      </c>
      <c r="D1070" t="inlineStr">
        <is>
          <t>DALARNAS LÄN</t>
        </is>
      </c>
      <c r="E1070" t="inlineStr">
        <is>
          <t>FALUN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1186-2026</t>
        </is>
      </c>
      <c r="B1071" s="1" t="n">
        <v>46031.36331018519</v>
      </c>
      <c r="C1071" s="1" t="n">
        <v>46106</v>
      </c>
      <c r="D1071" t="inlineStr">
        <is>
          <t>DALARNAS LÄN</t>
        </is>
      </c>
      <c r="E1071" t="inlineStr">
        <is>
          <t>FALUN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7755-2024</t>
        </is>
      </c>
      <c r="B1072" s="1" t="n">
        <v>45349.5361574074</v>
      </c>
      <c r="C1072" s="1" t="n">
        <v>46106</v>
      </c>
      <c r="D1072" t="inlineStr">
        <is>
          <t>DALARNAS LÄN</t>
        </is>
      </c>
      <c r="E1072" t="inlineStr">
        <is>
          <t>FALUN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9686-2026</t>
        </is>
      </c>
      <c r="B1073" s="1" t="n">
        <v>46071</v>
      </c>
      <c r="C1073" s="1" t="n">
        <v>46106</v>
      </c>
      <c r="D1073" t="inlineStr">
        <is>
          <t>DALARNAS LÄN</t>
        </is>
      </c>
      <c r="E1073" t="inlineStr">
        <is>
          <t>FALUN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9214-2026</t>
        </is>
      </c>
      <c r="B1074" s="1" t="n">
        <v>46070</v>
      </c>
      <c r="C1074" s="1" t="n">
        <v>46106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8359-2026</t>
        </is>
      </c>
      <c r="B1075" s="1" t="n">
        <v>46064</v>
      </c>
      <c r="C1075" s="1" t="n">
        <v>46106</v>
      </c>
      <c r="D1075" t="inlineStr">
        <is>
          <t>DALARNAS LÄN</t>
        </is>
      </c>
      <c r="E1075" t="inlineStr">
        <is>
          <t>FALUN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905-2026</t>
        </is>
      </c>
      <c r="B1076" s="1" t="n">
        <v>46030</v>
      </c>
      <c r="C1076" s="1" t="n">
        <v>46106</v>
      </c>
      <c r="D1076" t="inlineStr">
        <is>
          <t>DALARNAS LÄN</t>
        </is>
      </c>
      <c r="E1076" t="inlineStr">
        <is>
          <t>FALUN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1300-2026</t>
        </is>
      </c>
      <c r="B1077" s="1" t="n">
        <v>46031.52229166667</v>
      </c>
      <c r="C1077" s="1" t="n">
        <v>46106</v>
      </c>
      <c r="D1077" t="inlineStr">
        <is>
          <t>DALARNAS LÄN</t>
        </is>
      </c>
      <c r="E1077" t="inlineStr">
        <is>
          <t>FALUN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50707-2024</t>
        </is>
      </c>
      <c r="B1078" s="1" t="n">
        <v>45602.36873842592</v>
      </c>
      <c r="C1078" s="1" t="n">
        <v>46106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1781-2026</t>
        </is>
      </c>
      <c r="B1079" s="1" t="n">
        <v>46031</v>
      </c>
      <c r="C1079" s="1" t="n">
        <v>46106</v>
      </c>
      <c r="D1079" t="inlineStr">
        <is>
          <t>DALARNAS LÄN</t>
        </is>
      </c>
      <c r="E1079" t="inlineStr">
        <is>
          <t>FALUN</t>
        </is>
      </c>
      <c r="G1079" t="n">
        <v>8.9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1422-2026</t>
        </is>
      </c>
      <c r="B1080" s="1" t="n">
        <v>46031</v>
      </c>
      <c r="C1080" s="1" t="n">
        <v>46106</v>
      </c>
      <c r="D1080" t="inlineStr">
        <is>
          <t>DALARNAS LÄN</t>
        </is>
      </c>
      <c r="E1080" t="inlineStr">
        <is>
          <t>FALUN</t>
        </is>
      </c>
      <c r="G1080" t="n">
        <v>25.5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8760-2026</t>
        </is>
      </c>
      <c r="B1081" s="1" t="n">
        <v>46066</v>
      </c>
      <c r="C1081" s="1" t="n">
        <v>46106</v>
      </c>
      <c r="D1081" t="inlineStr">
        <is>
          <t>DALARNAS LÄN</t>
        </is>
      </c>
      <c r="E1081" t="inlineStr">
        <is>
          <t>FALUN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8854-2026</t>
        </is>
      </c>
      <c r="B1082" s="1" t="n">
        <v>46066</v>
      </c>
      <c r="C1082" s="1" t="n">
        <v>46106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9606-2026</t>
        </is>
      </c>
      <c r="B1083" s="1" t="n">
        <v>46071.92254629629</v>
      </c>
      <c r="C1083" s="1" t="n">
        <v>46106</v>
      </c>
      <c r="D1083" t="inlineStr">
        <is>
          <t>DALARNAS LÄN</t>
        </is>
      </c>
      <c r="E1083" t="inlineStr">
        <is>
          <t>FALUN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1135-2026</t>
        </is>
      </c>
      <c r="B1084" s="1" t="n">
        <v>46030.77744212963</v>
      </c>
      <c r="C1084" s="1" t="n">
        <v>46106</v>
      </c>
      <c r="D1084" t="inlineStr">
        <is>
          <t>DALARNAS LÄN</t>
        </is>
      </c>
      <c r="E1084" t="inlineStr">
        <is>
          <t>FALUN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1364-2026</t>
        </is>
      </c>
      <c r="B1085" s="1" t="n">
        <v>46031</v>
      </c>
      <c r="C1085" s="1" t="n">
        <v>46106</v>
      </c>
      <c r="D1085" t="inlineStr">
        <is>
          <t>DALARNAS LÄN</t>
        </is>
      </c>
      <c r="E1085" t="inlineStr">
        <is>
          <t>FALUN</t>
        </is>
      </c>
      <c r="G1085" t="n">
        <v>10.2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8588-2026</t>
        </is>
      </c>
      <c r="B1086" s="1" t="n">
        <v>46065</v>
      </c>
      <c r="C1086" s="1" t="n">
        <v>46106</v>
      </c>
      <c r="D1086" t="inlineStr">
        <is>
          <t>DALARNAS LÄN</t>
        </is>
      </c>
      <c r="E1086" t="inlineStr">
        <is>
          <t>FALUN</t>
        </is>
      </c>
      <c r="F1086" t="inlineStr">
        <is>
          <t>Allmännings- och besparingsskogar</t>
        </is>
      </c>
      <c r="G1086" t="n">
        <v>17.4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8626-2026</t>
        </is>
      </c>
      <c r="B1087" s="1" t="n">
        <v>46066</v>
      </c>
      <c r="C1087" s="1" t="n">
        <v>46106</v>
      </c>
      <c r="D1087" t="inlineStr">
        <is>
          <t>DALARNAS LÄN</t>
        </is>
      </c>
      <c r="E1087" t="inlineStr">
        <is>
          <t>FALUN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12926-2025</t>
        </is>
      </c>
      <c r="B1088" s="1" t="n">
        <v>45734.32288194444</v>
      </c>
      <c r="C1088" s="1" t="n">
        <v>46106</v>
      </c>
      <c r="D1088" t="inlineStr">
        <is>
          <t>DALARNAS LÄN</t>
        </is>
      </c>
      <c r="E1088" t="inlineStr">
        <is>
          <t>FALUN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1140-2026</t>
        </is>
      </c>
      <c r="B1089" s="1" t="n">
        <v>46030</v>
      </c>
      <c r="C1089" s="1" t="n">
        <v>46106</v>
      </c>
      <c r="D1089" t="inlineStr">
        <is>
          <t>DALARNAS LÄN</t>
        </is>
      </c>
      <c r="E1089" t="inlineStr">
        <is>
          <t>FALUN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4036-2026</t>
        </is>
      </c>
      <c r="B1090" s="1" t="n">
        <v>46044</v>
      </c>
      <c r="C1090" s="1" t="n">
        <v>46106</v>
      </c>
      <c r="D1090" t="inlineStr">
        <is>
          <t>DALARNAS LÄN</t>
        </is>
      </c>
      <c r="E1090" t="inlineStr">
        <is>
          <t>FALUN</t>
        </is>
      </c>
      <c r="F1090" t="inlineStr">
        <is>
          <t>Kyrkan</t>
        </is>
      </c>
      <c r="G1090" t="n">
        <v>18.5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1323-2026</t>
        </is>
      </c>
      <c r="B1091" s="1" t="n">
        <v>46031.54957175926</v>
      </c>
      <c r="C1091" s="1" t="n">
        <v>46106</v>
      </c>
      <c r="D1091" t="inlineStr">
        <is>
          <t>DALARNAS LÄN</t>
        </is>
      </c>
      <c r="E1091" t="inlineStr">
        <is>
          <t>FALUN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9466-2026</t>
        </is>
      </c>
      <c r="B1092" s="1" t="n">
        <v>46071</v>
      </c>
      <c r="C1092" s="1" t="n">
        <v>46106</v>
      </c>
      <c r="D1092" t="inlineStr">
        <is>
          <t>DALARNAS LÄN</t>
        </is>
      </c>
      <c r="E1092" t="inlineStr">
        <is>
          <t>FALUN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1314-2026</t>
        </is>
      </c>
      <c r="B1093" s="1" t="n">
        <v>46031.53775462963</v>
      </c>
      <c r="C1093" s="1" t="n">
        <v>46106</v>
      </c>
      <c r="D1093" t="inlineStr">
        <is>
          <t>DALARNAS LÄN</t>
        </is>
      </c>
      <c r="E1093" t="inlineStr">
        <is>
          <t>FALUN</t>
        </is>
      </c>
      <c r="G1093" t="n">
        <v>37.9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9842-2026</t>
        </is>
      </c>
      <c r="B1094" s="1" t="n">
        <v>46072</v>
      </c>
      <c r="C1094" s="1" t="n">
        <v>46106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1851-2026</t>
        </is>
      </c>
      <c r="B1095" s="1" t="n">
        <v>46035.41511574074</v>
      </c>
      <c r="C1095" s="1" t="n">
        <v>46106</v>
      </c>
      <c r="D1095" t="inlineStr">
        <is>
          <t>DALARNAS LÄN</t>
        </is>
      </c>
      <c r="E1095" t="inlineStr">
        <is>
          <t>FALUN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2017-2026</t>
        </is>
      </c>
      <c r="B1096" s="1" t="n">
        <v>46035.71475694444</v>
      </c>
      <c r="C1096" s="1" t="n">
        <v>46106</v>
      </c>
      <c r="D1096" t="inlineStr">
        <is>
          <t>DALARNAS LÄN</t>
        </is>
      </c>
      <c r="E1096" t="inlineStr">
        <is>
          <t>FALUN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2029-2026</t>
        </is>
      </c>
      <c r="B1097" s="1" t="n">
        <v>46035.730625</v>
      </c>
      <c r="C1097" s="1" t="n">
        <v>46106</v>
      </c>
      <c r="D1097" t="inlineStr">
        <is>
          <t>DALARNAS LÄN</t>
        </is>
      </c>
      <c r="E1097" t="inlineStr">
        <is>
          <t>FALUN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9587-2026</t>
        </is>
      </c>
      <c r="B1098" s="1" t="n">
        <v>46071</v>
      </c>
      <c r="C1098" s="1" t="n">
        <v>46106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1727-2026</t>
        </is>
      </c>
      <c r="B1099" s="1" t="n">
        <v>46034.62599537037</v>
      </c>
      <c r="C1099" s="1" t="n">
        <v>46106</v>
      </c>
      <c r="D1099" t="inlineStr">
        <is>
          <t>DALARNAS LÄN</t>
        </is>
      </c>
      <c r="E1099" t="inlineStr">
        <is>
          <t>FALUN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1791-2026</t>
        </is>
      </c>
      <c r="B1100" s="1" t="n">
        <v>46034.90341435185</v>
      </c>
      <c r="C1100" s="1" t="n">
        <v>46106</v>
      </c>
      <c r="D1100" t="inlineStr">
        <is>
          <t>DALARNAS LÄN</t>
        </is>
      </c>
      <c r="E1100" t="inlineStr">
        <is>
          <t>FALUN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10190-2026</t>
        </is>
      </c>
      <c r="B1101" s="1" t="n">
        <v>46076.45496527778</v>
      </c>
      <c r="C1101" s="1" t="n">
        <v>46106</v>
      </c>
      <c r="D1101" t="inlineStr">
        <is>
          <t>DALARNAS LÄN</t>
        </is>
      </c>
      <c r="E1101" t="inlineStr">
        <is>
          <t>FALUN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9080-2026</t>
        </is>
      </c>
      <c r="B1102" s="1" t="n">
        <v>46069</v>
      </c>
      <c r="C1102" s="1" t="n">
        <v>46106</v>
      </c>
      <c r="D1102" t="inlineStr">
        <is>
          <t>DALARNAS LÄN</t>
        </is>
      </c>
      <c r="E1102" t="inlineStr">
        <is>
          <t>FALUN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35231-2021</t>
        </is>
      </c>
      <c r="B1103" s="1" t="n">
        <v>44384</v>
      </c>
      <c r="C1103" s="1" t="n">
        <v>46106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9131-2026</t>
        </is>
      </c>
      <c r="B1104" s="1" t="n">
        <v>46069</v>
      </c>
      <c r="C1104" s="1" t="n">
        <v>46106</v>
      </c>
      <c r="D1104" t="inlineStr">
        <is>
          <t>DALARNAS LÄN</t>
        </is>
      </c>
      <c r="E1104" t="inlineStr">
        <is>
          <t>FALUN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1836-2026</t>
        </is>
      </c>
      <c r="B1105" s="1" t="n">
        <v>46035.38809027777</v>
      </c>
      <c r="C1105" s="1" t="n">
        <v>46106</v>
      </c>
      <c r="D1105" t="inlineStr">
        <is>
          <t>DALARNAS LÄN</t>
        </is>
      </c>
      <c r="E1105" t="inlineStr">
        <is>
          <t>FALUN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5311-2025</t>
        </is>
      </c>
      <c r="B1106" s="1" t="n">
        <v>45692.50388888889</v>
      </c>
      <c r="C1106" s="1" t="n">
        <v>46106</v>
      </c>
      <c r="D1106" t="inlineStr">
        <is>
          <t>DALARNAS LÄN</t>
        </is>
      </c>
      <c r="E1106" t="inlineStr">
        <is>
          <t>FALUN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2239-2026</t>
        </is>
      </c>
      <c r="B1107" s="1" t="n">
        <v>46034</v>
      </c>
      <c r="C1107" s="1" t="n">
        <v>46106</v>
      </c>
      <c r="D1107" t="inlineStr">
        <is>
          <t>DALARNAS LÄN</t>
        </is>
      </c>
      <c r="E1107" t="inlineStr">
        <is>
          <t>FALUN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2248-2026</t>
        </is>
      </c>
      <c r="B1108" s="1" t="n">
        <v>46034</v>
      </c>
      <c r="C1108" s="1" t="n">
        <v>46106</v>
      </c>
      <c r="D1108" t="inlineStr">
        <is>
          <t>DALARNAS LÄN</t>
        </is>
      </c>
      <c r="E1108" t="inlineStr">
        <is>
          <t>FALUN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1952-2026</t>
        </is>
      </c>
      <c r="B1109" s="1" t="n">
        <v>46035.60548611111</v>
      </c>
      <c r="C1109" s="1" t="n">
        <v>46106</v>
      </c>
      <c r="D1109" t="inlineStr">
        <is>
          <t>DALARNAS LÄN</t>
        </is>
      </c>
      <c r="E1109" t="inlineStr">
        <is>
          <t>FALUN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2011-2026</t>
        </is>
      </c>
      <c r="B1110" s="1" t="n">
        <v>46035.70446759259</v>
      </c>
      <c r="C1110" s="1" t="n">
        <v>46106</v>
      </c>
      <c r="D1110" t="inlineStr">
        <is>
          <t>DALARNAS LÄN</t>
        </is>
      </c>
      <c r="E1110" t="inlineStr">
        <is>
          <t>FALUN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2021-2026</t>
        </is>
      </c>
      <c r="B1111" s="1" t="n">
        <v>46035.71814814815</v>
      </c>
      <c r="C1111" s="1" t="n">
        <v>46106</v>
      </c>
      <c r="D1111" t="inlineStr">
        <is>
          <t>DALARNAS LÄN</t>
        </is>
      </c>
      <c r="E1111" t="inlineStr">
        <is>
          <t>FALUN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2025-2026</t>
        </is>
      </c>
      <c r="B1112" s="1" t="n">
        <v>46035.72525462963</v>
      </c>
      <c r="C1112" s="1" t="n">
        <v>46106</v>
      </c>
      <c r="D1112" t="inlineStr">
        <is>
          <t>DALARNAS LÄN</t>
        </is>
      </c>
      <c r="E1112" t="inlineStr">
        <is>
          <t>FALUN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1959-2026</t>
        </is>
      </c>
      <c r="B1113" s="1" t="n">
        <v>46035.62743055556</v>
      </c>
      <c r="C1113" s="1" t="n">
        <v>46106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1490-2026</t>
        </is>
      </c>
      <c r="B1114" s="1" t="n">
        <v>46034</v>
      </c>
      <c r="C1114" s="1" t="n">
        <v>46106</v>
      </c>
      <c r="D1114" t="inlineStr">
        <is>
          <t>DALARNAS LÄN</t>
        </is>
      </c>
      <c r="E1114" t="inlineStr">
        <is>
          <t>FALUN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1426-2026</t>
        </is>
      </c>
      <c r="B1115" s="1" t="n">
        <v>46031.91140046297</v>
      </c>
      <c r="C1115" s="1" t="n">
        <v>46106</v>
      </c>
      <c r="D1115" t="inlineStr">
        <is>
          <t>DALARNAS LÄN</t>
        </is>
      </c>
      <c r="E1115" t="inlineStr">
        <is>
          <t>FALUN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8590-2026</t>
        </is>
      </c>
      <c r="B1116" s="1" t="n">
        <v>46065</v>
      </c>
      <c r="C1116" s="1" t="n">
        <v>46106</v>
      </c>
      <c r="D1116" t="inlineStr">
        <is>
          <t>DALARNAS LÄN</t>
        </is>
      </c>
      <c r="E1116" t="inlineStr">
        <is>
          <t>FALUN</t>
        </is>
      </c>
      <c r="G1116" t="n">
        <v>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1767-2026</t>
        </is>
      </c>
      <c r="B1117" s="1" t="n">
        <v>46034</v>
      </c>
      <c r="C1117" s="1" t="n">
        <v>46106</v>
      </c>
      <c r="D1117" t="inlineStr">
        <is>
          <t>DALARNAS LÄN</t>
        </is>
      </c>
      <c r="E1117" t="inlineStr">
        <is>
          <t>FALUN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47328-2023</t>
        </is>
      </c>
      <c r="B1118" s="1" t="n">
        <v>45202.52186342593</v>
      </c>
      <c r="C1118" s="1" t="n">
        <v>46106</v>
      </c>
      <c r="D1118" t="inlineStr">
        <is>
          <t>DALARNAS LÄN</t>
        </is>
      </c>
      <c r="E1118" t="inlineStr">
        <is>
          <t>FALUN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1435-2026</t>
        </is>
      </c>
      <c r="B1119" s="1" t="n">
        <v>46032.55428240741</v>
      </c>
      <c r="C1119" s="1" t="n">
        <v>46106</v>
      </c>
      <c r="D1119" t="inlineStr">
        <is>
          <t>DALARNAS LÄN</t>
        </is>
      </c>
      <c r="E1119" t="inlineStr">
        <is>
          <t>FALUN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1442-2026</t>
        </is>
      </c>
      <c r="B1120" s="1" t="n">
        <v>46032.66289351852</v>
      </c>
      <c r="C1120" s="1" t="n">
        <v>46106</v>
      </c>
      <c r="D1120" t="inlineStr">
        <is>
          <t>DALARNAS LÄN</t>
        </is>
      </c>
      <c r="E1120" t="inlineStr">
        <is>
          <t>FALUN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1446-2026</t>
        </is>
      </c>
      <c r="B1121" s="1" t="n">
        <v>46032.83798611111</v>
      </c>
      <c r="C1121" s="1" t="n">
        <v>46106</v>
      </c>
      <c r="D1121" t="inlineStr">
        <is>
          <t>DALARNAS LÄN</t>
        </is>
      </c>
      <c r="E1121" t="inlineStr">
        <is>
          <t>FALUN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1792-2026</t>
        </is>
      </c>
      <c r="B1122" s="1" t="n">
        <v>46034</v>
      </c>
      <c r="C1122" s="1" t="n">
        <v>46106</v>
      </c>
      <c r="D1122" t="inlineStr">
        <is>
          <t>DALARNAS LÄN</t>
        </is>
      </c>
      <c r="E1122" t="inlineStr">
        <is>
          <t>FALUN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1465-2026</t>
        </is>
      </c>
      <c r="B1123" s="1" t="n">
        <v>46033.69918981481</v>
      </c>
      <c r="C1123" s="1" t="n">
        <v>46106</v>
      </c>
      <c r="D1123" t="inlineStr">
        <is>
          <t>DALARNAS LÄN</t>
        </is>
      </c>
      <c r="E1123" t="inlineStr">
        <is>
          <t>FALUN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9874-2026</t>
        </is>
      </c>
      <c r="B1124" s="1" t="n">
        <v>46073</v>
      </c>
      <c r="C1124" s="1" t="n">
        <v>46106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9878-2026</t>
        </is>
      </c>
      <c r="B1125" s="1" t="n">
        <v>46073</v>
      </c>
      <c r="C1125" s="1" t="n">
        <v>46106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9840-2026</t>
        </is>
      </c>
      <c r="B1126" s="1" t="n">
        <v>46072</v>
      </c>
      <c r="C1126" s="1" t="n">
        <v>46106</v>
      </c>
      <c r="D1126" t="inlineStr">
        <is>
          <t>DALARNAS LÄN</t>
        </is>
      </c>
      <c r="E1126" t="inlineStr">
        <is>
          <t>FALUN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1932-2026</t>
        </is>
      </c>
      <c r="B1127" s="1" t="n">
        <v>46035.58309027777</v>
      </c>
      <c r="C1127" s="1" t="n">
        <v>46106</v>
      </c>
      <c r="D1127" t="inlineStr">
        <is>
          <t>DALARNAS LÄN</t>
        </is>
      </c>
      <c r="E1127" t="inlineStr">
        <is>
          <t>FALUN</t>
        </is>
      </c>
      <c r="G1127" t="n">
        <v>26.7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1951-2026</t>
        </is>
      </c>
      <c r="B1128" s="1" t="n">
        <v>46035.60332175926</v>
      </c>
      <c r="C1128" s="1" t="n">
        <v>46106</v>
      </c>
      <c r="D1128" t="inlineStr">
        <is>
          <t>DALARNAS LÄN</t>
        </is>
      </c>
      <c r="E1128" t="inlineStr">
        <is>
          <t>FALUN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9037-2026</t>
        </is>
      </c>
      <c r="B1129" s="1" t="n">
        <v>46069</v>
      </c>
      <c r="C1129" s="1" t="n">
        <v>46106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1443-2026</t>
        </is>
      </c>
      <c r="B1130" s="1" t="n">
        <v>46032.66321759259</v>
      </c>
      <c r="C1130" s="1" t="n">
        <v>46106</v>
      </c>
      <c r="D1130" t="inlineStr">
        <is>
          <t>DALARNAS LÄN</t>
        </is>
      </c>
      <c r="E1130" t="inlineStr">
        <is>
          <t>FALUN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1459-2026</t>
        </is>
      </c>
      <c r="B1131" s="1" t="n">
        <v>46033.67060185185</v>
      </c>
      <c r="C1131" s="1" t="n">
        <v>46106</v>
      </c>
      <c r="D1131" t="inlineStr">
        <is>
          <t>DALARNAS LÄN</t>
        </is>
      </c>
      <c r="E1131" t="inlineStr">
        <is>
          <t>FALUN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14834-2024</t>
        </is>
      </c>
      <c r="B1132" s="1" t="n">
        <v>45398.3720949074</v>
      </c>
      <c r="C1132" s="1" t="n">
        <v>46106</v>
      </c>
      <c r="D1132" t="inlineStr">
        <is>
          <t>DALARNAS LÄN</t>
        </is>
      </c>
      <c r="E1132" t="inlineStr">
        <is>
          <t>FALUN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10615-2026</t>
        </is>
      </c>
      <c r="B1133" s="1" t="n">
        <v>46077.85165509259</v>
      </c>
      <c r="C1133" s="1" t="n">
        <v>46106</v>
      </c>
      <c r="D1133" t="inlineStr">
        <is>
          <t>DALARNAS LÄN</t>
        </is>
      </c>
      <c r="E1133" t="inlineStr">
        <is>
          <t>FALUN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1741-2026</t>
        </is>
      </c>
      <c r="B1134" s="1" t="n">
        <v>46034</v>
      </c>
      <c r="C1134" s="1" t="n">
        <v>46106</v>
      </c>
      <c r="D1134" t="inlineStr">
        <is>
          <t>DALARNAS LÄN</t>
        </is>
      </c>
      <c r="E1134" t="inlineStr">
        <is>
          <t>FALUN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1467-2026</t>
        </is>
      </c>
      <c r="B1135" s="1" t="n">
        <v>46033</v>
      </c>
      <c r="C1135" s="1" t="n">
        <v>46106</v>
      </c>
      <c r="D1135" t="inlineStr">
        <is>
          <t>DALARNAS LÄN</t>
        </is>
      </c>
      <c r="E1135" t="inlineStr">
        <is>
          <t>FALUN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53477-2025</t>
        </is>
      </c>
      <c r="B1136" s="1" t="n">
        <v>45959.76505787037</v>
      </c>
      <c r="C1136" s="1" t="n">
        <v>46106</v>
      </c>
      <c r="D1136" t="inlineStr">
        <is>
          <t>DALARNAS LÄN</t>
        </is>
      </c>
      <c r="E1136" t="inlineStr">
        <is>
          <t>FALUN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1940-2026</t>
        </is>
      </c>
      <c r="B1137" s="1" t="n">
        <v>46035.59271990741</v>
      </c>
      <c r="C1137" s="1" t="n">
        <v>46106</v>
      </c>
      <c r="D1137" t="inlineStr">
        <is>
          <t>DALARNAS LÄN</t>
        </is>
      </c>
      <c r="E1137" t="inlineStr">
        <is>
          <t>FALUN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2013-2026</t>
        </is>
      </c>
      <c r="B1138" s="1" t="n">
        <v>46035.70791666667</v>
      </c>
      <c r="C1138" s="1" t="n">
        <v>46106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2015-2026</t>
        </is>
      </c>
      <c r="B1139" s="1" t="n">
        <v>46035.71204861111</v>
      </c>
      <c r="C1139" s="1" t="n">
        <v>46106</v>
      </c>
      <c r="D1139" t="inlineStr">
        <is>
          <t>DALARNAS LÄN</t>
        </is>
      </c>
      <c r="E1139" t="inlineStr">
        <is>
          <t>FALUN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1922-2026</t>
        </is>
      </c>
      <c r="B1140" s="1" t="n">
        <v>46035</v>
      </c>
      <c r="C1140" s="1" t="n">
        <v>46106</v>
      </c>
      <c r="D1140" t="inlineStr">
        <is>
          <t>DALARNAS LÄN</t>
        </is>
      </c>
      <c r="E1140" t="inlineStr">
        <is>
          <t>FALUN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9102-2026</t>
        </is>
      </c>
      <c r="B1141" s="1" t="n">
        <v>46069</v>
      </c>
      <c r="C1141" s="1" t="n">
        <v>46106</v>
      </c>
      <c r="D1141" t="inlineStr">
        <is>
          <t>DALARNAS LÄN</t>
        </is>
      </c>
      <c r="E1141" t="inlineStr">
        <is>
          <t>FALUN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9135-2026</t>
        </is>
      </c>
      <c r="B1142" s="1" t="n">
        <v>46069</v>
      </c>
      <c r="C1142" s="1" t="n">
        <v>46106</v>
      </c>
      <c r="D1142" t="inlineStr">
        <is>
          <t>DALARNAS LÄN</t>
        </is>
      </c>
      <c r="E1142" t="inlineStr">
        <is>
          <t>FALUN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2009-2026</t>
        </is>
      </c>
      <c r="B1143" s="1" t="n">
        <v>46035.70408564815</v>
      </c>
      <c r="C1143" s="1" t="n">
        <v>46106</v>
      </c>
      <c r="D1143" t="inlineStr">
        <is>
          <t>DALARNAS LÄN</t>
        </is>
      </c>
      <c r="E1143" t="inlineStr">
        <is>
          <t>FALUN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10179-2026</t>
        </is>
      </c>
      <c r="B1144" s="1" t="n">
        <v>46076.43035879629</v>
      </c>
      <c r="C1144" s="1" t="n">
        <v>46106</v>
      </c>
      <c r="D1144" t="inlineStr">
        <is>
          <t>DALARNAS LÄN</t>
        </is>
      </c>
      <c r="E1144" t="inlineStr">
        <is>
          <t>FALUN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1436-2026</t>
        </is>
      </c>
      <c r="B1145" s="1" t="n">
        <v>46032.55972222222</v>
      </c>
      <c r="C1145" s="1" t="n">
        <v>46106</v>
      </c>
      <c r="D1145" t="inlineStr">
        <is>
          <t>DALARNAS LÄN</t>
        </is>
      </c>
      <c r="E1145" t="inlineStr">
        <is>
          <t>FALUN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1448-2026</t>
        </is>
      </c>
      <c r="B1146" s="1" t="n">
        <v>46032.84694444444</v>
      </c>
      <c r="C1146" s="1" t="n">
        <v>46106</v>
      </c>
      <c r="D1146" t="inlineStr">
        <is>
          <t>DALARNAS LÄN</t>
        </is>
      </c>
      <c r="E1146" t="inlineStr">
        <is>
          <t>FALUN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1627-2026</t>
        </is>
      </c>
      <c r="B1147" s="1" t="n">
        <v>46034</v>
      </c>
      <c r="C1147" s="1" t="n">
        <v>46106</v>
      </c>
      <c r="D1147" t="inlineStr">
        <is>
          <t>DALARNAS LÄN</t>
        </is>
      </c>
      <c r="E1147" t="inlineStr">
        <is>
          <t>FALUN</t>
        </is>
      </c>
      <c r="G1147" t="n">
        <v>11.6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1628-2026</t>
        </is>
      </c>
      <c r="B1148" s="1" t="n">
        <v>46034</v>
      </c>
      <c r="C1148" s="1" t="n">
        <v>46106</v>
      </c>
      <c r="D1148" t="inlineStr">
        <is>
          <t>DALARNAS LÄN</t>
        </is>
      </c>
      <c r="E1148" t="inlineStr">
        <is>
          <t>FALUN</t>
        </is>
      </c>
      <c r="G1148" t="n">
        <v>11.6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2018-2026</t>
        </is>
      </c>
      <c r="B1149" s="1" t="n">
        <v>46035.71496527778</v>
      </c>
      <c r="C1149" s="1" t="n">
        <v>46106</v>
      </c>
      <c r="D1149" t="inlineStr">
        <is>
          <t>DALARNAS LÄN</t>
        </is>
      </c>
      <c r="E1149" t="inlineStr">
        <is>
          <t>FALUN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2020-2026</t>
        </is>
      </c>
      <c r="B1150" s="1" t="n">
        <v>46035.7153587963</v>
      </c>
      <c r="C1150" s="1" t="n">
        <v>46106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2022-2026</t>
        </is>
      </c>
      <c r="B1151" s="1" t="n">
        <v>46035.71878472222</v>
      </c>
      <c r="C1151" s="1" t="n">
        <v>46106</v>
      </c>
      <c r="D1151" t="inlineStr">
        <is>
          <t>DALARNAS LÄN</t>
        </is>
      </c>
      <c r="E1151" t="inlineStr">
        <is>
          <t>FALUN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2028-2026</t>
        </is>
      </c>
      <c r="B1152" s="1" t="n">
        <v>46035.72858796296</v>
      </c>
      <c r="C1152" s="1" t="n">
        <v>46106</v>
      </c>
      <c r="D1152" t="inlineStr">
        <is>
          <t>DALARNAS LÄN</t>
        </is>
      </c>
      <c r="E1152" t="inlineStr">
        <is>
          <t>FALUN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1803-2026</t>
        </is>
      </c>
      <c r="B1153" s="1" t="n">
        <v>46035.32033564815</v>
      </c>
      <c r="C1153" s="1" t="n">
        <v>46106</v>
      </c>
      <c r="D1153" t="inlineStr">
        <is>
          <t>DALARNAS LÄN</t>
        </is>
      </c>
      <c r="E1153" t="inlineStr">
        <is>
          <t>FALUN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1425-2026</t>
        </is>
      </c>
      <c r="B1154" s="1" t="n">
        <v>46031.9062962963</v>
      </c>
      <c r="C1154" s="1" t="n">
        <v>46106</v>
      </c>
      <c r="D1154" t="inlineStr">
        <is>
          <t>DALARNAS LÄN</t>
        </is>
      </c>
      <c r="E1154" t="inlineStr">
        <is>
          <t>FALUN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1447-2026</t>
        </is>
      </c>
      <c r="B1155" s="1" t="n">
        <v>46032.84001157407</v>
      </c>
      <c r="C1155" s="1" t="n">
        <v>46106</v>
      </c>
      <c r="D1155" t="inlineStr">
        <is>
          <t>DALARNAS LÄN</t>
        </is>
      </c>
      <c r="E1155" t="inlineStr">
        <is>
          <t>FALUN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2649-2026</t>
        </is>
      </c>
      <c r="B1156" s="1" t="n">
        <v>46035</v>
      </c>
      <c r="C1156" s="1" t="n">
        <v>46106</v>
      </c>
      <c r="D1156" t="inlineStr">
        <is>
          <t>DALARNAS LÄN</t>
        </is>
      </c>
      <c r="E1156" t="inlineStr">
        <is>
          <t>FALUN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9429-2026</t>
        </is>
      </c>
      <c r="B1157" s="1" t="n">
        <v>46071</v>
      </c>
      <c r="C1157" s="1" t="n">
        <v>46106</v>
      </c>
      <c r="D1157" t="inlineStr">
        <is>
          <t>DALARNAS LÄN</t>
        </is>
      </c>
      <c r="E1157" t="inlineStr">
        <is>
          <t>FALUN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1702-2026</t>
        </is>
      </c>
      <c r="B1158" s="1" t="n">
        <v>46034.5958912037</v>
      </c>
      <c r="C1158" s="1" t="n">
        <v>46106</v>
      </c>
      <c r="D1158" t="inlineStr">
        <is>
          <t>DALARNAS LÄN</t>
        </is>
      </c>
      <c r="E1158" t="inlineStr">
        <is>
          <t>FALUN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1702-2026 karta knärot.png", "A 1702-2026")</f>
        <v/>
      </c>
      <c r="V1158">
        <f>HYPERLINK("https://klasma.github.io/Logging_2080/klagomål/A 1702-2026 FSC-klagomål.docx", "A 1702-2026")</f>
        <v/>
      </c>
      <c r="W1158">
        <f>HYPERLINK("https://klasma.github.io/Logging_2080/klagomålsmail/A 1702-2026 FSC-klagomål mail.docx", "A 1702-2026")</f>
        <v/>
      </c>
      <c r="X1158">
        <f>HYPERLINK("https://klasma.github.io/Logging_2080/tillsyn/A 1702-2026 tillsynsbegäran.docx", "A 1702-2026")</f>
        <v/>
      </c>
      <c r="Y1158">
        <f>HYPERLINK("https://klasma.github.io/Logging_2080/tillsynsmail/A 1702-2026 tillsynsbegäran mail.docx", "A 1702-2026")</f>
        <v/>
      </c>
    </row>
    <row r="1159" ht="15" customHeight="1">
      <c r="A1159" t="inlineStr">
        <is>
          <t>A 9815-2026</t>
        </is>
      </c>
      <c r="B1159" s="1" t="n">
        <v>46072</v>
      </c>
      <c r="C1159" s="1" t="n">
        <v>46106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9818-2026</t>
        </is>
      </c>
      <c r="B1160" s="1" t="n">
        <v>46072</v>
      </c>
      <c r="C1160" s="1" t="n">
        <v>46106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10324-2026</t>
        </is>
      </c>
      <c r="B1161" s="1" t="n">
        <v>46076</v>
      </c>
      <c r="C1161" s="1" t="n">
        <v>46106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2936-2026</t>
        </is>
      </c>
      <c r="B1162" s="1" t="n">
        <v>46037</v>
      </c>
      <c r="C1162" s="1" t="n">
        <v>46106</v>
      </c>
      <c r="D1162" t="inlineStr">
        <is>
          <t>DALARNAS LÄN</t>
        </is>
      </c>
      <c r="E1162" t="inlineStr">
        <is>
          <t>FALUN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2951-2026</t>
        </is>
      </c>
      <c r="B1163" s="1" t="n">
        <v>46037</v>
      </c>
      <c r="C1163" s="1" t="n">
        <v>46106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2543-2026</t>
        </is>
      </c>
      <c r="B1164" s="1" t="n">
        <v>46037</v>
      </c>
      <c r="C1164" s="1" t="n">
        <v>46106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47.6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2554-2026</t>
        </is>
      </c>
      <c r="B1165" s="1" t="n">
        <v>46037.47445601852</v>
      </c>
      <c r="C1165" s="1" t="n">
        <v>46106</v>
      </c>
      <c r="D1165" t="inlineStr">
        <is>
          <t>DALARNAS LÄN</t>
        </is>
      </c>
      <c r="E1165" t="inlineStr">
        <is>
          <t>FALUN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2558-2026</t>
        </is>
      </c>
      <c r="B1166" s="1" t="n">
        <v>46037.48226851852</v>
      </c>
      <c r="C1166" s="1" t="n">
        <v>46106</v>
      </c>
      <c r="D1166" t="inlineStr">
        <is>
          <t>DALARNAS LÄN</t>
        </is>
      </c>
      <c r="E1166" t="inlineStr">
        <is>
          <t>FALUN</t>
        </is>
      </c>
      <c r="G1166" t="n">
        <v>11.2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2566-2026</t>
        </is>
      </c>
      <c r="B1167" s="1" t="n">
        <v>46037.4906712963</v>
      </c>
      <c r="C1167" s="1" t="n">
        <v>46106</v>
      </c>
      <c r="D1167" t="inlineStr">
        <is>
          <t>DALARNAS LÄN</t>
        </is>
      </c>
      <c r="E1167" t="inlineStr">
        <is>
          <t>FALUN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47767-2024</t>
        </is>
      </c>
      <c r="B1168" s="1" t="n">
        <v>45588.56232638889</v>
      </c>
      <c r="C1168" s="1" t="n">
        <v>46106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2568-2026</t>
        </is>
      </c>
      <c r="B1169" s="1" t="n">
        <v>46037.49096064815</v>
      </c>
      <c r="C1169" s="1" t="n">
        <v>46106</v>
      </c>
      <c r="D1169" t="inlineStr">
        <is>
          <t>DALARNAS LÄN</t>
        </is>
      </c>
      <c r="E1169" t="inlineStr">
        <is>
          <t>FALUN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2607-2026</t>
        </is>
      </c>
      <c r="B1170" s="1" t="n">
        <v>46037</v>
      </c>
      <c r="C1170" s="1" t="n">
        <v>46106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34.1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2611-2026</t>
        </is>
      </c>
      <c r="B1171" s="1" t="n">
        <v>46037</v>
      </c>
      <c r="C1171" s="1" t="n">
        <v>46106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26.2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156-2026</t>
        </is>
      </c>
      <c r="B1172" s="1" t="n">
        <v>46024</v>
      </c>
      <c r="C1172" s="1" t="n">
        <v>46106</v>
      </c>
      <c r="D1172" t="inlineStr">
        <is>
          <t>DALARNAS LÄN</t>
        </is>
      </c>
      <c r="E1172" t="inlineStr">
        <is>
          <t>FALUN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54309-2022</t>
        </is>
      </c>
      <c r="B1173" s="1" t="n">
        <v>44882</v>
      </c>
      <c r="C1173" s="1" t="n">
        <v>46106</v>
      </c>
      <c r="D1173" t="inlineStr">
        <is>
          <t>DALARNAS LÄN</t>
        </is>
      </c>
      <c r="E1173" t="inlineStr">
        <is>
          <t>FALUN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2381-2026</t>
        </is>
      </c>
      <c r="B1174" s="1" t="n">
        <v>46036.66210648148</v>
      </c>
      <c r="C1174" s="1" t="n">
        <v>46106</v>
      </c>
      <c r="D1174" t="inlineStr">
        <is>
          <t>DALARNAS LÄN</t>
        </is>
      </c>
      <c r="E1174" t="inlineStr">
        <is>
          <t>FALUN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9990-2026</t>
        </is>
      </c>
      <c r="B1175" s="1" t="n">
        <v>46073</v>
      </c>
      <c r="C1175" s="1" t="n">
        <v>46106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2293-2026</t>
        </is>
      </c>
      <c r="B1176" s="1" t="n">
        <v>46036.58577546296</v>
      </c>
      <c r="C1176" s="1" t="n">
        <v>46106</v>
      </c>
      <c r="D1176" t="inlineStr">
        <is>
          <t>DALARNAS LÄN</t>
        </is>
      </c>
      <c r="E1176" t="inlineStr">
        <is>
          <t>FALUN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48589-2024</t>
        </is>
      </c>
      <c r="B1177" s="1" t="n">
        <v>45593.43503472222</v>
      </c>
      <c r="C1177" s="1" t="n">
        <v>46106</v>
      </c>
      <c r="D1177" t="inlineStr">
        <is>
          <t>DALARNAS LÄN</t>
        </is>
      </c>
      <c r="E1177" t="inlineStr">
        <is>
          <t>FALUN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2950-2026</t>
        </is>
      </c>
      <c r="B1178" s="1" t="n">
        <v>46037</v>
      </c>
      <c r="C1178" s="1" t="n">
        <v>46106</v>
      </c>
      <c r="D1178" t="inlineStr">
        <is>
          <t>DALARNAS LÄN</t>
        </is>
      </c>
      <c r="E1178" t="inlineStr">
        <is>
          <t>FALUN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2961-2026</t>
        </is>
      </c>
      <c r="B1179" s="1" t="n">
        <v>46037</v>
      </c>
      <c r="C1179" s="1" t="n">
        <v>46106</v>
      </c>
      <c r="D1179" t="inlineStr">
        <is>
          <t>DALARNAS LÄN</t>
        </is>
      </c>
      <c r="E1179" t="inlineStr">
        <is>
          <t>FALUN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2967-2026</t>
        </is>
      </c>
      <c r="B1180" s="1" t="n">
        <v>46037</v>
      </c>
      <c r="C1180" s="1" t="n">
        <v>46106</v>
      </c>
      <c r="D1180" t="inlineStr">
        <is>
          <t>DALARNAS LÄN</t>
        </is>
      </c>
      <c r="E1180" t="inlineStr">
        <is>
          <t>FALUN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40853-2022</t>
        </is>
      </c>
      <c r="B1181" s="1" t="n">
        <v>44825.28662037037</v>
      </c>
      <c r="C1181" s="1" t="n">
        <v>46106</v>
      </c>
      <c r="D1181" t="inlineStr">
        <is>
          <t>DALARNAS LÄN</t>
        </is>
      </c>
      <c r="E1181" t="inlineStr">
        <is>
          <t>FALUN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2240-2026</t>
        </is>
      </c>
      <c r="B1182" s="1" t="n">
        <v>46036.53807870371</v>
      </c>
      <c r="C1182" s="1" t="n">
        <v>46106</v>
      </c>
      <c r="D1182" t="inlineStr">
        <is>
          <t>DALARNAS LÄN</t>
        </is>
      </c>
      <c r="E1182" t="inlineStr">
        <is>
          <t>FALUN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2262-2026</t>
        </is>
      </c>
      <c r="B1183" s="1" t="n">
        <v>46036</v>
      </c>
      <c r="C1183" s="1" t="n">
        <v>46106</v>
      </c>
      <c r="D1183" t="inlineStr">
        <is>
          <t>DALARNAS LÄN</t>
        </is>
      </c>
      <c r="E1183" t="inlineStr">
        <is>
          <t>FALUN</t>
        </is>
      </c>
      <c r="G1183" t="n">
        <v>10.7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2280-2026</t>
        </is>
      </c>
      <c r="B1184" s="1" t="n">
        <v>46036</v>
      </c>
      <c r="C1184" s="1" t="n">
        <v>46106</v>
      </c>
      <c r="D1184" t="inlineStr">
        <is>
          <t>DALARNAS LÄN</t>
        </is>
      </c>
      <c r="E1184" t="inlineStr">
        <is>
          <t>FALUN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2284-2026</t>
        </is>
      </c>
      <c r="B1185" s="1" t="n">
        <v>46036</v>
      </c>
      <c r="C1185" s="1" t="n">
        <v>46106</v>
      </c>
      <c r="D1185" t="inlineStr">
        <is>
          <t>DALARNAS LÄN</t>
        </is>
      </c>
      <c r="E1185" t="inlineStr">
        <is>
          <t>FALUN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9841-2026</t>
        </is>
      </c>
      <c r="B1186" s="1" t="n">
        <v>46072</v>
      </c>
      <c r="C1186" s="1" t="n">
        <v>46106</v>
      </c>
      <c r="D1186" t="inlineStr">
        <is>
          <t>DALARNAS LÄN</t>
        </is>
      </c>
      <c r="E1186" t="inlineStr">
        <is>
          <t>FALUN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10047-2026</t>
        </is>
      </c>
      <c r="B1187" s="1" t="n">
        <v>46073</v>
      </c>
      <c r="C1187" s="1" t="n">
        <v>46106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10072-2026</t>
        </is>
      </c>
      <c r="B1188" s="1" t="n">
        <v>46073</v>
      </c>
      <c r="C1188" s="1" t="n">
        <v>46106</v>
      </c>
      <c r="D1188" t="inlineStr">
        <is>
          <t>DALARNAS LÄN</t>
        </is>
      </c>
      <c r="E1188" t="inlineStr">
        <is>
          <t>FALUN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50123-2024</t>
        </is>
      </c>
      <c r="B1189" s="1" t="n">
        <v>45600.4233912037</v>
      </c>
      <c r="C1189" s="1" t="n">
        <v>46106</v>
      </c>
      <c r="D1189" t="inlineStr">
        <is>
          <t>DALARNAS LÄN</t>
        </is>
      </c>
      <c r="E1189" t="inlineStr">
        <is>
          <t>FALUN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2764-2026</t>
        </is>
      </c>
      <c r="B1190" s="1" t="n">
        <v>46036</v>
      </c>
      <c r="C1190" s="1" t="n">
        <v>46106</v>
      </c>
      <c r="D1190" t="inlineStr">
        <is>
          <t>DALARNAS LÄN</t>
        </is>
      </c>
      <c r="E1190" t="inlineStr">
        <is>
          <t>FALUN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9696-2026</t>
        </is>
      </c>
      <c r="B1191" s="1" t="n">
        <v>46072</v>
      </c>
      <c r="C1191" s="1" t="n">
        <v>46106</v>
      </c>
      <c r="D1191" t="inlineStr">
        <is>
          <t>DALARNAS LÄN</t>
        </is>
      </c>
      <c r="E1191" t="inlineStr">
        <is>
          <t>FALUN</t>
        </is>
      </c>
      <c r="G1191" t="n">
        <v>8.9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9753-2026</t>
        </is>
      </c>
      <c r="B1192" s="1" t="n">
        <v>46072</v>
      </c>
      <c r="C1192" s="1" t="n">
        <v>46106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2165-2026</t>
        </is>
      </c>
      <c r="B1193" s="1" t="n">
        <v>46036.4416087963</v>
      </c>
      <c r="C1193" s="1" t="n">
        <v>46106</v>
      </c>
      <c r="D1193" t="inlineStr">
        <is>
          <t>DALARNAS LÄN</t>
        </is>
      </c>
      <c r="E1193" t="inlineStr">
        <is>
          <t>FALUN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2953-2026</t>
        </is>
      </c>
      <c r="B1194" s="1" t="n">
        <v>46037</v>
      </c>
      <c r="C1194" s="1" t="n">
        <v>46106</v>
      </c>
      <c r="D1194" t="inlineStr">
        <is>
          <t>DALARNAS LÄN</t>
        </is>
      </c>
      <c r="E1194" t="inlineStr">
        <is>
          <t>FALUN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2956-2026</t>
        </is>
      </c>
      <c r="B1195" s="1" t="n">
        <v>46037</v>
      </c>
      <c r="C1195" s="1" t="n">
        <v>46106</v>
      </c>
      <c r="D1195" t="inlineStr">
        <is>
          <t>DALARNAS LÄN</t>
        </is>
      </c>
      <c r="E1195" t="inlineStr">
        <is>
          <t>FALUN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2959-2026</t>
        </is>
      </c>
      <c r="B1196" s="1" t="n">
        <v>46037</v>
      </c>
      <c r="C1196" s="1" t="n">
        <v>46106</v>
      </c>
      <c r="D1196" t="inlineStr">
        <is>
          <t>DALARNAS LÄN</t>
        </is>
      </c>
      <c r="E1196" t="inlineStr">
        <is>
          <t>FALUN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2683-2026</t>
        </is>
      </c>
      <c r="B1197" s="1" t="n">
        <v>46037.65527777778</v>
      </c>
      <c r="C1197" s="1" t="n">
        <v>46106</v>
      </c>
      <c r="D1197" t="inlineStr">
        <is>
          <t>DALARNAS LÄN</t>
        </is>
      </c>
      <c r="E1197" t="inlineStr">
        <is>
          <t>FALUN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9835-2026</t>
        </is>
      </c>
      <c r="B1198" s="1" t="n">
        <v>46072</v>
      </c>
      <c r="C1198" s="1" t="n">
        <v>46106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9683-2026</t>
        </is>
      </c>
      <c r="B1199" s="1" t="n">
        <v>46071</v>
      </c>
      <c r="C1199" s="1" t="n">
        <v>46106</v>
      </c>
      <c r="D1199" t="inlineStr">
        <is>
          <t>DALARNAS LÄN</t>
        </is>
      </c>
      <c r="E1199" t="inlineStr">
        <is>
          <t>FALUN</t>
        </is>
      </c>
      <c r="F1199" t="inlineStr">
        <is>
          <t>Allmännings- och besparingsskogar</t>
        </is>
      </c>
      <c r="G1199" t="n">
        <v>17.5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10791-2026</t>
        </is>
      </c>
      <c r="B1200" s="1" t="n">
        <v>46078.58665509259</v>
      </c>
      <c r="C1200" s="1" t="n">
        <v>46106</v>
      </c>
      <c r="D1200" t="inlineStr">
        <is>
          <t>DALARNAS LÄN</t>
        </is>
      </c>
      <c r="E1200" t="inlineStr">
        <is>
          <t>FALUN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10794-2026</t>
        </is>
      </c>
      <c r="B1201" s="1" t="n">
        <v>46078.59270833333</v>
      </c>
      <c r="C1201" s="1" t="n">
        <v>46106</v>
      </c>
      <c r="D1201" t="inlineStr">
        <is>
          <t>DALARNAS LÄN</t>
        </is>
      </c>
      <c r="E1201" t="inlineStr">
        <is>
          <t>FALUN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16888-2024</t>
        </is>
      </c>
      <c r="B1202" s="1" t="n">
        <v>45411.60905092592</v>
      </c>
      <c r="C1202" s="1" t="n">
        <v>46106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47777-2024</t>
        </is>
      </c>
      <c r="B1203" s="1" t="n">
        <v>45588.57958333333</v>
      </c>
      <c r="C1203" s="1" t="n">
        <v>46106</v>
      </c>
      <c r="D1203" t="inlineStr">
        <is>
          <t>DALARNAS LÄN</t>
        </is>
      </c>
      <c r="E1203" t="inlineStr">
        <is>
          <t>FALUN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2544-2026</t>
        </is>
      </c>
      <c r="B1204" s="1" t="n">
        <v>46037.46180555555</v>
      </c>
      <c r="C1204" s="1" t="n">
        <v>46106</v>
      </c>
      <c r="D1204" t="inlineStr">
        <is>
          <t>DALARNAS LÄN</t>
        </is>
      </c>
      <c r="E1204" t="inlineStr">
        <is>
          <t>FALUN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1-2026</t>
        </is>
      </c>
      <c r="B1205" s="1" t="n">
        <v>46023</v>
      </c>
      <c r="C1205" s="1" t="n">
        <v>46106</v>
      </c>
      <c r="D1205" t="inlineStr">
        <is>
          <t>DALARNAS LÄN</t>
        </is>
      </c>
      <c r="E1205" t="inlineStr">
        <is>
          <t>FALUN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50266-2024</t>
        </is>
      </c>
      <c r="B1206" s="1" t="n">
        <v>45600.58862268519</v>
      </c>
      <c r="C1206" s="1" t="n">
        <v>46106</v>
      </c>
      <c r="D1206" t="inlineStr">
        <is>
          <t>DALARNAS LÄN</t>
        </is>
      </c>
      <c r="E1206" t="inlineStr">
        <is>
          <t>FALUN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2557-2026</t>
        </is>
      </c>
      <c r="B1207" s="1" t="n">
        <v>46037.47861111111</v>
      </c>
      <c r="C1207" s="1" t="n">
        <v>46106</v>
      </c>
      <c r="D1207" t="inlineStr">
        <is>
          <t>DALARNAS LÄN</t>
        </is>
      </c>
      <c r="E1207" t="inlineStr">
        <is>
          <t>FALUN</t>
        </is>
      </c>
      <c r="G1207" t="n">
        <v>17.4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2237-2026</t>
        </is>
      </c>
      <c r="B1208" s="1" t="n">
        <v>46036.53561342593</v>
      </c>
      <c r="C1208" s="1" t="n">
        <v>46106</v>
      </c>
      <c r="D1208" t="inlineStr">
        <is>
          <t>DALARNAS LÄN</t>
        </is>
      </c>
      <c r="E1208" t="inlineStr">
        <is>
          <t>FALUN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11050-2026</t>
        </is>
      </c>
      <c r="B1209" s="1" t="n">
        <v>46079.58979166667</v>
      </c>
      <c r="C1209" s="1" t="n">
        <v>46106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1439-2023</t>
        </is>
      </c>
      <c r="B1210" s="1" t="n">
        <v>44937.36425925926</v>
      </c>
      <c r="C1210" s="1" t="n">
        <v>46106</v>
      </c>
      <c r="D1210" t="inlineStr">
        <is>
          <t>DALARNAS LÄN</t>
        </is>
      </c>
      <c r="E1210" t="inlineStr">
        <is>
          <t>FALUN</t>
        </is>
      </c>
      <c r="G1210" t="n">
        <v>8.1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2241-2026</t>
        </is>
      </c>
      <c r="B1211" s="1" t="n">
        <v>46036</v>
      </c>
      <c r="C1211" s="1" t="n">
        <v>46106</v>
      </c>
      <c r="D1211" t="inlineStr">
        <is>
          <t>DALARNAS LÄN</t>
        </is>
      </c>
      <c r="E1211" t="inlineStr">
        <is>
          <t>FALUN</t>
        </is>
      </c>
      <c r="G1211" t="n">
        <v>11.5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2317-2026</t>
        </is>
      </c>
      <c r="B1212" s="1" t="n">
        <v>46036</v>
      </c>
      <c r="C1212" s="1" t="n">
        <v>46106</v>
      </c>
      <c r="D1212" t="inlineStr">
        <is>
          <t>DALARNAS LÄN</t>
        </is>
      </c>
      <c r="E1212" t="inlineStr">
        <is>
          <t>FALUN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1466-2023</t>
        </is>
      </c>
      <c r="B1213" s="1" t="n">
        <v>44937</v>
      </c>
      <c r="C1213" s="1" t="n">
        <v>46106</v>
      </c>
      <c r="D1213" t="inlineStr">
        <is>
          <t>DALARNAS LÄN</t>
        </is>
      </c>
      <c r="E1213" t="inlineStr">
        <is>
          <t>FALUN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2235-2026</t>
        </is>
      </c>
      <c r="B1214" s="1" t="n">
        <v>46036.53290509259</v>
      </c>
      <c r="C1214" s="1" t="n">
        <v>46106</v>
      </c>
      <c r="D1214" t="inlineStr">
        <is>
          <t>DALARNAS LÄN</t>
        </is>
      </c>
      <c r="E1214" t="inlineStr">
        <is>
          <t>FALUN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2386-2026</t>
        </is>
      </c>
      <c r="B1215" s="1" t="n">
        <v>46036</v>
      </c>
      <c r="C1215" s="1" t="n">
        <v>46106</v>
      </c>
      <c r="D1215" t="inlineStr">
        <is>
          <t>DALARNAS LÄN</t>
        </is>
      </c>
      <c r="E1215" t="inlineStr">
        <is>
          <t>FALUN</t>
        </is>
      </c>
      <c r="G1215" t="n">
        <v>11.6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2588-2026</t>
        </is>
      </c>
      <c r="B1216" s="1" t="n">
        <v>46037.54408564815</v>
      </c>
      <c r="C1216" s="1" t="n">
        <v>46106</v>
      </c>
      <c r="D1216" t="inlineStr">
        <is>
          <t>DALARNAS LÄN</t>
        </is>
      </c>
      <c r="E1216" t="inlineStr">
        <is>
          <t>FALUN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2595-2026</t>
        </is>
      </c>
      <c r="B1217" s="1" t="n">
        <v>46037</v>
      </c>
      <c r="C1217" s="1" t="n">
        <v>46106</v>
      </c>
      <c r="D1217" t="inlineStr">
        <is>
          <t>DALARNAS LÄN</t>
        </is>
      </c>
      <c r="E1217" t="inlineStr">
        <is>
          <t>FALUN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2464-2026</t>
        </is>
      </c>
      <c r="B1218" s="1" t="n">
        <v>46037.36033564815</v>
      </c>
      <c r="C1218" s="1" t="n">
        <v>46106</v>
      </c>
      <c r="D1218" t="inlineStr">
        <is>
          <t>DALARNAS LÄN</t>
        </is>
      </c>
      <c r="E1218" t="inlineStr">
        <is>
          <t>FALUN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2945-2026</t>
        </is>
      </c>
      <c r="B1219" s="1" t="n">
        <v>46037</v>
      </c>
      <c r="C1219" s="1" t="n">
        <v>46106</v>
      </c>
      <c r="D1219" t="inlineStr">
        <is>
          <t>DALARNAS LÄN</t>
        </is>
      </c>
      <c r="E1219" t="inlineStr">
        <is>
          <t>FALUN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2654-2026</t>
        </is>
      </c>
      <c r="B1220" s="1" t="n">
        <v>46037.6291550926</v>
      </c>
      <c r="C1220" s="1" t="n">
        <v>46106</v>
      </c>
      <c r="D1220" t="inlineStr">
        <is>
          <t>DALARNAS LÄN</t>
        </is>
      </c>
      <c r="E1220" t="inlineStr">
        <is>
          <t>FALUN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2711-2026</t>
        </is>
      </c>
      <c r="B1221" s="1" t="n">
        <v>46037</v>
      </c>
      <c r="C1221" s="1" t="n">
        <v>46106</v>
      </c>
      <c r="D1221" t="inlineStr">
        <is>
          <t>DALARNAS LÄN</t>
        </is>
      </c>
      <c r="E1221" t="inlineStr">
        <is>
          <t>FALUN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2-2026</t>
        </is>
      </c>
      <c r="B1222" s="1" t="n">
        <v>46023</v>
      </c>
      <c r="C1222" s="1" t="n">
        <v>46106</v>
      </c>
      <c r="D1222" t="inlineStr">
        <is>
          <t>DALARNAS LÄN</t>
        </is>
      </c>
      <c r="E1222" t="inlineStr">
        <is>
          <t>FALUN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4-2026</t>
        </is>
      </c>
      <c r="B1223" s="1" t="n">
        <v>46023</v>
      </c>
      <c r="C1223" s="1" t="n">
        <v>46106</v>
      </c>
      <c r="D1223" t="inlineStr">
        <is>
          <t>DALARNAS LÄN</t>
        </is>
      </c>
      <c r="E1223" t="inlineStr">
        <is>
          <t>FALUN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2191-2026</t>
        </is>
      </c>
      <c r="B1224" s="1" t="n">
        <v>46036</v>
      </c>
      <c r="C1224" s="1" t="n">
        <v>46106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2236-2026</t>
        </is>
      </c>
      <c r="B1225" s="1" t="n">
        <v>46036.5343287037</v>
      </c>
      <c r="C1225" s="1" t="n">
        <v>46106</v>
      </c>
      <c r="D1225" t="inlineStr">
        <is>
          <t>DALARNAS LÄN</t>
        </is>
      </c>
      <c r="E1225" t="inlineStr">
        <is>
          <t>FALUN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2273-2026</t>
        </is>
      </c>
      <c r="B1226" s="1" t="n">
        <v>46036</v>
      </c>
      <c r="C1226" s="1" t="n">
        <v>46106</v>
      </c>
      <c r="D1226" t="inlineStr">
        <is>
          <t>DALARNAS LÄN</t>
        </is>
      </c>
      <c r="E1226" t="inlineStr">
        <is>
          <t>FALUN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2288-2026</t>
        </is>
      </c>
      <c r="B1227" s="1" t="n">
        <v>46036</v>
      </c>
      <c r="C1227" s="1" t="n">
        <v>46106</v>
      </c>
      <c r="D1227" t="inlineStr">
        <is>
          <t>DALARNAS LÄN</t>
        </is>
      </c>
      <c r="E1227" t="inlineStr">
        <is>
          <t>FALUN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2323-2026</t>
        </is>
      </c>
      <c r="B1228" s="1" t="n">
        <v>46036.60520833333</v>
      </c>
      <c r="C1228" s="1" t="n">
        <v>46106</v>
      </c>
      <c r="D1228" t="inlineStr">
        <is>
          <t>DALARNAS LÄN</t>
        </is>
      </c>
      <c r="E1228" t="inlineStr">
        <is>
          <t>FALUN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2333-2026</t>
        </is>
      </c>
      <c r="B1229" s="1" t="n">
        <v>46036.60962962963</v>
      </c>
      <c r="C1229" s="1" t="n">
        <v>46106</v>
      </c>
      <c r="D1229" t="inlineStr">
        <is>
          <t>DALARNAS LÄN</t>
        </is>
      </c>
      <c r="E1229" t="inlineStr">
        <is>
          <t>FALUN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2511-2026</t>
        </is>
      </c>
      <c r="B1230" s="1" t="n">
        <v>46037.41855324074</v>
      </c>
      <c r="C1230" s="1" t="n">
        <v>46106</v>
      </c>
      <c r="D1230" t="inlineStr">
        <is>
          <t>DALARNAS LÄN</t>
        </is>
      </c>
      <c r="E1230" t="inlineStr">
        <is>
          <t>FALUN</t>
        </is>
      </c>
      <c r="G1230" t="n">
        <v>23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9756-2026</t>
        </is>
      </c>
      <c r="B1231" s="1" t="n">
        <v>46072</v>
      </c>
      <c r="C1231" s="1" t="n">
        <v>46106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2213-2026</t>
        </is>
      </c>
      <c r="B1232" s="1" t="n">
        <v>46036.49554398148</v>
      </c>
      <c r="C1232" s="1" t="n">
        <v>46106</v>
      </c>
      <c r="D1232" t="inlineStr">
        <is>
          <t>DALARNAS LÄN</t>
        </is>
      </c>
      <c r="E1232" t="inlineStr">
        <is>
          <t>FALUN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54082-2023</t>
        </is>
      </c>
      <c r="B1233" s="1" t="n">
        <v>45232</v>
      </c>
      <c r="C1233" s="1" t="n">
        <v>46106</v>
      </c>
      <c r="D1233" t="inlineStr">
        <is>
          <t>DALARNAS LÄN</t>
        </is>
      </c>
      <c r="E1233" t="inlineStr">
        <is>
          <t>FALUN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2367-2026</t>
        </is>
      </c>
      <c r="B1234" s="1" t="n">
        <v>46036.64542824074</v>
      </c>
      <c r="C1234" s="1" t="n">
        <v>46106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10084-2026</t>
        </is>
      </c>
      <c r="B1235" s="1" t="n">
        <v>46073</v>
      </c>
      <c r="C1235" s="1" t="n">
        <v>46106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2219-2026</t>
        </is>
      </c>
      <c r="B1236" s="1" t="n">
        <v>46036.50098379629</v>
      </c>
      <c r="C1236" s="1" t="n">
        <v>46106</v>
      </c>
      <c r="D1236" t="inlineStr">
        <is>
          <t>DALARNAS LÄN</t>
        </is>
      </c>
      <c r="E1236" t="inlineStr">
        <is>
          <t>FALUN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10136-2026</t>
        </is>
      </c>
      <c r="B1237" s="1" t="n">
        <v>46076</v>
      </c>
      <c r="C1237" s="1" t="n">
        <v>46106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7.9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10386-2026</t>
        </is>
      </c>
      <c r="B1238" s="1" t="n">
        <v>46077</v>
      </c>
      <c r="C1238" s="1" t="n">
        <v>46106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2662-2026</t>
        </is>
      </c>
      <c r="B1239" s="1" t="n">
        <v>46037</v>
      </c>
      <c r="C1239" s="1" t="n">
        <v>46106</v>
      </c>
      <c r="D1239" t="inlineStr">
        <is>
          <t>DALARNAS LÄN</t>
        </is>
      </c>
      <c r="E1239" t="inlineStr">
        <is>
          <t>FALUN</t>
        </is>
      </c>
      <c r="G1239" t="n">
        <v>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10070-2026</t>
        </is>
      </c>
      <c r="B1240" s="1" t="n">
        <v>46073</v>
      </c>
      <c r="C1240" s="1" t="n">
        <v>46106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45.7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10315-2026</t>
        </is>
      </c>
      <c r="B1241" s="1" t="n">
        <v>46076</v>
      </c>
      <c r="C1241" s="1" t="n">
        <v>46106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10318-2026</t>
        </is>
      </c>
      <c r="B1242" s="1" t="n">
        <v>46076</v>
      </c>
      <c r="C1242" s="1" t="n">
        <v>46106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10388-2026</t>
        </is>
      </c>
      <c r="B1243" s="1" t="n">
        <v>46077</v>
      </c>
      <c r="C1243" s="1" t="n">
        <v>46106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10786-2026</t>
        </is>
      </c>
      <c r="B1244" s="1" t="n">
        <v>46078.58045138889</v>
      </c>
      <c r="C1244" s="1" t="n">
        <v>46106</v>
      </c>
      <c r="D1244" t="inlineStr">
        <is>
          <t>DALARNAS LÄN</t>
        </is>
      </c>
      <c r="E1244" t="inlineStr">
        <is>
          <t>FALUN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2612-2026</t>
        </is>
      </c>
      <c r="B1245" s="1" t="n">
        <v>46037</v>
      </c>
      <c r="C1245" s="1" t="n">
        <v>46106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2630-2026</t>
        </is>
      </c>
      <c r="B1246" s="1" t="n">
        <v>46037</v>
      </c>
      <c r="C1246" s="1" t="n">
        <v>46106</v>
      </c>
      <c r="D1246" t="inlineStr">
        <is>
          <t>DALARNAS LÄN</t>
        </is>
      </c>
      <c r="E1246" t="inlineStr">
        <is>
          <t>FALUN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2676-2026</t>
        </is>
      </c>
      <c r="B1247" s="1" t="n">
        <v>46037.65008101852</v>
      </c>
      <c r="C1247" s="1" t="n">
        <v>46106</v>
      </c>
      <c r="D1247" t="inlineStr">
        <is>
          <t>DALARNAS LÄN</t>
        </is>
      </c>
      <c r="E1247" t="inlineStr">
        <is>
          <t>FALUN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55542-2023</t>
        </is>
      </c>
      <c r="B1248" s="1" t="n">
        <v>45238</v>
      </c>
      <c r="C1248" s="1" t="n">
        <v>46106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2600-2026</t>
        </is>
      </c>
      <c r="B1249" s="1" t="n">
        <v>46037.57398148148</v>
      </c>
      <c r="C1249" s="1" t="n">
        <v>46106</v>
      </c>
      <c r="D1249" t="inlineStr">
        <is>
          <t>DALARNAS LÄN</t>
        </is>
      </c>
      <c r="E1249" t="inlineStr">
        <is>
          <t>FALUN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10387-2026</t>
        </is>
      </c>
      <c r="B1250" s="1" t="n">
        <v>46077</v>
      </c>
      <c r="C1250" s="1" t="n">
        <v>46106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10462-2026</t>
        </is>
      </c>
      <c r="B1251" s="1" t="n">
        <v>46077</v>
      </c>
      <c r="C1251" s="1" t="n">
        <v>46106</v>
      </c>
      <c r="D1251" t="inlineStr">
        <is>
          <t>DALARNAS LÄN</t>
        </is>
      </c>
      <c r="E1251" t="inlineStr">
        <is>
          <t>FALUN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3084-2026</t>
        </is>
      </c>
      <c r="B1252" s="1" t="n">
        <v>46040.79166666666</v>
      </c>
      <c r="C1252" s="1" t="n">
        <v>46106</v>
      </c>
      <c r="D1252" t="inlineStr">
        <is>
          <t>DALARNAS LÄN</t>
        </is>
      </c>
      <c r="E1252" t="inlineStr">
        <is>
          <t>FALUN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3185-2026</t>
        </is>
      </c>
      <c r="B1253" s="1" t="n">
        <v>46041.45488425926</v>
      </c>
      <c r="C1253" s="1" t="n">
        <v>46106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3219-2026</t>
        </is>
      </c>
      <c r="B1254" s="1" t="n">
        <v>46041</v>
      </c>
      <c r="C1254" s="1" t="n">
        <v>46106</v>
      </c>
      <c r="D1254" t="inlineStr">
        <is>
          <t>DALARNAS LÄN</t>
        </is>
      </c>
      <c r="E1254" t="inlineStr">
        <is>
          <t>FALUN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24694-2023</t>
        </is>
      </c>
      <c r="B1255" s="1" t="n">
        <v>45084.52873842593</v>
      </c>
      <c r="C1255" s="1" t="n">
        <v>46106</v>
      </c>
      <c r="D1255" t="inlineStr">
        <is>
          <t>DALARNAS LÄN</t>
        </is>
      </c>
      <c r="E1255" t="inlineStr">
        <is>
          <t>FALUN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10291-2026</t>
        </is>
      </c>
      <c r="B1256" s="1" t="n">
        <v>46076</v>
      </c>
      <c r="C1256" s="1" t="n">
        <v>46106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11481-2026</t>
        </is>
      </c>
      <c r="B1257" s="1" t="n">
        <v>46083.60320601852</v>
      </c>
      <c r="C1257" s="1" t="n">
        <v>46106</v>
      </c>
      <c r="D1257" t="inlineStr">
        <is>
          <t>DALARNAS LÄN</t>
        </is>
      </c>
      <c r="E1257" t="inlineStr">
        <is>
          <t>FALUN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11275-2026</t>
        </is>
      </c>
      <c r="B1258" s="1" t="n">
        <v>46080.57898148148</v>
      </c>
      <c r="C1258" s="1" t="n">
        <v>46106</v>
      </c>
      <c r="D1258" t="inlineStr">
        <is>
          <t>DALARNAS LÄN</t>
        </is>
      </c>
      <c r="E1258" t="inlineStr">
        <is>
          <t>FALUN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11295-2026</t>
        </is>
      </c>
      <c r="B1259" s="1" t="n">
        <v>46080.61910879629</v>
      </c>
      <c r="C1259" s="1" t="n">
        <v>46106</v>
      </c>
      <c r="D1259" t="inlineStr">
        <is>
          <t>DALARNAS LÄN</t>
        </is>
      </c>
      <c r="E1259" t="inlineStr">
        <is>
          <t>FALUN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8445-2026</t>
        </is>
      </c>
      <c r="B1260" s="1" t="n">
        <v>46065</v>
      </c>
      <c r="C1260" s="1" t="n">
        <v>46106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10303-2026</t>
        </is>
      </c>
      <c r="B1261" s="1" t="n">
        <v>46076</v>
      </c>
      <c r="C1261" s="1" t="n">
        <v>46106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8161-2026</t>
        </is>
      </c>
      <c r="B1262" s="1" t="n">
        <v>46064.37144675926</v>
      </c>
      <c r="C1262" s="1" t="n">
        <v>46106</v>
      </c>
      <c r="D1262" t="inlineStr">
        <is>
          <t>DALARNAS LÄN</t>
        </is>
      </c>
      <c r="E1262" t="inlineStr">
        <is>
          <t>FALUN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2812-2026</t>
        </is>
      </c>
      <c r="B1263" s="1" t="n">
        <v>46038</v>
      </c>
      <c r="C1263" s="1" t="n">
        <v>46106</v>
      </c>
      <c r="D1263" t="inlineStr">
        <is>
          <t>DALARNAS LÄN</t>
        </is>
      </c>
      <c r="E1263" t="inlineStr">
        <is>
          <t>FALUN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8751-2024</t>
        </is>
      </c>
      <c r="B1264" s="1" t="n">
        <v>45356.50802083333</v>
      </c>
      <c r="C1264" s="1" t="n">
        <v>46106</v>
      </c>
      <c r="D1264" t="inlineStr">
        <is>
          <t>DALARNAS LÄN</t>
        </is>
      </c>
      <c r="E1264" t="inlineStr">
        <is>
          <t>FALUN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HYPERLINK("https://klasma.github.io/Logging_2080/knärot/A 8751-2024 karta knärot.png", "A 8751-2024")</f>
        <v/>
      </c>
      <c r="V1264">
        <f>HYPERLINK("https://klasma.github.io/Logging_2080/klagomål/A 8751-2024 FSC-klagomål.docx", "A 8751-2024")</f>
        <v/>
      </c>
      <c r="W1264">
        <f>HYPERLINK("https://klasma.github.io/Logging_2080/klagomålsmail/A 8751-2024 FSC-klagomål mail.docx", "A 8751-2024")</f>
        <v/>
      </c>
      <c r="X1264">
        <f>HYPERLINK("https://klasma.github.io/Logging_2080/tillsyn/A 8751-2024 tillsynsbegäran.docx", "A 8751-2024")</f>
        <v/>
      </c>
      <c r="Y1264">
        <f>HYPERLINK("https://klasma.github.io/Logging_2080/tillsynsmail/A 8751-2024 tillsynsbegäran mail.docx", "A 8751-2024")</f>
        <v/>
      </c>
    </row>
    <row r="1265" ht="15" customHeight="1">
      <c r="A1265" t="inlineStr">
        <is>
          <t>A 22941-2023</t>
        </is>
      </c>
      <c r="B1265" s="1" t="n">
        <v>45072.61394675926</v>
      </c>
      <c r="C1265" s="1" t="n">
        <v>46106</v>
      </c>
      <c r="D1265" t="inlineStr">
        <is>
          <t>DALARNAS LÄN</t>
        </is>
      </c>
      <c r="E1265" t="inlineStr">
        <is>
          <t>FALUN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4294-2025</t>
        </is>
      </c>
      <c r="B1266" s="1" t="n">
        <v>45685.66542824074</v>
      </c>
      <c r="C1266" s="1" t="n">
        <v>46106</v>
      </c>
      <c r="D1266" t="inlineStr">
        <is>
          <t>DALARNAS LÄN</t>
        </is>
      </c>
      <c r="E1266" t="inlineStr">
        <is>
          <t>FALUN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11225-2026</t>
        </is>
      </c>
      <c r="B1267" s="1" t="n">
        <v>46080.48490740741</v>
      </c>
      <c r="C1267" s="1" t="n">
        <v>46106</v>
      </c>
      <c r="D1267" t="inlineStr">
        <is>
          <t>DALARNAS LÄN</t>
        </is>
      </c>
      <c r="E1267" t="inlineStr">
        <is>
          <t>FALUN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3297-2026</t>
        </is>
      </c>
      <c r="B1268" s="1" t="n">
        <v>46041.65047453704</v>
      </c>
      <c r="C1268" s="1" t="n">
        <v>46106</v>
      </c>
      <c r="D1268" t="inlineStr">
        <is>
          <t>DALARNAS LÄN</t>
        </is>
      </c>
      <c r="E1268" t="inlineStr">
        <is>
          <t>FALUN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11316-2026</t>
        </is>
      </c>
      <c r="B1269" s="1" t="n">
        <v>46080.68315972222</v>
      </c>
      <c r="C1269" s="1" t="n">
        <v>46106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11321-2026</t>
        </is>
      </c>
      <c r="B1270" s="1" t="n">
        <v>46080.6941087963</v>
      </c>
      <c r="C1270" s="1" t="n">
        <v>46106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302-2026</t>
        </is>
      </c>
      <c r="B1271" s="1" t="n">
        <v>46027</v>
      </c>
      <c r="C1271" s="1" t="n">
        <v>46106</v>
      </c>
      <c r="D1271" t="inlineStr">
        <is>
          <t>DALARNAS LÄN</t>
        </is>
      </c>
      <c r="E1271" t="inlineStr">
        <is>
          <t>FALUN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3083-2026</t>
        </is>
      </c>
      <c r="B1272" s="1" t="n">
        <v>46040.78188657408</v>
      </c>
      <c r="C1272" s="1" t="n">
        <v>46106</v>
      </c>
      <c r="D1272" t="inlineStr">
        <is>
          <t>DALARNAS LÄN</t>
        </is>
      </c>
      <c r="E1272" t="inlineStr">
        <is>
          <t>FALUN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54134-2024</t>
        </is>
      </c>
      <c r="B1273" s="1" t="n">
        <v>45616</v>
      </c>
      <c r="C1273" s="1" t="n">
        <v>46106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10834-2023</t>
        </is>
      </c>
      <c r="B1274" s="1" t="n">
        <v>44991.01483796296</v>
      </c>
      <c r="C1274" s="1" t="n">
        <v>46106</v>
      </c>
      <c r="D1274" t="inlineStr">
        <is>
          <t>DALARNAS LÄN</t>
        </is>
      </c>
      <c r="E1274" t="inlineStr">
        <is>
          <t>FALUN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3308-2026</t>
        </is>
      </c>
      <c r="B1275" s="1" t="n">
        <v>46041.66767361111</v>
      </c>
      <c r="C1275" s="1" t="n">
        <v>46106</v>
      </c>
      <c r="D1275" t="inlineStr">
        <is>
          <t>DALARNAS LÄN</t>
        </is>
      </c>
      <c r="E1275" t="inlineStr">
        <is>
          <t>FALUN</t>
        </is>
      </c>
      <c r="G1275" t="n">
        <v>10.1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3057-2026</t>
        </is>
      </c>
      <c r="B1276" s="1" t="n">
        <v>46039.55498842592</v>
      </c>
      <c r="C1276" s="1" t="n">
        <v>46106</v>
      </c>
      <c r="D1276" t="inlineStr">
        <is>
          <t>DALARNAS LÄN</t>
        </is>
      </c>
      <c r="E1276" t="inlineStr">
        <is>
          <t>FALUN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3079-2026</t>
        </is>
      </c>
      <c r="B1277" s="1" t="n">
        <v>46040.76920138889</v>
      </c>
      <c r="C1277" s="1" t="n">
        <v>46106</v>
      </c>
      <c r="D1277" t="inlineStr">
        <is>
          <t>DALARNAS LÄN</t>
        </is>
      </c>
      <c r="E1277" t="inlineStr">
        <is>
          <t>FALUN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3085-2026</t>
        </is>
      </c>
      <c r="B1278" s="1" t="n">
        <v>46040.80125</v>
      </c>
      <c r="C1278" s="1" t="n">
        <v>46106</v>
      </c>
      <c r="D1278" t="inlineStr">
        <is>
          <t>DALARNAS LÄN</t>
        </is>
      </c>
      <c r="E1278" t="inlineStr">
        <is>
          <t>FALUN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3100-2026</t>
        </is>
      </c>
      <c r="B1279" s="1" t="n">
        <v>46041.28989583333</v>
      </c>
      <c r="C1279" s="1" t="n">
        <v>46106</v>
      </c>
      <c r="D1279" t="inlineStr">
        <is>
          <t>DALARNAS LÄN</t>
        </is>
      </c>
      <c r="E1279" t="inlineStr">
        <is>
          <t>FALUN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2903-2026</t>
        </is>
      </c>
      <c r="B1280" s="1" t="n">
        <v>46038</v>
      </c>
      <c r="C1280" s="1" t="n">
        <v>46106</v>
      </c>
      <c r="D1280" t="inlineStr">
        <is>
          <t>DALARNAS LÄN</t>
        </is>
      </c>
      <c r="E1280" t="inlineStr">
        <is>
          <t>FALUN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11266-2026</t>
        </is>
      </c>
      <c r="B1281" s="1" t="n">
        <v>46080.57146990741</v>
      </c>
      <c r="C1281" s="1" t="n">
        <v>46106</v>
      </c>
      <c r="D1281" t="inlineStr">
        <is>
          <t>DALARNAS LÄN</t>
        </is>
      </c>
      <c r="E1281" t="inlineStr">
        <is>
          <t>FALUN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3064-2026</t>
        </is>
      </c>
      <c r="B1282" s="1" t="n">
        <v>46040.43785879629</v>
      </c>
      <c r="C1282" s="1" t="n">
        <v>46106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2722-2026</t>
        </is>
      </c>
      <c r="B1283" s="1" t="n">
        <v>46037.81425925926</v>
      </c>
      <c r="C1283" s="1" t="n">
        <v>46106</v>
      </c>
      <c r="D1283" t="inlineStr">
        <is>
          <t>DALARNAS LÄN</t>
        </is>
      </c>
      <c r="E1283" t="inlineStr">
        <is>
          <t>FALUN</t>
        </is>
      </c>
      <c r="G1283" t="n">
        <v>5.1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3280-2026</t>
        </is>
      </c>
      <c r="B1284" s="1" t="n">
        <v>46041</v>
      </c>
      <c r="C1284" s="1" t="n">
        <v>46106</v>
      </c>
      <c r="D1284" t="inlineStr">
        <is>
          <t>DALARNAS LÄN</t>
        </is>
      </c>
      <c r="E1284" t="inlineStr">
        <is>
          <t>FALUN</t>
        </is>
      </c>
      <c r="G1284" t="n">
        <v>30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3303-2026</t>
        </is>
      </c>
      <c r="B1285" s="1" t="n">
        <v>46041.66077546297</v>
      </c>
      <c r="C1285" s="1" t="n">
        <v>46106</v>
      </c>
      <c r="D1285" t="inlineStr">
        <is>
          <t>DALARNAS LÄN</t>
        </is>
      </c>
      <c r="E1285" t="inlineStr">
        <is>
          <t>FALUN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3339-2026</t>
        </is>
      </c>
      <c r="B1286" s="1" t="n">
        <v>46041</v>
      </c>
      <c r="C1286" s="1" t="n">
        <v>46106</v>
      </c>
      <c r="D1286" t="inlineStr">
        <is>
          <t>DALARNAS LÄN</t>
        </is>
      </c>
      <c r="E1286" t="inlineStr">
        <is>
          <t>FALUN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35981-2022</t>
        </is>
      </c>
      <c r="B1287" s="1" t="n">
        <v>44802.59116898148</v>
      </c>
      <c r="C1287" s="1" t="n">
        <v>46106</v>
      </c>
      <c r="D1287" t="inlineStr">
        <is>
          <t>DALARNAS LÄN</t>
        </is>
      </c>
      <c r="E1287" t="inlineStr">
        <is>
          <t>FALUN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41933-2024</t>
        </is>
      </c>
      <c r="B1288" s="1" t="n">
        <v>45561.56449074074</v>
      </c>
      <c r="C1288" s="1" t="n">
        <v>46106</v>
      </c>
      <c r="D1288" t="inlineStr">
        <is>
          <t>DALARNAS LÄN</t>
        </is>
      </c>
      <c r="E1288" t="inlineStr">
        <is>
          <t>FALUN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9875-2026</t>
        </is>
      </c>
      <c r="B1289" s="1" t="n">
        <v>46073</v>
      </c>
      <c r="C1289" s="1" t="n">
        <v>46106</v>
      </c>
      <c r="D1289" t="inlineStr">
        <is>
          <t>DALARNAS LÄN</t>
        </is>
      </c>
      <c r="E1289" t="inlineStr">
        <is>
          <t>FALUN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44531-2024</t>
        </is>
      </c>
      <c r="B1290" s="1" t="n">
        <v>45574.44925925926</v>
      </c>
      <c r="C1290" s="1" t="n">
        <v>46106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371-2026</t>
        </is>
      </c>
      <c r="B1291" s="1" t="n">
        <v>46027</v>
      </c>
      <c r="C1291" s="1" t="n">
        <v>46106</v>
      </c>
      <c r="D1291" t="inlineStr">
        <is>
          <t>DALARNAS LÄN</t>
        </is>
      </c>
      <c r="E1291" t="inlineStr">
        <is>
          <t>FALUN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11156-2026</t>
        </is>
      </c>
      <c r="B1292" s="1" t="n">
        <v>46080</v>
      </c>
      <c r="C1292" s="1" t="n">
        <v>46106</v>
      </c>
      <c r="D1292" t="inlineStr">
        <is>
          <t>DALARNAS LÄN</t>
        </is>
      </c>
      <c r="E1292" t="inlineStr">
        <is>
          <t>FALUN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11299-2026</t>
        </is>
      </c>
      <c r="B1293" s="1" t="n">
        <v>46080.62945601852</v>
      </c>
      <c r="C1293" s="1" t="n">
        <v>46106</v>
      </c>
      <c r="D1293" t="inlineStr">
        <is>
          <t>DALARNAS LÄN</t>
        </is>
      </c>
      <c r="E1293" t="inlineStr">
        <is>
          <t>FALUN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3078-2026</t>
        </is>
      </c>
      <c r="B1294" s="1" t="n">
        <v>46040.76850694444</v>
      </c>
      <c r="C1294" s="1" t="n">
        <v>46106</v>
      </c>
      <c r="D1294" t="inlineStr">
        <is>
          <t>DALARNAS LÄN</t>
        </is>
      </c>
      <c r="E1294" t="inlineStr">
        <is>
          <t>FALUN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3081-2026</t>
        </is>
      </c>
      <c r="B1295" s="1" t="n">
        <v>46040.77619212963</v>
      </c>
      <c r="C1295" s="1" t="n">
        <v>46106</v>
      </c>
      <c r="D1295" t="inlineStr">
        <is>
          <t>DALARNAS LÄN</t>
        </is>
      </c>
      <c r="E1295" t="inlineStr">
        <is>
          <t>FALUN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45665-2024</t>
        </is>
      </c>
      <c r="B1296" s="1" t="n">
        <v>45579</v>
      </c>
      <c r="C1296" s="1" t="n">
        <v>46106</v>
      </c>
      <c r="D1296" t="inlineStr">
        <is>
          <t>DALARNAS LÄN</t>
        </is>
      </c>
      <c r="E1296" t="inlineStr">
        <is>
          <t>FALUN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11235-2026</t>
        </is>
      </c>
      <c r="B1297" s="1" t="n">
        <v>46080</v>
      </c>
      <c r="C1297" s="1" t="n">
        <v>46106</v>
      </c>
      <c r="D1297" t="inlineStr">
        <is>
          <t>DALARNAS LÄN</t>
        </is>
      </c>
      <c r="E1297" t="inlineStr">
        <is>
          <t>FALUN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11236-2026</t>
        </is>
      </c>
      <c r="B1298" s="1" t="n">
        <v>46080.50869212963</v>
      </c>
      <c r="C1298" s="1" t="n">
        <v>46106</v>
      </c>
      <c r="D1298" t="inlineStr">
        <is>
          <t>DALARNAS LÄN</t>
        </is>
      </c>
      <c r="E1298" t="inlineStr">
        <is>
          <t>FALUN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11482-2026</t>
        </is>
      </c>
      <c r="B1299" s="1" t="n">
        <v>46083.60938657408</v>
      </c>
      <c r="C1299" s="1" t="n">
        <v>46106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12847-2025</t>
        </is>
      </c>
      <c r="B1300" s="1" t="n">
        <v>45733.65178240741</v>
      </c>
      <c r="C1300" s="1" t="n">
        <v>46106</v>
      </c>
      <c r="D1300" t="inlineStr">
        <is>
          <t>DALARNAS LÄN</t>
        </is>
      </c>
      <c r="E1300" t="inlineStr">
        <is>
          <t>FALUN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3276-2026</t>
        </is>
      </c>
      <c r="B1301" s="1" t="n">
        <v>46041</v>
      </c>
      <c r="C1301" s="1" t="n">
        <v>46106</v>
      </c>
      <c r="D1301" t="inlineStr">
        <is>
          <t>DALARNAS LÄN</t>
        </is>
      </c>
      <c r="E1301" t="inlineStr">
        <is>
          <t>FALUN</t>
        </is>
      </c>
      <c r="G1301" t="n">
        <v>17.3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3343-2026</t>
        </is>
      </c>
      <c r="B1302" s="1" t="n">
        <v>46041</v>
      </c>
      <c r="C1302" s="1" t="n">
        <v>46106</v>
      </c>
      <c r="D1302" t="inlineStr">
        <is>
          <t>DALARNAS LÄN</t>
        </is>
      </c>
      <c r="E1302" t="inlineStr">
        <is>
          <t>FALUN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3347-2026</t>
        </is>
      </c>
      <c r="B1303" s="1" t="n">
        <v>46041</v>
      </c>
      <c r="C1303" s="1" t="n">
        <v>46106</v>
      </c>
      <c r="D1303" t="inlineStr">
        <is>
          <t>DALARNAS LÄN</t>
        </is>
      </c>
      <c r="E1303" t="inlineStr">
        <is>
          <t>FALUN</t>
        </is>
      </c>
      <c r="G1303" t="n">
        <v>5.9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3336-2026</t>
        </is>
      </c>
      <c r="B1304" s="1" t="n">
        <v>46041</v>
      </c>
      <c r="C1304" s="1" t="n">
        <v>46106</v>
      </c>
      <c r="D1304" t="inlineStr">
        <is>
          <t>DALARNAS LÄN</t>
        </is>
      </c>
      <c r="E1304" t="inlineStr">
        <is>
          <t>FALUN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2742-2026</t>
        </is>
      </c>
      <c r="B1305" s="1" t="n">
        <v>46038.3058912037</v>
      </c>
      <c r="C1305" s="1" t="n">
        <v>46106</v>
      </c>
      <c r="D1305" t="inlineStr">
        <is>
          <t>DALARNAS LÄN</t>
        </is>
      </c>
      <c r="E1305" t="inlineStr">
        <is>
          <t>FALUN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3027-2026</t>
        </is>
      </c>
      <c r="B1306" s="1" t="n">
        <v>46038.69246527777</v>
      </c>
      <c r="C1306" s="1" t="n">
        <v>46106</v>
      </c>
      <c r="D1306" t="inlineStr">
        <is>
          <t>DALARNAS LÄN</t>
        </is>
      </c>
      <c r="E1306" t="inlineStr">
        <is>
          <t>FALUN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3633-2026</t>
        </is>
      </c>
      <c r="B1307" s="1" t="n">
        <v>46043.3384375</v>
      </c>
      <c r="C1307" s="1" t="n">
        <v>46106</v>
      </c>
      <c r="D1307" t="inlineStr">
        <is>
          <t>DALARNAS LÄN</t>
        </is>
      </c>
      <c r="E1307" t="inlineStr">
        <is>
          <t>FALUN</t>
        </is>
      </c>
      <c r="G1307" t="n">
        <v>11.8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3444-2026</t>
        </is>
      </c>
      <c r="B1308" s="1" t="n">
        <v>46042.48064814815</v>
      </c>
      <c r="C1308" s="1" t="n">
        <v>46106</v>
      </c>
      <c r="D1308" t="inlineStr">
        <is>
          <t>DALARNAS LÄN</t>
        </is>
      </c>
      <c r="E1308" t="inlineStr">
        <is>
          <t>FALUN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3651-2026</t>
        </is>
      </c>
      <c r="B1309" s="1" t="n">
        <v>46043</v>
      </c>
      <c r="C1309" s="1" t="n">
        <v>46106</v>
      </c>
      <c r="D1309" t="inlineStr">
        <is>
          <t>DALARNAS LÄN</t>
        </is>
      </c>
      <c r="E1309" t="inlineStr">
        <is>
          <t>FALUN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3406-2026</t>
        </is>
      </c>
      <c r="B1310" s="1" t="n">
        <v>46042</v>
      </c>
      <c r="C1310" s="1" t="n">
        <v>46106</v>
      </c>
      <c r="D1310" t="inlineStr">
        <is>
          <t>DALARNAS LÄN</t>
        </is>
      </c>
      <c r="E1310" t="inlineStr">
        <is>
          <t>FALUN</t>
        </is>
      </c>
      <c r="G1310" t="n">
        <v>8.4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13567-2024</t>
        </is>
      </c>
      <c r="B1311" s="1" t="n">
        <v>45389.32982638889</v>
      </c>
      <c r="C1311" s="1" t="n">
        <v>46106</v>
      </c>
      <c r="D1311" t="inlineStr">
        <is>
          <t>DALARNAS LÄN</t>
        </is>
      </c>
      <c r="E1311" t="inlineStr">
        <is>
          <t>FALUN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3413-2026</t>
        </is>
      </c>
      <c r="B1312" s="1" t="n">
        <v>46042</v>
      </c>
      <c r="C1312" s="1" t="n">
        <v>46106</v>
      </c>
      <c r="D1312" t="inlineStr">
        <is>
          <t>DALARNAS LÄN</t>
        </is>
      </c>
      <c r="E1312" t="inlineStr">
        <is>
          <t>FALUN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3572-2026</t>
        </is>
      </c>
      <c r="B1313" s="1" t="n">
        <v>46042.6920949074</v>
      </c>
      <c r="C1313" s="1" t="n">
        <v>46106</v>
      </c>
      <c r="D1313" t="inlineStr">
        <is>
          <t>DALARNAS LÄN</t>
        </is>
      </c>
      <c r="E1313" t="inlineStr">
        <is>
          <t>FALUN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3585-2026</t>
        </is>
      </c>
      <c r="B1314" s="1" t="n">
        <v>46042</v>
      </c>
      <c r="C1314" s="1" t="n">
        <v>46106</v>
      </c>
      <c r="D1314" t="inlineStr">
        <is>
          <t>DALARNAS LÄN</t>
        </is>
      </c>
      <c r="E1314" t="inlineStr">
        <is>
          <t>FALUN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3586-2026</t>
        </is>
      </c>
      <c r="B1315" s="1" t="n">
        <v>46042.74631944444</v>
      </c>
      <c r="C1315" s="1" t="n">
        <v>46106</v>
      </c>
      <c r="D1315" t="inlineStr">
        <is>
          <t>DALARNAS LÄN</t>
        </is>
      </c>
      <c r="E1315" t="inlineStr">
        <is>
          <t>FALUN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3712-2026</t>
        </is>
      </c>
      <c r="B1316" s="1" t="n">
        <v>46043.48607638889</v>
      </c>
      <c r="C1316" s="1" t="n">
        <v>46106</v>
      </c>
      <c r="D1316" t="inlineStr">
        <is>
          <t>DALARNAS LÄN</t>
        </is>
      </c>
      <c r="E1316" t="inlineStr">
        <is>
          <t>FALUN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3587-2026</t>
        </is>
      </c>
      <c r="B1317" s="1" t="n">
        <v>46042.74783564815</v>
      </c>
      <c r="C1317" s="1" t="n">
        <v>46106</v>
      </c>
      <c r="D1317" t="inlineStr">
        <is>
          <t>DALARNAS LÄN</t>
        </is>
      </c>
      <c r="E1317" t="inlineStr">
        <is>
          <t>FALUN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3589-2026</t>
        </is>
      </c>
      <c r="B1318" s="1" t="n">
        <v>46042.75324074074</v>
      </c>
      <c r="C1318" s="1" t="n">
        <v>46106</v>
      </c>
      <c r="D1318" t="inlineStr">
        <is>
          <t>DALARNAS LÄN</t>
        </is>
      </c>
      <c r="E1318" t="inlineStr">
        <is>
          <t>FALUN</t>
        </is>
      </c>
      <c r="G1318" t="n">
        <v>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3674-2026</t>
        </is>
      </c>
      <c r="B1319" s="1" t="n">
        <v>46043.42109953704</v>
      </c>
      <c r="C1319" s="1" t="n">
        <v>46106</v>
      </c>
      <c r="D1319" t="inlineStr">
        <is>
          <t>DALARNAS LÄN</t>
        </is>
      </c>
      <c r="E1319" t="inlineStr">
        <is>
          <t>FALUN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3687-2026</t>
        </is>
      </c>
      <c r="B1320" s="1" t="n">
        <v>46043</v>
      </c>
      <c r="C1320" s="1" t="n">
        <v>46106</v>
      </c>
      <c r="D1320" t="inlineStr">
        <is>
          <t>DALARNAS LÄN</t>
        </is>
      </c>
      <c r="E1320" t="inlineStr">
        <is>
          <t>FALUN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3345-2026</t>
        </is>
      </c>
      <c r="B1321" s="1" t="n">
        <v>46041.87370370371</v>
      </c>
      <c r="C1321" s="1" t="n">
        <v>46106</v>
      </c>
      <c r="D1321" t="inlineStr">
        <is>
          <t>DALARNAS LÄN</t>
        </is>
      </c>
      <c r="E1321" t="inlineStr">
        <is>
          <t>FALUN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49642-2024</t>
        </is>
      </c>
      <c r="B1322" s="1" t="n">
        <v>45596.61127314815</v>
      </c>
      <c r="C1322" s="1" t="n">
        <v>46106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49663-2024</t>
        </is>
      </c>
      <c r="B1323" s="1" t="n">
        <v>45596.64103009259</v>
      </c>
      <c r="C1323" s="1" t="n">
        <v>46106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10335-2026</t>
        </is>
      </c>
      <c r="B1324" s="1" t="n">
        <v>46076</v>
      </c>
      <c r="C1324" s="1" t="n">
        <v>46106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10342-2026</t>
        </is>
      </c>
      <c r="B1325" s="1" t="n">
        <v>46076</v>
      </c>
      <c r="C1325" s="1" t="n">
        <v>46106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43736-2024</t>
        </is>
      </c>
      <c r="B1326" s="1" t="n">
        <v>45569.65116898148</v>
      </c>
      <c r="C1326" s="1" t="n">
        <v>46106</v>
      </c>
      <c r="D1326" t="inlineStr">
        <is>
          <t>DALARNAS LÄN</t>
        </is>
      </c>
      <c r="E1326" t="inlineStr">
        <is>
          <t>FALUN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3603-2026</t>
        </is>
      </c>
      <c r="B1327" s="1" t="n">
        <v>46042</v>
      </c>
      <c r="C1327" s="1" t="n">
        <v>46106</v>
      </c>
      <c r="D1327" t="inlineStr">
        <is>
          <t>DALARNAS LÄN</t>
        </is>
      </c>
      <c r="E1327" t="inlineStr">
        <is>
          <t>FALUN</t>
        </is>
      </c>
      <c r="G1327" t="n">
        <v>6.7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3806-2026</t>
        </is>
      </c>
      <c r="B1328" s="1" t="n">
        <v>46043</v>
      </c>
      <c r="C1328" s="1" t="n">
        <v>46106</v>
      </c>
      <c r="D1328" t="inlineStr">
        <is>
          <t>DALARNAS LÄN</t>
        </is>
      </c>
      <c r="E1328" t="inlineStr">
        <is>
          <t>FALUN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11783-2026</t>
        </is>
      </c>
      <c r="B1329" s="1" t="n">
        <v>46084.88636574074</v>
      </c>
      <c r="C1329" s="1" t="n">
        <v>46106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11577-2026</t>
        </is>
      </c>
      <c r="B1330" s="1" t="n">
        <v>46084.39524305556</v>
      </c>
      <c r="C1330" s="1" t="n">
        <v>46106</v>
      </c>
      <c r="D1330" t="inlineStr">
        <is>
          <t>DALARNAS LÄN</t>
        </is>
      </c>
      <c r="E1330" t="inlineStr">
        <is>
          <t>FALUN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3679-2026</t>
        </is>
      </c>
      <c r="B1331" s="1" t="n">
        <v>46043</v>
      </c>
      <c r="C1331" s="1" t="n">
        <v>46106</v>
      </c>
      <c r="D1331" t="inlineStr">
        <is>
          <t>DALARNAS LÄN</t>
        </is>
      </c>
      <c r="E1331" t="inlineStr">
        <is>
          <t>FALUN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3932-2026</t>
        </is>
      </c>
      <c r="B1332" s="1" t="n">
        <v>46043</v>
      </c>
      <c r="C1332" s="1" t="n">
        <v>46106</v>
      </c>
      <c r="D1332" t="inlineStr">
        <is>
          <t>DALARNAS LÄN</t>
        </is>
      </c>
      <c r="E1332" t="inlineStr">
        <is>
          <t>FALUN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8770-2026</t>
        </is>
      </c>
      <c r="B1333" s="1" t="n">
        <v>46066</v>
      </c>
      <c r="C1333" s="1" t="n">
        <v>46106</v>
      </c>
      <c r="D1333" t="inlineStr">
        <is>
          <t>DALARNAS LÄN</t>
        </is>
      </c>
      <c r="E1333" t="inlineStr">
        <is>
          <t>FALUN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33548-2022</t>
        </is>
      </c>
      <c r="B1334" s="1" t="n">
        <v>44789</v>
      </c>
      <c r="C1334" s="1" t="n">
        <v>46106</v>
      </c>
      <c r="D1334" t="inlineStr">
        <is>
          <t>DALARNAS LÄN</t>
        </is>
      </c>
      <c r="E1334" t="inlineStr">
        <is>
          <t>FALUN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3480-2026</t>
        </is>
      </c>
      <c r="B1335" s="1" t="n">
        <v>46042.55565972222</v>
      </c>
      <c r="C1335" s="1" t="n">
        <v>46106</v>
      </c>
      <c r="D1335" t="inlineStr">
        <is>
          <t>DALARNAS LÄN</t>
        </is>
      </c>
      <c r="E1335" t="inlineStr">
        <is>
          <t>FALUN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1083-2025</t>
        </is>
      </c>
      <c r="B1336" s="1" t="n">
        <v>45666.61783564815</v>
      </c>
      <c r="C1336" s="1" t="n">
        <v>46106</v>
      </c>
      <c r="D1336" t="inlineStr">
        <is>
          <t>DALARNAS LÄN</t>
        </is>
      </c>
      <c r="E1336" t="inlineStr">
        <is>
          <t>FALUN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1085-2025</t>
        </is>
      </c>
      <c r="B1337" s="1" t="n">
        <v>45666.62012731482</v>
      </c>
      <c r="C1337" s="1" t="n">
        <v>46106</v>
      </c>
      <c r="D1337" t="inlineStr">
        <is>
          <t>DALARNAS LÄN</t>
        </is>
      </c>
      <c r="E1337" t="inlineStr">
        <is>
          <t>FALUN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59659-2024</t>
        </is>
      </c>
      <c r="B1338" s="1" t="n">
        <v>45639.35046296296</v>
      </c>
      <c r="C1338" s="1" t="n">
        <v>46106</v>
      </c>
      <c r="D1338" t="inlineStr">
        <is>
          <t>DALARNAS LÄN</t>
        </is>
      </c>
      <c r="E1338" t="inlineStr">
        <is>
          <t>FALUN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3604-2026</t>
        </is>
      </c>
      <c r="B1339" s="1" t="n">
        <v>46042.87021990741</v>
      </c>
      <c r="C1339" s="1" t="n">
        <v>46106</v>
      </c>
      <c r="D1339" t="inlineStr">
        <is>
          <t>DALARNAS LÄN</t>
        </is>
      </c>
      <c r="E1339" t="inlineStr">
        <is>
          <t>FALUN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11759-2026</t>
        </is>
      </c>
      <c r="B1340" s="1" t="n">
        <v>46084.68773148148</v>
      </c>
      <c r="C1340" s="1" t="n">
        <v>46106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3372-2026</t>
        </is>
      </c>
      <c r="B1341" s="1" t="n">
        <v>46042</v>
      </c>
      <c r="C1341" s="1" t="n">
        <v>46106</v>
      </c>
      <c r="D1341" t="inlineStr">
        <is>
          <t>DALARNAS LÄN</t>
        </is>
      </c>
      <c r="E1341" t="inlineStr">
        <is>
          <t>FALUN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11607-2026</t>
        </is>
      </c>
      <c r="B1342" s="1" t="n">
        <v>46084.43517361111</v>
      </c>
      <c r="C1342" s="1" t="n">
        <v>46106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3915-2026</t>
        </is>
      </c>
      <c r="B1343" s="1" t="n">
        <v>46043</v>
      </c>
      <c r="C1343" s="1" t="n">
        <v>46106</v>
      </c>
      <c r="D1343" t="inlineStr">
        <is>
          <t>DALARNAS LÄN</t>
        </is>
      </c>
      <c r="E1343" t="inlineStr">
        <is>
          <t>FALUN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4068-2026</t>
        </is>
      </c>
      <c r="B1344" s="1" t="n">
        <v>46043</v>
      </c>
      <c r="C1344" s="1" t="n">
        <v>46106</v>
      </c>
      <c r="D1344" t="inlineStr">
        <is>
          <t>DALARNAS LÄN</t>
        </is>
      </c>
      <c r="E1344" t="inlineStr">
        <is>
          <t>FALUN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10337-2026</t>
        </is>
      </c>
      <c r="B1345" s="1" t="n">
        <v>46076</v>
      </c>
      <c r="C1345" s="1" t="n">
        <v>46106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27.7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10338-2026</t>
        </is>
      </c>
      <c r="B1346" s="1" t="n">
        <v>46076</v>
      </c>
      <c r="C1346" s="1" t="n">
        <v>46106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10341-2026</t>
        </is>
      </c>
      <c r="B1347" s="1" t="n">
        <v>46076</v>
      </c>
      <c r="C1347" s="1" t="n">
        <v>46106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10339-2026</t>
        </is>
      </c>
      <c r="B1348" s="1" t="n">
        <v>46076</v>
      </c>
      <c r="C1348" s="1" t="n">
        <v>46106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34670-2021</t>
        </is>
      </c>
      <c r="B1349" s="1" t="n">
        <v>44382</v>
      </c>
      <c r="C1349" s="1" t="n">
        <v>46106</v>
      </c>
      <c r="D1349" t="inlineStr">
        <is>
          <t>DALARNAS LÄN</t>
        </is>
      </c>
      <c r="E1349" t="inlineStr">
        <is>
          <t>FALUN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3454-2026</t>
        </is>
      </c>
      <c r="B1350" s="1" t="n">
        <v>46042.49834490741</v>
      </c>
      <c r="C1350" s="1" t="n">
        <v>46106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3791-2026</t>
        </is>
      </c>
      <c r="B1351" s="1" t="n">
        <v>46043</v>
      </c>
      <c r="C1351" s="1" t="n">
        <v>46106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3830-2026</t>
        </is>
      </c>
      <c r="B1352" s="1" t="n">
        <v>46043</v>
      </c>
      <c r="C1352" s="1" t="n">
        <v>46106</v>
      </c>
      <c r="D1352" t="inlineStr">
        <is>
          <t>DALARNAS LÄN</t>
        </is>
      </c>
      <c r="E1352" t="inlineStr">
        <is>
          <t>FALUN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10334-2026</t>
        </is>
      </c>
      <c r="B1353" s="1" t="n">
        <v>46076</v>
      </c>
      <c r="C1353" s="1" t="n">
        <v>46106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33912-2024</t>
        </is>
      </c>
      <c r="B1354" s="1" t="n">
        <v>45523.38677083333</v>
      </c>
      <c r="C1354" s="1" t="n">
        <v>46106</v>
      </c>
      <c r="D1354" t="inlineStr">
        <is>
          <t>DALARNAS LÄN</t>
        </is>
      </c>
      <c r="E1354" t="inlineStr">
        <is>
          <t>FALUN</t>
        </is>
      </c>
      <c r="F1354" t="inlineStr">
        <is>
          <t>Allmännings- och besparingsskogar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10336-2026</t>
        </is>
      </c>
      <c r="B1355" s="1" t="n">
        <v>46076</v>
      </c>
      <c r="C1355" s="1" t="n">
        <v>46106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58343-2023</t>
        </is>
      </c>
      <c r="B1356" s="1" t="n">
        <v>45250</v>
      </c>
      <c r="C1356" s="1" t="n">
        <v>46106</v>
      </c>
      <c r="D1356" t="inlineStr">
        <is>
          <t>DALARNAS LÄN</t>
        </is>
      </c>
      <c r="E1356" t="inlineStr">
        <is>
          <t>FALUN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58388-2023</t>
        </is>
      </c>
      <c r="B1357" s="1" t="n">
        <v>45250</v>
      </c>
      <c r="C1357" s="1" t="n">
        <v>46106</v>
      </c>
      <c r="D1357" t="inlineStr">
        <is>
          <t>DALARNAS LÄN</t>
        </is>
      </c>
      <c r="E1357" t="inlineStr">
        <is>
          <t>FALUN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11780-2026</t>
        </is>
      </c>
      <c r="B1358" s="1" t="n">
        <v>46084.87475694445</v>
      </c>
      <c r="C1358" s="1" t="n">
        <v>46106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11782-2026</t>
        </is>
      </c>
      <c r="B1359" s="1" t="n">
        <v>46084.88075231481</v>
      </c>
      <c r="C1359" s="1" t="n">
        <v>46106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12195-2026</t>
        </is>
      </c>
      <c r="B1360" s="1" t="n">
        <v>46086.86721064815</v>
      </c>
      <c r="C1360" s="1" t="n">
        <v>46106</v>
      </c>
      <c r="D1360" t="inlineStr">
        <is>
          <t>DALARNAS LÄN</t>
        </is>
      </c>
      <c r="E1360" t="inlineStr">
        <is>
          <t>FALUN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10566-2026</t>
        </is>
      </c>
      <c r="B1361" s="1" t="n">
        <v>46077</v>
      </c>
      <c r="C1361" s="1" t="n">
        <v>46106</v>
      </c>
      <c r="D1361" t="inlineStr">
        <is>
          <t>DALARNAS LÄN</t>
        </is>
      </c>
      <c r="E1361" t="inlineStr">
        <is>
          <t>FALUN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8978-2026</t>
        </is>
      </c>
      <c r="B1362" s="1" t="n">
        <v>46069</v>
      </c>
      <c r="C1362" s="1" t="n">
        <v>46106</v>
      </c>
      <c r="D1362" t="inlineStr">
        <is>
          <t>DALARNAS LÄN</t>
        </is>
      </c>
      <c r="E1362" t="inlineStr">
        <is>
          <t>FALUN</t>
        </is>
      </c>
      <c r="G1362" t="n">
        <v>11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4246-2026</t>
        </is>
      </c>
      <c r="B1363" s="1" t="n">
        <v>46045.305</v>
      </c>
      <c r="C1363" s="1" t="n">
        <v>46106</v>
      </c>
      <c r="D1363" t="inlineStr">
        <is>
          <t>DALARNAS LÄN</t>
        </is>
      </c>
      <c r="E1363" t="inlineStr">
        <is>
          <t>FALUN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4224-2026</t>
        </is>
      </c>
      <c r="B1364" s="1" t="n">
        <v>46044.84688657407</v>
      </c>
      <c r="C1364" s="1" t="n">
        <v>46106</v>
      </c>
      <c r="D1364" t="inlineStr">
        <is>
          <t>DALARNAS LÄN</t>
        </is>
      </c>
      <c r="E1364" t="inlineStr">
        <is>
          <t>FALUN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4922-2026</t>
        </is>
      </c>
      <c r="B1365" s="1" t="n">
        <v>46045</v>
      </c>
      <c r="C1365" s="1" t="n">
        <v>46106</v>
      </c>
      <c r="D1365" t="inlineStr">
        <is>
          <t>DALARNAS LÄN</t>
        </is>
      </c>
      <c r="E1365" t="inlineStr">
        <is>
          <t>FALUN</t>
        </is>
      </c>
      <c r="G1365" t="n">
        <v>6.5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4932-2026</t>
        </is>
      </c>
      <c r="B1366" s="1" t="n">
        <v>46045</v>
      </c>
      <c r="C1366" s="1" t="n">
        <v>46106</v>
      </c>
      <c r="D1366" t="inlineStr">
        <is>
          <t>DALARNAS LÄN</t>
        </is>
      </c>
      <c r="E1366" t="inlineStr">
        <is>
          <t>FALUN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10523-2023</t>
        </is>
      </c>
      <c r="B1367" s="1" t="n">
        <v>44987</v>
      </c>
      <c r="C1367" s="1" t="n">
        <v>46106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12257-2026</t>
        </is>
      </c>
      <c r="B1368" s="1" t="n">
        <v>46087.4794212963</v>
      </c>
      <c r="C1368" s="1" t="n">
        <v>46106</v>
      </c>
      <c r="D1368" t="inlineStr">
        <is>
          <t>DALARNAS LÄN</t>
        </is>
      </c>
      <c r="E1368" t="inlineStr">
        <is>
          <t>FALUN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4465-2026</t>
        </is>
      </c>
      <c r="B1369" s="1" t="n">
        <v>46045</v>
      </c>
      <c r="C1369" s="1" t="n">
        <v>46106</v>
      </c>
      <c r="D1369" t="inlineStr">
        <is>
          <t>DALARNAS LÄN</t>
        </is>
      </c>
      <c r="E1369" t="inlineStr">
        <is>
          <t>FALUN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4490-2026</t>
        </is>
      </c>
      <c r="B1370" s="1" t="n">
        <v>46045</v>
      </c>
      <c r="C1370" s="1" t="n">
        <v>46106</v>
      </c>
      <c r="D1370" t="inlineStr">
        <is>
          <t>DALARNAS LÄN</t>
        </is>
      </c>
      <c r="E1370" t="inlineStr">
        <is>
          <t>FALUN</t>
        </is>
      </c>
      <c r="F1370" t="inlineStr">
        <is>
          <t>Kommuner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4509-2026</t>
        </is>
      </c>
      <c r="B1371" s="1" t="n">
        <v>46045</v>
      </c>
      <c r="C1371" s="1" t="n">
        <v>46106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5654-2026</t>
        </is>
      </c>
      <c r="B1372" s="1" t="n">
        <v>46051</v>
      </c>
      <c r="C1372" s="1" t="n">
        <v>46106</v>
      </c>
      <c r="D1372" t="inlineStr">
        <is>
          <t>DALARNAS LÄN</t>
        </is>
      </c>
      <c r="E1372" t="inlineStr">
        <is>
          <t>FALUN</t>
        </is>
      </c>
      <c r="F1372" t="inlineStr">
        <is>
          <t>Kyrkan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5661-2026</t>
        </is>
      </c>
      <c r="B1373" s="1" t="n">
        <v>46051</v>
      </c>
      <c r="C1373" s="1" t="n">
        <v>46106</v>
      </c>
      <c r="D1373" t="inlineStr">
        <is>
          <t>DALARNAS LÄN</t>
        </is>
      </c>
      <c r="E1373" t="inlineStr">
        <is>
          <t>FALUN</t>
        </is>
      </c>
      <c r="F1373" t="inlineStr">
        <is>
          <t>Kyrkan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4072-2026</t>
        </is>
      </c>
      <c r="B1374" s="1" t="n">
        <v>46044.52929398148</v>
      </c>
      <c r="C1374" s="1" t="n">
        <v>46106</v>
      </c>
      <c r="D1374" t="inlineStr">
        <is>
          <t>DALARNAS LÄN</t>
        </is>
      </c>
      <c r="E1374" t="inlineStr">
        <is>
          <t>FALUN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26770-2024</t>
        </is>
      </c>
      <c r="B1375" s="1" t="n">
        <v>45470.47375</v>
      </c>
      <c r="C1375" s="1" t="n">
        <v>46106</v>
      </c>
      <c r="D1375" t="inlineStr">
        <is>
          <t>DALARNAS LÄN</t>
        </is>
      </c>
      <c r="E1375" t="inlineStr">
        <is>
          <t>FALUN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4915-2026</t>
        </is>
      </c>
      <c r="B1376" s="1" t="n">
        <v>46045</v>
      </c>
      <c r="C1376" s="1" t="n">
        <v>46106</v>
      </c>
      <c r="D1376" t="inlineStr">
        <is>
          <t>DALARNAS LÄN</t>
        </is>
      </c>
      <c r="E1376" t="inlineStr">
        <is>
          <t>FALUN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4920-2026</t>
        </is>
      </c>
      <c r="B1377" s="1" t="n">
        <v>46045</v>
      </c>
      <c r="C1377" s="1" t="n">
        <v>46106</v>
      </c>
      <c r="D1377" t="inlineStr">
        <is>
          <t>DALARNAS LÄN</t>
        </is>
      </c>
      <c r="E1377" t="inlineStr">
        <is>
          <t>FALUN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4921-2026</t>
        </is>
      </c>
      <c r="B1378" s="1" t="n">
        <v>46045</v>
      </c>
      <c r="C1378" s="1" t="n">
        <v>46106</v>
      </c>
      <c r="D1378" t="inlineStr">
        <is>
          <t>DALARNAS LÄN</t>
        </is>
      </c>
      <c r="E1378" t="inlineStr">
        <is>
          <t>FALUN</t>
        </is>
      </c>
      <c r="G1378" t="n">
        <v>8.4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4218-2026</t>
        </is>
      </c>
      <c r="B1379" s="1" t="n">
        <v>46044</v>
      </c>
      <c r="C1379" s="1" t="n">
        <v>46106</v>
      </c>
      <c r="D1379" t="inlineStr">
        <is>
          <t>DALARNAS LÄN</t>
        </is>
      </c>
      <c r="E1379" t="inlineStr">
        <is>
          <t>FALUN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4398-2026</t>
        </is>
      </c>
      <c r="B1380" s="1" t="n">
        <v>46045</v>
      </c>
      <c r="C1380" s="1" t="n">
        <v>46106</v>
      </c>
      <c r="D1380" t="inlineStr">
        <is>
          <t>DALARNAS LÄN</t>
        </is>
      </c>
      <c r="E1380" t="inlineStr">
        <is>
          <t>FALUN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4505-2026</t>
        </is>
      </c>
      <c r="B1381" s="1" t="n">
        <v>46045</v>
      </c>
      <c r="C1381" s="1" t="n">
        <v>46106</v>
      </c>
      <c r="D1381" t="inlineStr">
        <is>
          <t>DALARNAS LÄN</t>
        </is>
      </c>
      <c r="E1381" t="inlineStr">
        <is>
          <t>FALUN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4511-2026</t>
        </is>
      </c>
      <c r="B1382" s="1" t="n">
        <v>46045</v>
      </c>
      <c r="C1382" s="1" t="n">
        <v>46106</v>
      </c>
      <c r="D1382" t="inlineStr">
        <is>
          <t>DALARNAS LÄN</t>
        </is>
      </c>
      <c r="E1382" t="inlineStr">
        <is>
          <t>FALUN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12094-2026</t>
        </is>
      </c>
      <c r="B1383" s="1" t="n">
        <v>46086.47299768519</v>
      </c>
      <c r="C1383" s="1" t="n">
        <v>46106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29084-2023</t>
        </is>
      </c>
      <c r="B1384" s="1" t="n">
        <v>45105</v>
      </c>
      <c r="C1384" s="1" t="n">
        <v>46106</v>
      </c>
      <c r="D1384" t="inlineStr">
        <is>
          <t>DALARNAS LÄN</t>
        </is>
      </c>
      <c r="E1384" t="inlineStr">
        <is>
          <t>FALUN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4475-2026</t>
        </is>
      </c>
      <c r="B1385" s="1" t="n">
        <v>46045</v>
      </c>
      <c r="C1385" s="1" t="n">
        <v>46106</v>
      </c>
      <c r="D1385" t="inlineStr">
        <is>
          <t>DALARNAS LÄN</t>
        </is>
      </c>
      <c r="E1385" t="inlineStr">
        <is>
          <t>FALUN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1581-2026</t>
        </is>
      </c>
      <c r="B1386" s="1" t="n">
        <v>46031</v>
      </c>
      <c r="C1386" s="1" t="n">
        <v>46106</v>
      </c>
      <c r="D1386" t="inlineStr">
        <is>
          <t>DALARNAS LÄN</t>
        </is>
      </c>
      <c r="E1386" t="inlineStr">
        <is>
          <t>FALUN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4508-2026</t>
        </is>
      </c>
      <c r="B1387" s="1" t="n">
        <v>46045</v>
      </c>
      <c r="C1387" s="1" t="n">
        <v>46106</v>
      </c>
      <c r="D1387" t="inlineStr">
        <is>
          <t>DALARNAS LÄN</t>
        </is>
      </c>
      <c r="E1387" t="inlineStr">
        <is>
          <t>FALUN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4012-2026</t>
        </is>
      </c>
      <c r="B1388" s="1" t="n">
        <v>46044.41138888889</v>
      </c>
      <c r="C1388" s="1" t="n">
        <v>46106</v>
      </c>
      <c r="D1388" t="inlineStr">
        <is>
          <t>DALARNAS LÄN</t>
        </is>
      </c>
      <c r="E1388" t="inlineStr">
        <is>
          <t>FALUN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4340-2026</t>
        </is>
      </c>
      <c r="B1389" s="1" t="n">
        <v>46045</v>
      </c>
      <c r="C1389" s="1" t="n">
        <v>46106</v>
      </c>
      <c r="D1389" t="inlineStr">
        <is>
          <t>DALARNAS LÄN</t>
        </is>
      </c>
      <c r="E1389" t="inlineStr">
        <is>
          <t>FALUN</t>
        </is>
      </c>
      <c r="G1389" t="n">
        <v>9.6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3956-2026</t>
        </is>
      </c>
      <c r="B1390" s="1" t="n">
        <v>46044</v>
      </c>
      <c r="C1390" s="1" t="n">
        <v>46106</v>
      </c>
      <c r="D1390" t="inlineStr">
        <is>
          <t>DALARNAS LÄN</t>
        </is>
      </c>
      <c r="E1390" t="inlineStr">
        <is>
          <t>FALUN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4378-2026</t>
        </is>
      </c>
      <c r="B1391" s="1" t="n">
        <v>46045</v>
      </c>
      <c r="C1391" s="1" t="n">
        <v>46106</v>
      </c>
      <c r="D1391" t="inlineStr">
        <is>
          <t>DALARNAS LÄN</t>
        </is>
      </c>
      <c r="E1391" t="inlineStr">
        <is>
          <t>FALUN</t>
        </is>
      </c>
      <c r="G1391" t="n">
        <v>14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12260-2026</t>
        </is>
      </c>
      <c r="B1392" s="1" t="n">
        <v>46087.48717592593</v>
      </c>
      <c r="C1392" s="1" t="n">
        <v>46106</v>
      </c>
      <c r="D1392" t="inlineStr">
        <is>
          <t>DALARNAS LÄN</t>
        </is>
      </c>
      <c r="E1392" t="inlineStr">
        <is>
          <t>FALUN</t>
        </is>
      </c>
      <c r="G1392" t="n">
        <v>23.9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1582-2026</t>
        </is>
      </c>
      <c r="B1393" s="1" t="n">
        <v>46031</v>
      </c>
      <c r="C1393" s="1" t="n">
        <v>46106</v>
      </c>
      <c r="D1393" t="inlineStr">
        <is>
          <t>DALARNAS LÄN</t>
        </is>
      </c>
      <c r="E1393" t="inlineStr">
        <is>
          <t>FALUN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4277-2026</t>
        </is>
      </c>
      <c r="B1394" s="1" t="n">
        <v>46044</v>
      </c>
      <c r="C1394" s="1" t="n">
        <v>46106</v>
      </c>
      <c r="D1394" t="inlineStr">
        <is>
          <t>DALARNAS LÄN</t>
        </is>
      </c>
      <c r="E1394" t="inlineStr">
        <is>
          <t>FALUN</t>
        </is>
      </c>
      <c r="G1394" t="n">
        <v>13.2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4322-2026</t>
        </is>
      </c>
      <c r="B1395" s="1" t="n">
        <v>46045</v>
      </c>
      <c r="C1395" s="1" t="n">
        <v>46106</v>
      </c>
      <c r="D1395" t="inlineStr">
        <is>
          <t>DALARNAS LÄN</t>
        </is>
      </c>
      <c r="E1395" t="inlineStr">
        <is>
          <t>FALUN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4510-2026</t>
        </is>
      </c>
      <c r="B1396" s="1" t="n">
        <v>46045</v>
      </c>
      <c r="C1396" s="1" t="n">
        <v>46106</v>
      </c>
      <c r="D1396" t="inlineStr">
        <is>
          <t>DALARNAS LÄN</t>
        </is>
      </c>
      <c r="E1396" t="inlineStr">
        <is>
          <t>FALUN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5266-2026</t>
        </is>
      </c>
      <c r="B1397" s="1" t="n">
        <v>46050</v>
      </c>
      <c r="C1397" s="1" t="n">
        <v>46106</v>
      </c>
      <c r="D1397" t="inlineStr">
        <is>
          <t>DALARNAS LÄN</t>
        </is>
      </c>
      <c r="E1397" t="inlineStr">
        <is>
          <t>FALUN</t>
        </is>
      </c>
      <c r="F1397" t="inlineStr">
        <is>
          <t>Kyrkan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5275-2026</t>
        </is>
      </c>
      <c r="B1398" s="1" t="n">
        <v>46050</v>
      </c>
      <c r="C1398" s="1" t="n">
        <v>46106</v>
      </c>
      <c r="D1398" t="inlineStr">
        <is>
          <t>DALARNAS LÄN</t>
        </is>
      </c>
      <c r="E1398" t="inlineStr">
        <is>
          <t>FALUN</t>
        </is>
      </c>
      <c r="F1398" t="inlineStr">
        <is>
          <t>Kyrkan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10482-2026</t>
        </is>
      </c>
      <c r="B1399" s="1" t="n">
        <v>46077</v>
      </c>
      <c r="C1399" s="1" t="n">
        <v>46106</v>
      </c>
      <c r="D1399" t="inlineStr">
        <is>
          <t>DALARNAS LÄN</t>
        </is>
      </c>
      <c r="E1399" t="inlineStr">
        <is>
          <t>FALUN</t>
        </is>
      </c>
      <c r="F1399" t="inlineStr">
        <is>
          <t>Kyrkan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5663-2026</t>
        </is>
      </c>
      <c r="B1400" s="1" t="n">
        <v>46051</v>
      </c>
      <c r="C1400" s="1" t="n">
        <v>46106</v>
      </c>
      <c r="D1400" t="inlineStr">
        <is>
          <t>DALARNAS LÄN</t>
        </is>
      </c>
      <c r="E1400" t="inlineStr">
        <is>
          <t>FALUN</t>
        </is>
      </c>
      <c r="F1400" t="inlineStr">
        <is>
          <t>Kyrkan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10569-2026</t>
        </is>
      </c>
      <c r="B1401" s="1" t="n">
        <v>46077</v>
      </c>
      <c r="C1401" s="1" t="n">
        <v>46106</v>
      </c>
      <c r="D1401" t="inlineStr">
        <is>
          <t>DALARNAS LÄN</t>
        </is>
      </c>
      <c r="E1401" t="inlineStr">
        <is>
          <t>FALUN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10539-2026</t>
        </is>
      </c>
      <c r="B1402" s="1" t="n">
        <v>46077</v>
      </c>
      <c r="C1402" s="1" t="n">
        <v>46106</v>
      </c>
      <c r="D1402" t="inlineStr">
        <is>
          <t>DALARNAS LÄN</t>
        </is>
      </c>
      <c r="E1402" t="inlineStr">
        <is>
          <t>FALUN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11306-2026</t>
        </is>
      </c>
      <c r="B1403" s="1" t="n">
        <v>46080</v>
      </c>
      <c r="C1403" s="1" t="n">
        <v>46106</v>
      </c>
      <c r="D1403" t="inlineStr">
        <is>
          <t>DALARNAS LÄN</t>
        </is>
      </c>
      <c r="E1403" t="inlineStr">
        <is>
          <t>FALUN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4216-2026</t>
        </is>
      </c>
      <c r="B1404" s="1" t="n">
        <v>46044</v>
      </c>
      <c r="C1404" s="1" t="n">
        <v>46106</v>
      </c>
      <c r="D1404" t="inlineStr">
        <is>
          <t>DALARNAS LÄN</t>
        </is>
      </c>
      <c r="E1404" t="inlineStr">
        <is>
          <t>FALUN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4244-2026</t>
        </is>
      </c>
      <c r="B1405" s="1" t="n">
        <v>46045.30012731482</v>
      </c>
      <c r="C1405" s="1" t="n">
        <v>46106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9774-2026</t>
        </is>
      </c>
      <c r="B1406" s="1" t="n">
        <v>46072</v>
      </c>
      <c r="C1406" s="1" t="n">
        <v>46106</v>
      </c>
      <c r="D1406" t="inlineStr">
        <is>
          <t>DALARNAS LÄN</t>
        </is>
      </c>
      <c r="E1406" t="inlineStr">
        <is>
          <t>FALUN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12029-2026</t>
        </is>
      </c>
      <c r="B1407" s="1" t="n">
        <v>46085.90086805556</v>
      </c>
      <c r="C1407" s="1" t="n">
        <v>46106</v>
      </c>
      <c r="D1407" t="inlineStr">
        <is>
          <t>DALARNAS LÄN</t>
        </is>
      </c>
      <c r="E1407" t="inlineStr">
        <is>
          <t>FALUN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31084-2023</t>
        </is>
      </c>
      <c r="B1408" s="1" t="n">
        <v>45113</v>
      </c>
      <c r="C1408" s="1" t="n">
        <v>46106</v>
      </c>
      <c r="D1408" t="inlineStr">
        <is>
          <t>DALARNAS LÄN</t>
        </is>
      </c>
      <c r="E1408" t="inlineStr">
        <is>
          <t>FALUN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10040-2026</t>
        </is>
      </c>
      <c r="B1409" s="1" t="n">
        <v>46073</v>
      </c>
      <c r="C1409" s="1" t="n">
        <v>46106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15.5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11347-2026</t>
        </is>
      </c>
      <c r="B1410" s="1" t="n">
        <v>46082</v>
      </c>
      <c r="C1410" s="1" t="n">
        <v>46106</v>
      </c>
      <c r="D1410" t="inlineStr">
        <is>
          <t>DALARNAS LÄN</t>
        </is>
      </c>
      <c r="E1410" t="inlineStr">
        <is>
          <t>FALUN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10325-2026</t>
        </is>
      </c>
      <c r="B1411" s="1" t="n">
        <v>46076</v>
      </c>
      <c r="C1411" s="1" t="n">
        <v>46106</v>
      </c>
      <c r="D1411" t="inlineStr">
        <is>
          <t>DALARNAS LÄN</t>
        </is>
      </c>
      <c r="E1411" t="inlineStr">
        <is>
          <t>FALUN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10330-2026</t>
        </is>
      </c>
      <c r="B1412" s="1" t="n">
        <v>46076</v>
      </c>
      <c r="C1412" s="1" t="n">
        <v>46106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2019-2026</t>
        </is>
      </c>
      <c r="B1413" s="1" t="n">
        <v>46035</v>
      </c>
      <c r="C1413" s="1" t="n">
        <v>46106</v>
      </c>
      <c r="D1413" t="inlineStr">
        <is>
          <t>DALARNAS LÄN</t>
        </is>
      </c>
      <c r="E1413" t="inlineStr">
        <is>
          <t>FALUN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10333-2026</t>
        </is>
      </c>
      <c r="B1414" s="1" t="n">
        <v>46076</v>
      </c>
      <c r="C1414" s="1" t="n">
        <v>46106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1329-2026</t>
        </is>
      </c>
      <c r="B1415" s="1" t="n">
        <v>46029</v>
      </c>
      <c r="C1415" s="1" t="n">
        <v>46106</v>
      </c>
      <c r="D1415" t="inlineStr">
        <is>
          <t>DALARNAS LÄN</t>
        </is>
      </c>
      <c r="E1415" t="inlineStr">
        <is>
          <t>FALUN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10219-2026</t>
        </is>
      </c>
      <c r="B1416" s="1" t="n">
        <v>46076</v>
      </c>
      <c r="C1416" s="1" t="n">
        <v>46106</v>
      </c>
      <c r="D1416" t="inlineStr">
        <is>
          <t>DALARNAS LÄN</t>
        </is>
      </c>
      <c r="E1416" t="inlineStr">
        <is>
          <t>FALUN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10869-2026</t>
        </is>
      </c>
      <c r="B1417" s="1" t="n">
        <v>46078</v>
      </c>
      <c r="C1417" s="1" t="n">
        <v>46106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69306-2021</t>
        </is>
      </c>
      <c r="B1418" s="1" t="n">
        <v>44531.46664351852</v>
      </c>
      <c r="C1418" s="1" t="n">
        <v>46106</v>
      </c>
      <c r="D1418" t="inlineStr">
        <is>
          <t>DALARNAS LÄN</t>
        </is>
      </c>
      <c r="E1418" t="inlineStr">
        <is>
          <t>FALUN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11697-2026</t>
        </is>
      </c>
      <c r="B1419" s="1" t="n">
        <v>46084</v>
      </c>
      <c r="C1419" s="1" t="n">
        <v>46106</v>
      </c>
      <c r="D1419" t="inlineStr">
        <is>
          <t>DALARNAS LÄN</t>
        </is>
      </c>
      <c r="E1419" t="inlineStr">
        <is>
          <t>FALUN</t>
        </is>
      </c>
      <c r="F1419" t="inlineStr">
        <is>
          <t>Kyrkan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62334-2025</t>
        </is>
      </c>
      <c r="B1420" s="1" t="n">
        <v>46005</v>
      </c>
      <c r="C1420" s="1" t="n">
        <v>46106</v>
      </c>
      <c r="D1420" t="inlineStr">
        <is>
          <t>DALARNAS LÄN</t>
        </is>
      </c>
      <c r="E1420" t="inlineStr">
        <is>
          <t>FALUN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5264-2026</t>
        </is>
      </c>
      <c r="B1421" s="1" t="n">
        <v>46050</v>
      </c>
      <c r="C1421" s="1" t="n">
        <v>46106</v>
      </c>
      <c r="D1421" t="inlineStr">
        <is>
          <t>DALARNAS LÄN</t>
        </is>
      </c>
      <c r="E1421" t="inlineStr">
        <is>
          <t>FALUN</t>
        </is>
      </c>
      <c r="F1421" t="inlineStr">
        <is>
          <t>Kyrkan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10132-2026</t>
        </is>
      </c>
      <c r="B1422" s="1" t="n">
        <v>46076</v>
      </c>
      <c r="C1422" s="1" t="n">
        <v>46106</v>
      </c>
      <c r="D1422" t="inlineStr">
        <is>
          <t>DALARNAS LÄN</t>
        </is>
      </c>
      <c r="E1422" t="inlineStr">
        <is>
          <t>FALUN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10729-2026</t>
        </is>
      </c>
      <c r="B1423" s="1" t="n">
        <v>46078</v>
      </c>
      <c r="C1423" s="1" t="n">
        <v>46106</v>
      </c>
      <c r="D1423" t="inlineStr">
        <is>
          <t>DALARNAS LÄN</t>
        </is>
      </c>
      <c r="E1423" t="inlineStr">
        <is>
          <t>FALUN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7813-2025</t>
        </is>
      </c>
      <c r="B1424" s="1" t="n">
        <v>45706</v>
      </c>
      <c r="C1424" s="1" t="n">
        <v>46106</v>
      </c>
      <c r="D1424" t="inlineStr">
        <is>
          <t>DALARNAS LÄN</t>
        </is>
      </c>
      <c r="E1424" t="inlineStr">
        <is>
          <t>FALUN</t>
        </is>
      </c>
      <c r="F1424" t="inlineStr">
        <is>
          <t>Övriga statliga verk och myndigheter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9992-2026</t>
        </is>
      </c>
      <c r="B1425" s="1" t="n">
        <v>46073</v>
      </c>
      <c r="C1425" s="1" t="n">
        <v>46106</v>
      </c>
      <c r="D1425" t="inlineStr">
        <is>
          <t>DALARNAS LÄN</t>
        </is>
      </c>
      <c r="E1425" t="inlineStr">
        <is>
          <t>FALUN</t>
        </is>
      </c>
      <c r="F1425" t="inlineStr">
        <is>
          <t>Kyrkan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4020-2026</t>
        </is>
      </c>
      <c r="B1426" s="1" t="n">
        <v>46044</v>
      </c>
      <c r="C1426" s="1" t="n">
        <v>46106</v>
      </c>
      <c r="D1426" t="inlineStr">
        <is>
          <t>DALARNAS LÄN</t>
        </is>
      </c>
      <c r="E1426" t="inlineStr">
        <is>
          <t>FALUN</t>
        </is>
      </c>
      <c r="F1426" t="inlineStr">
        <is>
          <t>Kyrkan</t>
        </is>
      </c>
      <c r="G1426" t="n">
        <v>21.5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3552-2026</t>
        </is>
      </c>
      <c r="B1427" s="1" t="n">
        <v>46042</v>
      </c>
      <c r="C1427" s="1" t="n">
        <v>46106</v>
      </c>
      <c r="D1427" t="inlineStr">
        <is>
          <t>DALARNAS LÄN</t>
        </is>
      </c>
      <c r="E1427" t="inlineStr">
        <is>
          <t>FALUN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10940-2026</t>
        </is>
      </c>
      <c r="B1428" s="1" t="n">
        <v>46079</v>
      </c>
      <c r="C1428" s="1" t="n">
        <v>46106</v>
      </c>
      <c r="D1428" t="inlineStr">
        <is>
          <t>DALARNAS LÄN</t>
        </is>
      </c>
      <c r="E1428" t="inlineStr">
        <is>
          <t>FALUN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4883-2026</t>
        </is>
      </c>
      <c r="B1429" s="1" t="n">
        <v>46048.65886574074</v>
      </c>
      <c r="C1429" s="1" t="n">
        <v>46106</v>
      </c>
      <c r="D1429" t="inlineStr">
        <is>
          <t>DALARNAS LÄN</t>
        </is>
      </c>
      <c r="E1429" t="inlineStr">
        <is>
          <t>FALUN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4894-2026</t>
        </is>
      </c>
      <c r="B1430" s="1" t="n">
        <v>46048.67612268519</v>
      </c>
      <c r="C1430" s="1" t="n">
        <v>46106</v>
      </c>
      <c r="D1430" t="inlineStr">
        <is>
          <t>DALARNAS LÄN</t>
        </is>
      </c>
      <c r="E1430" t="inlineStr">
        <is>
          <t>FALUN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4980-2026</t>
        </is>
      </c>
      <c r="B1431" s="1" t="n">
        <v>46049</v>
      </c>
      <c r="C1431" s="1" t="n">
        <v>46106</v>
      </c>
      <c r="D1431" t="inlineStr">
        <is>
          <t>DALARNAS LÄN</t>
        </is>
      </c>
      <c r="E1431" t="inlineStr">
        <is>
          <t>FALUN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4985-2026</t>
        </is>
      </c>
      <c r="B1432" s="1" t="n">
        <v>46049.3872337963</v>
      </c>
      <c r="C1432" s="1" t="n">
        <v>46106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10952-2026</t>
        </is>
      </c>
      <c r="B1433" s="1" t="n">
        <v>46079</v>
      </c>
      <c r="C1433" s="1" t="n">
        <v>46106</v>
      </c>
      <c r="D1433" t="inlineStr">
        <is>
          <t>DALARNAS LÄN</t>
        </is>
      </c>
      <c r="E1433" t="inlineStr">
        <is>
          <t>FALUN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5141-2026</t>
        </is>
      </c>
      <c r="B1434" s="1" t="n">
        <v>46049.60092592592</v>
      </c>
      <c r="C1434" s="1" t="n">
        <v>46106</v>
      </c>
      <c r="D1434" t="inlineStr">
        <is>
          <t>DALARNAS LÄN</t>
        </is>
      </c>
      <c r="E1434" t="inlineStr">
        <is>
          <t>FALUN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2502-2026</t>
        </is>
      </c>
      <c r="B1435" s="1" t="n">
        <v>46037</v>
      </c>
      <c r="C1435" s="1" t="n">
        <v>46106</v>
      </c>
      <c r="D1435" t="inlineStr">
        <is>
          <t>DALARNAS LÄN</t>
        </is>
      </c>
      <c r="E1435" t="inlineStr">
        <is>
          <t>FALUN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10713-2026</t>
        </is>
      </c>
      <c r="B1436" s="1" t="n">
        <v>46078</v>
      </c>
      <c r="C1436" s="1" t="n">
        <v>46106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10867-2026</t>
        </is>
      </c>
      <c r="B1437" s="1" t="n">
        <v>46078</v>
      </c>
      <c r="C1437" s="1" t="n">
        <v>46106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12483-2026</t>
        </is>
      </c>
      <c r="B1438" s="1" t="n">
        <v>46090.56381944445</v>
      </c>
      <c r="C1438" s="1" t="n">
        <v>46106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38.7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11972-2026</t>
        </is>
      </c>
      <c r="B1439" s="1" t="n">
        <v>46085</v>
      </c>
      <c r="C1439" s="1" t="n">
        <v>46106</v>
      </c>
      <c r="D1439" t="inlineStr">
        <is>
          <t>DALARNAS LÄN</t>
        </is>
      </c>
      <c r="E1439" t="inlineStr">
        <is>
          <t>FALUN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51837-2024</t>
        </is>
      </c>
      <c r="B1440" s="1" t="n">
        <v>45607.509375</v>
      </c>
      <c r="C1440" s="1" t="n">
        <v>46106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7282-2025</t>
        </is>
      </c>
      <c r="B1441" s="1" t="n">
        <v>45702.63570601852</v>
      </c>
      <c r="C1441" s="1" t="n">
        <v>46106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5180-2026</t>
        </is>
      </c>
      <c r="B1442" s="1" t="n">
        <v>46049.65280092593</v>
      </c>
      <c r="C1442" s="1" t="n">
        <v>46106</v>
      </c>
      <c r="D1442" t="inlineStr">
        <is>
          <t>DALARNAS LÄN</t>
        </is>
      </c>
      <c r="E1442" t="inlineStr">
        <is>
          <t>FALUN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5139-2026</t>
        </is>
      </c>
      <c r="B1443" s="1" t="n">
        <v>46049.59921296296</v>
      </c>
      <c r="C1443" s="1" t="n">
        <v>46106</v>
      </c>
      <c r="D1443" t="inlineStr">
        <is>
          <t>DALARNAS LÄN</t>
        </is>
      </c>
      <c r="E1443" t="inlineStr">
        <is>
          <t>FALUN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191-2026</t>
        </is>
      </c>
      <c r="B1444" s="1" t="n">
        <v>46025</v>
      </c>
      <c r="C1444" s="1" t="n">
        <v>46106</v>
      </c>
      <c r="D1444" t="inlineStr">
        <is>
          <t>DALARNAS LÄN</t>
        </is>
      </c>
      <c r="E1444" t="inlineStr">
        <is>
          <t>FALUN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12616-2026</t>
        </is>
      </c>
      <c r="B1445" s="1" t="n">
        <v>46090</v>
      </c>
      <c r="C1445" s="1" t="n">
        <v>46106</v>
      </c>
      <c r="D1445" t="inlineStr">
        <is>
          <t>DALARNAS LÄN</t>
        </is>
      </c>
      <c r="E1445" t="inlineStr">
        <is>
          <t>FALUN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4537-2026</t>
        </is>
      </c>
      <c r="B1446" s="1" t="n">
        <v>46046</v>
      </c>
      <c r="C1446" s="1" t="n">
        <v>46106</v>
      </c>
      <c r="D1446" t="inlineStr">
        <is>
          <t>DALARNAS LÄN</t>
        </is>
      </c>
      <c r="E1446" t="inlineStr">
        <is>
          <t>FALUN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  <c r="U1446">
        <f>HYPERLINK("https://klasma.github.io/Logging_2080/knärot/A 4537-2026 karta knärot.png", "A 4537-2026")</f>
        <v/>
      </c>
      <c r="V1446">
        <f>HYPERLINK("https://klasma.github.io/Logging_2080/klagomål/A 4537-2026 FSC-klagomål.docx", "A 4537-2026")</f>
        <v/>
      </c>
      <c r="W1446">
        <f>HYPERLINK("https://klasma.github.io/Logging_2080/klagomålsmail/A 4537-2026 FSC-klagomål mail.docx", "A 4537-2026")</f>
        <v/>
      </c>
      <c r="X1446">
        <f>HYPERLINK("https://klasma.github.io/Logging_2080/tillsyn/A 4537-2026 tillsynsbegäran.docx", "A 4537-2026")</f>
        <v/>
      </c>
      <c r="Y1446">
        <f>HYPERLINK("https://klasma.github.io/Logging_2080/tillsynsmail/A 4537-2026 tillsynsbegäran mail.docx", "A 4537-2026")</f>
        <v/>
      </c>
    </row>
    <row r="1447" ht="15" customHeight="1">
      <c r="A1447" t="inlineStr">
        <is>
          <t>A 4564-2026</t>
        </is>
      </c>
      <c r="B1447" s="1" t="n">
        <v>46047.78059027778</v>
      </c>
      <c r="C1447" s="1" t="n">
        <v>46106</v>
      </c>
      <c r="D1447" t="inlineStr">
        <is>
          <t>DALARNAS LÄN</t>
        </is>
      </c>
      <c r="E1447" t="inlineStr">
        <is>
          <t>FALUN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4614-2026</t>
        </is>
      </c>
      <c r="B1448" s="1" t="n">
        <v>46048.37003472223</v>
      </c>
      <c r="C1448" s="1" t="n">
        <v>46106</v>
      </c>
      <c r="D1448" t="inlineStr">
        <is>
          <t>DALARNAS LÄN</t>
        </is>
      </c>
      <c r="E1448" t="inlineStr">
        <is>
          <t>FALUN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4636-2026</t>
        </is>
      </c>
      <c r="B1449" s="1" t="n">
        <v>46048</v>
      </c>
      <c r="C1449" s="1" t="n">
        <v>46106</v>
      </c>
      <c r="D1449" t="inlineStr">
        <is>
          <t>DALARNAS LÄN</t>
        </is>
      </c>
      <c r="E1449" t="inlineStr">
        <is>
          <t>FALUN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3284-2026</t>
        </is>
      </c>
      <c r="B1450" s="1" t="n">
        <v>46041</v>
      </c>
      <c r="C1450" s="1" t="n">
        <v>46106</v>
      </c>
      <c r="D1450" t="inlineStr">
        <is>
          <t>DALARNAS LÄN</t>
        </is>
      </c>
      <c r="E1450" t="inlineStr">
        <is>
          <t>FALUN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4723-2026</t>
        </is>
      </c>
      <c r="B1451" s="1" t="n">
        <v>46048.47078703704</v>
      </c>
      <c r="C1451" s="1" t="n">
        <v>46106</v>
      </c>
      <c r="D1451" t="inlineStr">
        <is>
          <t>DALARNAS LÄN</t>
        </is>
      </c>
      <c r="E1451" t="inlineStr">
        <is>
          <t>FALUN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4732-2026</t>
        </is>
      </c>
      <c r="B1452" s="1" t="n">
        <v>46048.4807175926</v>
      </c>
      <c r="C1452" s="1" t="n">
        <v>46106</v>
      </c>
      <c r="D1452" t="inlineStr">
        <is>
          <t>DALARNAS LÄN</t>
        </is>
      </c>
      <c r="E1452" t="inlineStr">
        <is>
          <t>FALUN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4738-2026</t>
        </is>
      </c>
      <c r="B1453" s="1" t="n">
        <v>46048.49013888889</v>
      </c>
      <c r="C1453" s="1" t="n">
        <v>46106</v>
      </c>
      <c r="D1453" t="inlineStr">
        <is>
          <t>DALARNAS LÄN</t>
        </is>
      </c>
      <c r="E1453" t="inlineStr">
        <is>
          <t>FALUN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4812-2026</t>
        </is>
      </c>
      <c r="B1454" s="1" t="n">
        <v>46048</v>
      </c>
      <c r="C1454" s="1" t="n">
        <v>46106</v>
      </c>
      <c r="D1454" t="inlineStr">
        <is>
          <t>DALARNAS LÄN</t>
        </is>
      </c>
      <c r="E1454" t="inlineStr">
        <is>
          <t>FALUN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4825-2026</t>
        </is>
      </c>
      <c r="B1455" s="1" t="n">
        <v>46048.59648148148</v>
      </c>
      <c r="C1455" s="1" t="n">
        <v>46106</v>
      </c>
      <c r="D1455" t="inlineStr">
        <is>
          <t>DALARNAS LÄN</t>
        </is>
      </c>
      <c r="E1455" t="inlineStr">
        <is>
          <t>FALUN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10822-2026</t>
        </is>
      </c>
      <c r="B1456" s="1" t="n">
        <v>46078</v>
      </c>
      <c r="C1456" s="1" t="n">
        <v>46106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10866-2026</t>
        </is>
      </c>
      <c r="B1457" s="1" t="n">
        <v>46078</v>
      </c>
      <c r="C1457" s="1" t="n">
        <v>46106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10864-2026</t>
        </is>
      </c>
      <c r="B1458" s="1" t="n">
        <v>46078</v>
      </c>
      <c r="C1458" s="1" t="n">
        <v>46106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4766-2026</t>
        </is>
      </c>
      <c r="B1459" s="1" t="n">
        <v>46048</v>
      </c>
      <c r="C1459" s="1" t="n">
        <v>46106</v>
      </c>
      <c r="D1459" t="inlineStr">
        <is>
          <t>DALARNAS LÄN</t>
        </is>
      </c>
      <c r="E1459" t="inlineStr">
        <is>
          <t>FALUN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4971-2026</t>
        </is>
      </c>
      <c r="B1460" s="1" t="n">
        <v>46049.34407407408</v>
      </c>
      <c r="C1460" s="1" t="n">
        <v>46106</v>
      </c>
      <c r="D1460" t="inlineStr">
        <is>
          <t>DALARNAS LÄN</t>
        </is>
      </c>
      <c r="E1460" t="inlineStr">
        <is>
          <t>FALUN</t>
        </is>
      </c>
      <c r="G1460" t="n">
        <v>7.7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4995-2026</t>
        </is>
      </c>
      <c r="B1461" s="1" t="n">
        <v>46049.41674768519</v>
      </c>
      <c r="C1461" s="1" t="n">
        <v>46106</v>
      </c>
      <c r="D1461" t="inlineStr">
        <is>
          <t>DALARNAS LÄN</t>
        </is>
      </c>
      <c r="E1461" t="inlineStr">
        <is>
          <t>FALUN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5001-2026</t>
        </is>
      </c>
      <c r="B1462" s="1" t="n">
        <v>46049.424375</v>
      </c>
      <c r="C1462" s="1" t="n">
        <v>46106</v>
      </c>
      <c r="D1462" t="inlineStr">
        <is>
          <t>DALARNAS LÄN</t>
        </is>
      </c>
      <c r="E1462" t="inlineStr">
        <is>
          <t>FALUN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5012-2026</t>
        </is>
      </c>
      <c r="B1463" s="1" t="n">
        <v>46049.43098379629</v>
      </c>
      <c r="C1463" s="1" t="n">
        <v>46106</v>
      </c>
      <c r="D1463" t="inlineStr">
        <is>
          <t>DALARNAS LÄN</t>
        </is>
      </c>
      <c r="E1463" t="inlineStr">
        <is>
          <t>FALUN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5017-2026</t>
        </is>
      </c>
      <c r="B1464" s="1" t="n">
        <v>46049.43462962963</v>
      </c>
      <c r="C1464" s="1" t="n">
        <v>46106</v>
      </c>
      <c r="D1464" t="inlineStr">
        <is>
          <t>DALARNAS LÄN</t>
        </is>
      </c>
      <c r="E1464" t="inlineStr">
        <is>
          <t>FALUN</t>
        </is>
      </c>
      <c r="G1464" t="n">
        <v>6.8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5071-2026</t>
        </is>
      </c>
      <c r="B1465" s="1" t="n">
        <v>46049</v>
      </c>
      <c r="C1465" s="1" t="n">
        <v>46106</v>
      </c>
      <c r="D1465" t="inlineStr">
        <is>
          <t>DALARNAS LÄN</t>
        </is>
      </c>
      <c r="E1465" t="inlineStr">
        <is>
          <t>FALUN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4558-2026</t>
        </is>
      </c>
      <c r="B1466" s="1" t="n">
        <v>46047</v>
      </c>
      <c r="C1466" s="1" t="n">
        <v>46106</v>
      </c>
      <c r="D1466" t="inlineStr">
        <is>
          <t>DALARNAS LÄN</t>
        </is>
      </c>
      <c r="E1466" t="inlineStr">
        <is>
          <t>FALUN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5225-2026</t>
        </is>
      </c>
      <c r="B1467" s="1" t="n">
        <v>46049</v>
      </c>
      <c r="C1467" s="1" t="n">
        <v>46106</v>
      </c>
      <c r="D1467" t="inlineStr">
        <is>
          <t>DALARNAS LÄN</t>
        </is>
      </c>
      <c r="E1467" t="inlineStr">
        <is>
          <t>FALUN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5242-2026</t>
        </is>
      </c>
      <c r="B1468" s="1" t="n">
        <v>46049</v>
      </c>
      <c r="C1468" s="1" t="n">
        <v>46106</v>
      </c>
      <c r="D1468" t="inlineStr">
        <is>
          <t>DALARNAS LÄN</t>
        </is>
      </c>
      <c r="E1468" t="inlineStr">
        <is>
          <t>FALUN</t>
        </is>
      </c>
      <c r="G1468" t="n">
        <v>8.300000000000001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10868-2026</t>
        </is>
      </c>
      <c r="B1469" s="1" t="n">
        <v>46078</v>
      </c>
      <c r="C1469" s="1" t="n">
        <v>46106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61377-2021</t>
        </is>
      </c>
      <c r="B1470" s="1" t="n">
        <v>44500.39388888889</v>
      </c>
      <c r="C1470" s="1" t="n">
        <v>46106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48296-2024</t>
        </is>
      </c>
      <c r="B1471" s="1" t="n">
        <v>45590.4653125</v>
      </c>
      <c r="C1471" s="1" t="n">
        <v>46106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12512-2026</t>
        </is>
      </c>
      <c r="B1472" s="1" t="n">
        <v>46090.58297453704</v>
      </c>
      <c r="C1472" s="1" t="n">
        <v>46106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10963-2026</t>
        </is>
      </c>
      <c r="B1473" s="1" t="n">
        <v>46079</v>
      </c>
      <c r="C1473" s="1" t="n">
        <v>46106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19903-2022</t>
        </is>
      </c>
      <c r="B1474" s="1" t="n">
        <v>44697</v>
      </c>
      <c r="C1474" s="1" t="n">
        <v>46106</v>
      </c>
      <c r="D1474" t="inlineStr">
        <is>
          <t>DALARNAS LÄN</t>
        </is>
      </c>
      <c r="E1474" t="inlineStr">
        <is>
          <t>FALUN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12431-2026</t>
        </is>
      </c>
      <c r="B1475" s="1" t="n">
        <v>46090.46219907407</v>
      </c>
      <c r="C1475" s="1" t="n">
        <v>46106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2487-2026</t>
        </is>
      </c>
      <c r="B1476" s="1" t="n">
        <v>46037</v>
      </c>
      <c r="C1476" s="1" t="n">
        <v>46106</v>
      </c>
      <c r="D1476" t="inlineStr">
        <is>
          <t>DALARNAS LÄN</t>
        </is>
      </c>
      <c r="E1476" t="inlineStr">
        <is>
          <t>FALUN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9730-2026</t>
        </is>
      </c>
      <c r="B1477" s="1" t="n">
        <v>46071</v>
      </c>
      <c r="C1477" s="1" t="n">
        <v>46106</v>
      </c>
      <c r="D1477" t="inlineStr">
        <is>
          <t>DALARNAS LÄN</t>
        </is>
      </c>
      <c r="E1477" t="inlineStr">
        <is>
          <t>FALUN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5019-2026</t>
        </is>
      </c>
      <c r="B1478" s="1" t="n">
        <v>46049.43729166667</v>
      </c>
      <c r="C1478" s="1" t="n">
        <v>46106</v>
      </c>
      <c r="D1478" t="inlineStr">
        <is>
          <t>DALARNAS LÄN</t>
        </is>
      </c>
      <c r="E1478" t="inlineStr">
        <is>
          <t>FALUN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4623-2026</t>
        </is>
      </c>
      <c r="B1479" s="1" t="n">
        <v>46048</v>
      </c>
      <c r="C1479" s="1" t="n">
        <v>46106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18.4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30537-2024</t>
        </is>
      </c>
      <c r="B1480" s="1" t="n">
        <v>45492.61072916666</v>
      </c>
      <c r="C1480" s="1" t="n">
        <v>46106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10650-2026</t>
        </is>
      </c>
      <c r="B1481" s="1" t="n">
        <v>46078</v>
      </c>
      <c r="C1481" s="1" t="n">
        <v>46106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5229-2026</t>
        </is>
      </c>
      <c r="B1482" s="1" t="n">
        <v>46049</v>
      </c>
      <c r="C1482" s="1" t="n">
        <v>46106</v>
      </c>
      <c r="D1482" t="inlineStr">
        <is>
          <t>DALARNAS LÄN</t>
        </is>
      </c>
      <c r="E1482" t="inlineStr">
        <is>
          <t>FALUN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5244-2026</t>
        </is>
      </c>
      <c r="B1483" s="1" t="n">
        <v>46049</v>
      </c>
      <c r="C1483" s="1" t="n">
        <v>46106</v>
      </c>
      <c r="D1483" t="inlineStr">
        <is>
          <t>DALARNAS LÄN</t>
        </is>
      </c>
      <c r="E1483" t="inlineStr">
        <is>
          <t>FALUN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10717-2026</t>
        </is>
      </c>
      <c r="B1484" s="1" t="n">
        <v>46078</v>
      </c>
      <c r="C1484" s="1" t="n">
        <v>46106</v>
      </c>
      <c r="D1484" t="inlineStr">
        <is>
          <t>DALARNAS LÄN</t>
        </is>
      </c>
      <c r="E1484" t="inlineStr">
        <is>
          <t>FALUN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4902-2026</t>
        </is>
      </c>
      <c r="B1485" s="1" t="n">
        <v>46048</v>
      </c>
      <c r="C1485" s="1" t="n">
        <v>46106</v>
      </c>
      <c r="D1485" t="inlineStr">
        <is>
          <t>DALARNAS LÄN</t>
        </is>
      </c>
      <c r="E1485" t="inlineStr">
        <is>
          <t>FALUN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4917-2026</t>
        </is>
      </c>
      <c r="B1486" s="1" t="n">
        <v>46048</v>
      </c>
      <c r="C1486" s="1" t="n">
        <v>46106</v>
      </c>
      <c r="D1486" t="inlineStr">
        <is>
          <t>DALARNAS LÄN</t>
        </is>
      </c>
      <c r="E1486" t="inlineStr">
        <is>
          <t>FALUN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4918-2026</t>
        </is>
      </c>
      <c r="B1487" s="1" t="n">
        <v>46048</v>
      </c>
      <c r="C1487" s="1" t="n">
        <v>46106</v>
      </c>
      <c r="D1487" t="inlineStr">
        <is>
          <t>DALARNAS LÄN</t>
        </is>
      </c>
      <c r="E1487" t="inlineStr">
        <is>
          <t>FALUN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4514-2026</t>
        </is>
      </c>
      <c r="B1488" s="1" t="n">
        <v>46045.83878472223</v>
      </c>
      <c r="C1488" s="1" t="n">
        <v>46106</v>
      </c>
      <c r="D1488" t="inlineStr">
        <is>
          <t>DALARNAS LÄN</t>
        </is>
      </c>
      <c r="E1488" t="inlineStr">
        <is>
          <t>FALUN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4517-2026</t>
        </is>
      </c>
      <c r="B1489" s="1" t="n">
        <v>46045.95393518519</v>
      </c>
      <c r="C1489" s="1" t="n">
        <v>46106</v>
      </c>
      <c r="D1489" t="inlineStr">
        <is>
          <t>DALARNAS LÄN</t>
        </is>
      </c>
      <c r="E1489" t="inlineStr">
        <is>
          <t>FALUN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9028-2026</t>
        </is>
      </c>
      <c r="B1490" s="1" t="n">
        <v>46068</v>
      </c>
      <c r="C1490" s="1" t="n">
        <v>46106</v>
      </c>
      <c r="D1490" t="inlineStr">
        <is>
          <t>DALARNAS LÄN</t>
        </is>
      </c>
      <c r="E1490" t="inlineStr">
        <is>
          <t>FALUN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12390-2026</t>
        </is>
      </c>
      <c r="B1491" s="1" t="n">
        <v>46090.37628472222</v>
      </c>
      <c r="C1491" s="1" t="n">
        <v>46106</v>
      </c>
      <c r="D1491" t="inlineStr">
        <is>
          <t>DALARNAS LÄN</t>
        </is>
      </c>
      <c r="E1491" t="inlineStr">
        <is>
          <t>FALUN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4536-2026</t>
        </is>
      </c>
      <c r="B1492" s="1" t="n">
        <v>46046</v>
      </c>
      <c r="C1492" s="1" t="n">
        <v>46106</v>
      </c>
      <c r="D1492" t="inlineStr">
        <is>
          <t>DALARNAS LÄN</t>
        </is>
      </c>
      <c r="E1492" t="inlineStr">
        <is>
          <t>FALUN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5243-2026</t>
        </is>
      </c>
      <c r="B1493" s="1" t="n">
        <v>46049</v>
      </c>
      <c r="C1493" s="1" t="n">
        <v>46106</v>
      </c>
      <c r="D1493" t="inlineStr">
        <is>
          <t>DALARNAS LÄN</t>
        </is>
      </c>
      <c r="E1493" t="inlineStr">
        <is>
          <t>FALUN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4904-2026</t>
        </is>
      </c>
      <c r="B1494" s="1" t="n">
        <v>46048</v>
      </c>
      <c r="C1494" s="1" t="n">
        <v>46106</v>
      </c>
      <c r="D1494" t="inlineStr">
        <is>
          <t>DALARNAS LÄN</t>
        </is>
      </c>
      <c r="E1494" t="inlineStr">
        <is>
          <t>FALUN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4919-2026</t>
        </is>
      </c>
      <c r="B1495" s="1" t="n">
        <v>46048</v>
      </c>
      <c r="C1495" s="1" t="n">
        <v>46106</v>
      </c>
      <c r="D1495" t="inlineStr">
        <is>
          <t>DALARNAS LÄN</t>
        </is>
      </c>
      <c r="E1495" t="inlineStr">
        <is>
          <t>FALUN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4739-2026</t>
        </is>
      </c>
      <c r="B1496" s="1" t="n">
        <v>46048.49618055556</v>
      </c>
      <c r="C1496" s="1" t="n">
        <v>46106</v>
      </c>
      <c r="D1496" t="inlineStr">
        <is>
          <t>DALARNAS LÄN</t>
        </is>
      </c>
      <c r="E1496" t="inlineStr">
        <is>
          <t>FALUN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4792-2026</t>
        </is>
      </c>
      <c r="B1497" s="1" t="n">
        <v>46048.56504629629</v>
      </c>
      <c r="C1497" s="1" t="n">
        <v>46106</v>
      </c>
      <c r="D1497" t="inlineStr">
        <is>
          <t>DALARNAS LÄN</t>
        </is>
      </c>
      <c r="E1497" t="inlineStr">
        <is>
          <t>FALUN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4840-2026</t>
        </is>
      </c>
      <c r="B1498" s="1" t="n">
        <v>46048.61525462963</v>
      </c>
      <c r="C1498" s="1" t="n">
        <v>46106</v>
      </c>
      <c r="D1498" t="inlineStr">
        <is>
          <t>DALARNAS LÄN</t>
        </is>
      </c>
      <c r="E1498" t="inlineStr">
        <is>
          <t>FALUN</t>
        </is>
      </c>
      <c r="G1498" t="n">
        <v>4.8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14883-2024</t>
        </is>
      </c>
      <c r="B1499" s="1" t="n">
        <v>45398.54752314815</v>
      </c>
      <c r="C1499" s="1" t="n">
        <v>46106</v>
      </c>
      <c r="D1499" t="inlineStr">
        <is>
          <t>DALARNAS LÄN</t>
        </is>
      </c>
      <c r="E1499" t="inlineStr">
        <is>
          <t>FALUN</t>
        </is>
      </c>
      <c r="G1499" t="n">
        <v>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4856-2026</t>
        </is>
      </c>
      <c r="B1500" s="1" t="n">
        <v>46048.63493055556</v>
      </c>
      <c r="C1500" s="1" t="n">
        <v>46106</v>
      </c>
      <c r="D1500" t="inlineStr">
        <is>
          <t>DALARNAS LÄN</t>
        </is>
      </c>
      <c r="E1500" t="inlineStr">
        <is>
          <t>FALUN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4784-2026</t>
        </is>
      </c>
      <c r="B1501" s="1" t="n">
        <v>46048</v>
      </c>
      <c r="C1501" s="1" t="n">
        <v>46106</v>
      </c>
      <c r="D1501" t="inlineStr">
        <is>
          <t>DALARNAS LÄN</t>
        </is>
      </c>
      <c r="E1501" t="inlineStr">
        <is>
          <t>FALUN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4899-2026</t>
        </is>
      </c>
      <c r="B1502" s="1" t="n">
        <v>46048.68466435185</v>
      </c>
      <c r="C1502" s="1" t="n">
        <v>46106</v>
      </c>
      <c r="D1502" t="inlineStr">
        <is>
          <t>DALARNAS LÄN</t>
        </is>
      </c>
      <c r="E1502" t="inlineStr">
        <is>
          <t>FALUN</t>
        </is>
      </c>
      <c r="G1502" t="n">
        <v>10.6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10531-2026</t>
        </is>
      </c>
      <c r="B1503" s="1" t="n">
        <v>46077</v>
      </c>
      <c r="C1503" s="1" t="n">
        <v>46106</v>
      </c>
      <c r="D1503" t="inlineStr">
        <is>
          <t>DALARNAS LÄN</t>
        </is>
      </c>
      <c r="E1503" t="inlineStr">
        <is>
          <t>FALUN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12598-2026</t>
        </is>
      </c>
      <c r="B1504" s="1" t="n">
        <v>46091</v>
      </c>
      <c r="C1504" s="1" t="n">
        <v>46106</v>
      </c>
      <c r="D1504" t="inlineStr">
        <is>
          <t>DALARNAS LÄN</t>
        </is>
      </c>
      <c r="E1504" t="inlineStr">
        <is>
          <t>FALUN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12397-2026</t>
        </is>
      </c>
      <c r="B1505" s="1" t="n">
        <v>46087</v>
      </c>
      <c r="C1505" s="1" t="n">
        <v>46106</v>
      </c>
      <c r="D1505" t="inlineStr">
        <is>
          <t>DALARNAS LÄN</t>
        </is>
      </c>
      <c r="E1505" t="inlineStr">
        <is>
          <t>FALUN</t>
        </is>
      </c>
      <c r="F1505" t="inlineStr">
        <is>
          <t>Allmännings- och besparingsskogar</t>
        </is>
      </c>
      <c r="G1505" t="n">
        <v>44.4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19299-2024</t>
        </is>
      </c>
      <c r="B1506" s="1" t="n">
        <v>45428</v>
      </c>
      <c r="C1506" s="1" t="n">
        <v>46106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22925-2023</t>
        </is>
      </c>
      <c r="B1507" s="1" t="n">
        <v>45072.59862268518</v>
      </c>
      <c r="C1507" s="1" t="n">
        <v>46106</v>
      </c>
      <c r="D1507" t="inlineStr">
        <is>
          <t>DALARNAS LÄN</t>
        </is>
      </c>
      <c r="E1507" t="inlineStr">
        <is>
          <t>FALUN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5300-2026</t>
        </is>
      </c>
      <c r="B1508" s="1" t="n">
        <v>46050</v>
      </c>
      <c r="C1508" s="1" t="n">
        <v>46106</v>
      </c>
      <c r="D1508" t="inlineStr">
        <is>
          <t>DALARNAS LÄN</t>
        </is>
      </c>
      <c r="E1508" t="inlineStr">
        <is>
          <t>FALUN</t>
        </is>
      </c>
      <c r="F1508" t="inlineStr">
        <is>
          <t>Bergvik skog väst AB</t>
        </is>
      </c>
      <c r="G1508" t="n">
        <v>19.4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5599-2026</t>
        </is>
      </c>
      <c r="B1509" s="1" t="n">
        <v>46051</v>
      </c>
      <c r="C1509" s="1" t="n">
        <v>46106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5305-2026</t>
        </is>
      </c>
      <c r="B1510" s="1" t="n">
        <v>46050</v>
      </c>
      <c r="C1510" s="1" t="n">
        <v>46106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14.1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11233-2022</t>
        </is>
      </c>
      <c r="B1511" s="1" t="n">
        <v>44629.5853125</v>
      </c>
      <c r="C1511" s="1" t="n">
        <v>46106</v>
      </c>
      <c r="D1511" t="inlineStr">
        <is>
          <t>DALARNAS LÄN</t>
        </is>
      </c>
      <c r="E1511" t="inlineStr">
        <is>
          <t>FALUN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5607-2026</t>
        </is>
      </c>
      <c r="B1512" s="1" t="n">
        <v>46051</v>
      </c>
      <c r="C1512" s="1" t="n">
        <v>46106</v>
      </c>
      <c r="D1512" t="inlineStr">
        <is>
          <t>DALARNAS LÄN</t>
        </is>
      </c>
      <c r="E1512" t="inlineStr">
        <is>
          <t>FALUN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5622-2026</t>
        </is>
      </c>
      <c r="B1513" s="1" t="n">
        <v>46051.38525462963</v>
      </c>
      <c r="C1513" s="1" t="n">
        <v>46106</v>
      </c>
      <c r="D1513" t="inlineStr">
        <is>
          <t>DALARNAS LÄN</t>
        </is>
      </c>
      <c r="E1513" t="inlineStr">
        <is>
          <t>FALUN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11233-2026</t>
        </is>
      </c>
      <c r="B1514" s="1" t="n">
        <v>46080</v>
      </c>
      <c r="C1514" s="1" t="n">
        <v>46106</v>
      </c>
      <c r="D1514" t="inlineStr">
        <is>
          <t>DALARNAS LÄN</t>
        </is>
      </c>
      <c r="E1514" t="inlineStr">
        <is>
          <t>FALUN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5362-2026</t>
        </is>
      </c>
      <c r="B1515" s="1" t="n">
        <v>46050.45054398148</v>
      </c>
      <c r="C1515" s="1" t="n">
        <v>46106</v>
      </c>
      <c r="D1515" t="inlineStr">
        <is>
          <t>DALARNAS LÄN</t>
        </is>
      </c>
      <c r="E1515" t="inlineStr">
        <is>
          <t>FALUN</t>
        </is>
      </c>
      <c r="F1515" t="inlineStr">
        <is>
          <t>Övriga statliga verk och myndigheter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11265-2026</t>
        </is>
      </c>
      <c r="B1516" s="1" t="n">
        <v>46080</v>
      </c>
      <c r="C1516" s="1" t="n">
        <v>46106</v>
      </c>
      <c r="D1516" t="inlineStr">
        <is>
          <t>DALARNAS LÄN</t>
        </is>
      </c>
      <c r="E1516" t="inlineStr">
        <is>
          <t>FALUN</t>
        </is>
      </c>
      <c r="G1516" t="n">
        <v>10.4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5409-2026</t>
        </is>
      </c>
      <c r="B1517" s="1" t="n">
        <v>46050</v>
      </c>
      <c r="C1517" s="1" t="n">
        <v>46106</v>
      </c>
      <c r="D1517" t="inlineStr">
        <is>
          <t>DALARNAS LÄN</t>
        </is>
      </c>
      <c r="E1517" t="inlineStr">
        <is>
          <t>FALUN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5481-2026</t>
        </is>
      </c>
      <c r="B1518" s="1" t="n">
        <v>46050.60578703704</v>
      </c>
      <c r="C1518" s="1" t="n">
        <v>46106</v>
      </c>
      <c r="D1518" t="inlineStr">
        <is>
          <t>DALARNAS LÄN</t>
        </is>
      </c>
      <c r="E1518" t="inlineStr">
        <is>
          <t>FALUN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5496-2026</t>
        </is>
      </c>
      <c r="B1519" s="1" t="n">
        <v>46050.61864583333</v>
      </c>
      <c r="C1519" s="1" t="n">
        <v>46106</v>
      </c>
      <c r="D1519" t="inlineStr">
        <is>
          <t>DALARNAS LÄN</t>
        </is>
      </c>
      <c r="E1519" t="inlineStr">
        <is>
          <t>FALUN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13078-2026</t>
        </is>
      </c>
      <c r="B1520" s="1" t="n">
        <v>46093.38412037037</v>
      </c>
      <c r="C1520" s="1" t="n">
        <v>46106</v>
      </c>
      <c r="D1520" t="inlineStr">
        <is>
          <t>DALARNAS LÄN</t>
        </is>
      </c>
      <c r="E1520" t="inlineStr">
        <is>
          <t>FALUN</t>
        </is>
      </c>
      <c r="G1520" t="n">
        <v>7.2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12424-2026</t>
        </is>
      </c>
      <c r="B1521" s="1" t="n">
        <v>46090</v>
      </c>
      <c r="C1521" s="1" t="n">
        <v>46106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13048-2026</t>
        </is>
      </c>
      <c r="B1522" s="1" t="n">
        <v>46093.32366898148</v>
      </c>
      <c r="C1522" s="1" t="n">
        <v>46106</v>
      </c>
      <c r="D1522" t="inlineStr">
        <is>
          <t>DALARNAS LÄN</t>
        </is>
      </c>
      <c r="E1522" t="inlineStr">
        <is>
          <t>FALUN</t>
        </is>
      </c>
      <c r="G1522" t="n">
        <v>5.5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11219-2026</t>
        </is>
      </c>
      <c r="B1523" s="1" t="n">
        <v>46080</v>
      </c>
      <c r="C1523" s="1" t="n">
        <v>46106</v>
      </c>
      <c r="D1523" t="inlineStr">
        <is>
          <t>DALARNAS LÄN</t>
        </is>
      </c>
      <c r="E1523" t="inlineStr">
        <is>
          <t>FALUN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5767-2026</t>
        </is>
      </c>
      <c r="B1524" s="1" t="n">
        <v>46051</v>
      </c>
      <c r="C1524" s="1" t="n">
        <v>46106</v>
      </c>
      <c r="D1524" t="inlineStr">
        <is>
          <t>DALARNAS LÄN</t>
        </is>
      </c>
      <c r="E1524" t="inlineStr">
        <is>
          <t>FALUN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5768-2026</t>
        </is>
      </c>
      <c r="B1525" s="1" t="n">
        <v>46051</v>
      </c>
      <c r="C1525" s="1" t="n">
        <v>46106</v>
      </c>
      <c r="D1525" t="inlineStr">
        <is>
          <t>DALARNAS LÄN</t>
        </is>
      </c>
      <c r="E1525" t="inlineStr">
        <is>
          <t>FALUN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5770-2026</t>
        </is>
      </c>
      <c r="B1526" s="1" t="n">
        <v>46051.64297453704</v>
      </c>
      <c r="C1526" s="1" t="n">
        <v>46106</v>
      </c>
      <c r="D1526" t="inlineStr">
        <is>
          <t>DALARNAS LÄN</t>
        </is>
      </c>
      <c r="E1526" t="inlineStr">
        <is>
          <t>FALUN</t>
        </is>
      </c>
      <c r="G1526" t="n">
        <v>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5811-2026</t>
        </is>
      </c>
      <c r="B1527" s="1" t="n">
        <v>46051</v>
      </c>
      <c r="C1527" s="1" t="n">
        <v>46106</v>
      </c>
      <c r="D1527" t="inlineStr">
        <is>
          <t>DALARNAS LÄN</t>
        </is>
      </c>
      <c r="E1527" t="inlineStr">
        <is>
          <t>FALUN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5762-2026</t>
        </is>
      </c>
      <c r="B1528" s="1" t="n">
        <v>46051</v>
      </c>
      <c r="C1528" s="1" t="n">
        <v>46106</v>
      </c>
      <c r="D1528" t="inlineStr">
        <is>
          <t>DALARNAS LÄN</t>
        </is>
      </c>
      <c r="E1528" t="inlineStr">
        <is>
          <t>FALUN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5297-2026</t>
        </is>
      </c>
      <c r="B1529" s="1" t="n">
        <v>46050</v>
      </c>
      <c r="C1529" s="1" t="n">
        <v>46106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10712-2026</t>
        </is>
      </c>
      <c r="B1530" s="1" t="n">
        <v>46078</v>
      </c>
      <c r="C1530" s="1" t="n">
        <v>46106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15.2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5306-2026</t>
        </is>
      </c>
      <c r="B1531" s="1" t="n">
        <v>46050.34967592593</v>
      </c>
      <c r="C1531" s="1" t="n">
        <v>46106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5546-2026</t>
        </is>
      </c>
      <c r="B1532" s="1" t="n">
        <v>46050.70265046296</v>
      </c>
      <c r="C1532" s="1" t="n">
        <v>46106</v>
      </c>
      <c r="D1532" t="inlineStr">
        <is>
          <t>DALARNAS LÄN</t>
        </is>
      </c>
      <c r="E1532" t="inlineStr">
        <is>
          <t>FALUN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12231-2026</t>
        </is>
      </c>
      <c r="B1533" s="1" t="n">
        <v>46087</v>
      </c>
      <c r="C1533" s="1" t="n">
        <v>46106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24640-2024</t>
        </is>
      </c>
      <c r="B1534" s="1" t="n">
        <v>45460.55043981481</v>
      </c>
      <c r="C1534" s="1" t="n">
        <v>46106</v>
      </c>
      <c r="D1534" t="inlineStr">
        <is>
          <t>DALARNAS LÄN</t>
        </is>
      </c>
      <c r="E1534" t="inlineStr">
        <is>
          <t>FALUN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5486-2026</t>
        </is>
      </c>
      <c r="B1535" s="1" t="n">
        <v>46050.60962962963</v>
      </c>
      <c r="C1535" s="1" t="n">
        <v>46106</v>
      </c>
      <c r="D1535" t="inlineStr">
        <is>
          <t>DALARNAS LÄN</t>
        </is>
      </c>
      <c r="E1535" t="inlineStr">
        <is>
          <t>FALUN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5550-2026</t>
        </is>
      </c>
      <c r="B1536" s="1" t="n">
        <v>46050</v>
      </c>
      <c r="C1536" s="1" t="n">
        <v>46106</v>
      </c>
      <c r="D1536" t="inlineStr">
        <is>
          <t>DALARNAS LÄN</t>
        </is>
      </c>
      <c r="E1536" t="inlineStr">
        <is>
          <t>FALUN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5220-2026</t>
        </is>
      </c>
      <c r="B1537" s="1" t="n">
        <v>46049.76733796296</v>
      </c>
      <c r="C1537" s="1" t="n">
        <v>46106</v>
      </c>
      <c r="D1537" t="inlineStr">
        <is>
          <t>DALARNAS LÄN</t>
        </is>
      </c>
      <c r="E1537" t="inlineStr">
        <is>
          <t>FALUN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5345-2026</t>
        </is>
      </c>
      <c r="B1538" s="1" t="n">
        <v>46050</v>
      </c>
      <c r="C1538" s="1" t="n">
        <v>46106</v>
      </c>
      <c r="D1538" t="inlineStr">
        <is>
          <t>DALARNAS LÄN</t>
        </is>
      </c>
      <c r="E1538" t="inlineStr">
        <is>
          <t>FALUN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12743-2026</t>
        </is>
      </c>
      <c r="B1539" s="1" t="n">
        <v>46091</v>
      </c>
      <c r="C1539" s="1" t="n">
        <v>46106</v>
      </c>
      <c r="D1539" t="inlineStr">
        <is>
          <t>DALARNAS LÄN</t>
        </is>
      </c>
      <c r="E1539" t="inlineStr">
        <is>
          <t>FALUN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12814-2026</t>
        </is>
      </c>
      <c r="B1540" s="1" t="n">
        <v>46092.39642361111</v>
      </c>
      <c r="C1540" s="1" t="n">
        <v>46106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20.4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13200-2026</t>
        </is>
      </c>
      <c r="B1541" s="1" t="n">
        <v>46093.60365740741</v>
      </c>
      <c r="C1541" s="1" t="n">
        <v>46106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5222-2026</t>
        </is>
      </c>
      <c r="B1542" s="1" t="n">
        <v>46049.7696412037</v>
      </c>
      <c r="C1542" s="1" t="n">
        <v>46106</v>
      </c>
      <c r="D1542" t="inlineStr">
        <is>
          <t>DALARNAS LÄN</t>
        </is>
      </c>
      <c r="E1542" t="inlineStr">
        <is>
          <t>FALUN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5621-2026</t>
        </is>
      </c>
      <c r="B1543" s="1" t="n">
        <v>46051</v>
      </c>
      <c r="C1543" s="1" t="n">
        <v>46106</v>
      </c>
      <c r="D1543" t="inlineStr">
        <is>
          <t>DALARNAS LÄN</t>
        </is>
      </c>
      <c r="E1543" t="inlineStr">
        <is>
          <t>FALUN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4923-2024</t>
        </is>
      </c>
      <c r="B1544" s="1" t="n">
        <v>45329</v>
      </c>
      <c r="C1544" s="1" t="n">
        <v>46106</v>
      </c>
      <c r="D1544" t="inlineStr">
        <is>
          <t>DALARNAS LÄN</t>
        </is>
      </c>
      <c r="E1544" t="inlineStr">
        <is>
          <t>FALUN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13047-2026</t>
        </is>
      </c>
      <c r="B1545" s="1" t="n">
        <v>46093</v>
      </c>
      <c r="C1545" s="1" t="n">
        <v>46106</v>
      </c>
      <c r="D1545" t="inlineStr">
        <is>
          <t>DALARNAS LÄN</t>
        </is>
      </c>
      <c r="E1545" t="inlineStr">
        <is>
          <t>FALUN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5510-2026</t>
        </is>
      </c>
      <c r="B1546" s="1" t="n">
        <v>46050</v>
      </c>
      <c r="C1546" s="1" t="n">
        <v>46106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5559-2026</t>
        </is>
      </c>
      <c r="B1547" s="1" t="n">
        <v>46050</v>
      </c>
      <c r="C1547" s="1" t="n">
        <v>46106</v>
      </c>
      <c r="D1547" t="inlineStr">
        <is>
          <t>DALARNAS LÄN</t>
        </is>
      </c>
      <c r="E1547" t="inlineStr">
        <is>
          <t>FALUN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11270-2026</t>
        </is>
      </c>
      <c r="B1548" s="1" t="n">
        <v>46080</v>
      </c>
      <c r="C1548" s="1" t="n">
        <v>46106</v>
      </c>
      <c r="D1548" t="inlineStr">
        <is>
          <t>DALARNAS LÄN</t>
        </is>
      </c>
      <c r="E1548" t="inlineStr">
        <is>
          <t>FALUN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12420-2026</t>
        </is>
      </c>
      <c r="B1549" s="1" t="n">
        <v>46090</v>
      </c>
      <c r="C1549" s="1" t="n">
        <v>46106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21.8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13101-2026</t>
        </is>
      </c>
      <c r="B1550" s="1" t="n">
        <v>46093.41653935185</v>
      </c>
      <c r="C1550" s="1" t="n">
        <v>46106</v>
      </c>
      <c r="D1550" t="inlineStr">
        <is>
          <t>DALARNAS LÄN</t>
        </is>
      </c>
      <c r="E1550" t="inlineStr">
        <is>
          <t>FALUN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5363-2026</t>
        </is>
      </c>
      <c r="B1551" s="1" t="n">
        <v>46050</v>
      </c>
      <c r="C1551" s="1" t="n">
        <v>46106</v>
      </c>
      <c r="D1551" t="inlineStr">
        <is>
          <t>DALARNAS LÄN</t>
        </is>
      </c>
      <c r="E1551" t="inlineStr">
        <is>
          <t>FALUN</t>
        </is>
      </c>
      <c r="F1551" t="inlineStr">
        <is>
          <t>Kommuner</t>
        </is>
      </c>
      <c r="G1551" t="n">
        <v>6.5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11540-2026</t>
        </is>
      </c>
      <c r="B1552" s="1" t="n">
        <v>46083</v>
      </c>
      <c r="C1552" s="1" t="n">
        <v>46106</v>
      </c>
      <c r="D1552" t="inlineStr">
        <is>
          <t>DALARNAS LÄN</t>
        </is>
      </c>
      <c r="E1552" t="inlineStr">
        <is>
          <t>FALUN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5279-2026</t>
        </is>
      </c>
      <c r="B1553" s="1" t="n">
        <v>46050</v>
      </c>
      <c r="C1553" s="1" t="n">
        <v>46106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11230-2026</t>
        </is>
      </c>
      <c r="B1554" s="1" t="n">
        <v>46080</v>
      </c>
      <c r="C1554" s="1" t="n">
        <v>46106</v>
      </c>
      <c r="D1554" t="inlineStr">
        <is>
          <t>DALARNAS LÄN</t>
        </is>
      </c>
      <c r="E1554" t="inlineStr">
        <is>
          <t>FALUN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5695-2026</t>
        </is>
      </c>
      <c r="B1555" s="1" t="n">
        <v>46051</v>
      </c>
      <c r="C1555" s="1" t="n">
        <v>46106</v>
      </c>
      <c r="D1555" t="inlineStr">
        <is>
          <t>DALARNAS LÄN</t>
        </is>
      </c>
      <c r="E1555" t="inlineStr">
        <is>
          <t>FALUN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5278-2026</t>
        </is>
      </c>
      <c r="B1556" s="1" t="n">
        <v>46050</v>
      </c>
      <c r="C1556" s="1" t="n">
        <v>46106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5351-2026</t>
        </is>
      </c>
      <c r="B1557" s="1" t="n">
        <v>46050.43736111111</v>
      </c>
      <c r="C1557" s="1" t="n">
        <v>46106</v>
      </c>
      <c r="D1557" t="inlineStr">
        <is>
          <t>DALARNAS LÄN</t>
        </is>
      </c>
      <c r="E1557" t="inlineStr">
        <is>
          <t>FALUN</t>
        </is>
      </c>
      <c r="F1557" t="inlineStr">
        <is>
          <t>Övriga statliga verk och myndigheter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12740-2026</t>
        </is>
      </c>
      <c r="B1558" s="1" t="n">
        <v>46091</v>
      </c>
      <c r="C1558" s="1" t="n">
        <v>46106</v>
      </c>
      <c r="D1558" t="inlineStr">
        <is>
          <t>DALARNAS LÄN</t>
        </is>
      </c>
      <c r="E1558" t="inlineStr">
        <is>
          <t>FALUN</t>
        </is>
      </c>
      <c r="G1558" t="n">
        <v>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5366-2026</t>
        </is>
      </c>
      <c r="B1559" s="1" t="n">
        <v>46050.45471064815</v>
      </c>
      <c r="C1559" s="1" t="n">
        <v>46106</v>
      </c>
      <c r="D1559" t="inlineStr">
        <is>
          <t>DALARNAS LÄN</t>
        </is>
      </c>
      <c r="E1559" t="inlineStr">
        <is>
          <t>FALUN</t>
        </is>
      </c>
      <c r="F1559" t="inlineStr">
        <is>
          <t>Övriga statliga verk och myndigheter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5734-2026</t>
        </is>
      </c>
      <c r="B1560" s="1" t="n">
        <v>46051.57579861111</v>
      </c>
      <c r="C1560" s="1" t="n">
        <v>46106</v>
      </c>
      <c r="D1560" t="inlineStr">
        <is>
          <t>DALARNAS LÄN</t>
        </is>
      </c>
      <c r="E1560" t="inlineStr">
        <is>
          <t>FALUN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5750-2026</t>
        </is>
      </c>
      <c r="B1561" s="1" t="n">
        <v>46051.60039351852</v>
      </c>
      <c r="C1561" s="1" t="n">
        <v>46106</v>
      </c>
      <c r="D1561" t="inlineStr">
        <is>
          <t>DALARNAS LÄN</t>
        </is>
      </c>
      <c r="E1561" t="inlineStr">
        <is>
          <t>FALUN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5299-2026</t>
        </is>
      </c>
      <c r="B1562" s="1" t="n">
        <v>46050</v>
      </c>
      <c r="C1562" s="1" t="n">
        <v>46106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5303-2026</t>
        </is>
      </c>
      <c r="B1563" s="1" t="n">
        <v>46050</v>
      </c>
      <c r="C1563" s="1" t="n">
        <v>46106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5.7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5477-2026</t>
        </is>
      </c>
      <c r="B1564" s="1" t="n">
        <v>46050.60140046296</v>
      </c>
      <c r="C1564" s="1" t="n">
        <v>46106</v>
      </c>
      <c r="D1564" t="inlineStr">
        <is>
          <t>DALARNAS LÄN</t>
        </is>
      </c>
      <c r="E1564" t="inlineStr">
        <is>
          <t>FALUN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5501-2026</t>
        </is>
      </c>
      <c r="B1565" s="1" t="n">
        <v>46050.62105324074</v>
      </c>
      <c r="C1565" s="1" t="n">
        <v>46106</v>
      </c>
      <c r="D1565" t="inlineStr">
        <is>
          <t>DALARNAS LÄN</t>
        </is>
      </c>
      <c r="E1565" t="inlineStr">
        <is>
          <t>FALUN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5484-2026</t>
        </is>
      </c>
      <c r="B1566" s="1" t="n">
        <v>46050.60809027778</v>
      </c>
      <c r="C1566" s="1" t="n">
        <v>46106</v>
      </c>
      <c r="D1566" t="inlineStr">
        <is>
          <t>DALARNAS LÄN</t>
        </is>
      </c>
      <c r="E1566" t="inlineStr">
        <is>
          <t>FALUN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5694-2026</t>
        </is>
      </c>
      <c r="B1567" s="1" t="n">
        <v>46051.49476851852</v>
      </c>
      <c r="C1567" s="1" t="n">
        <v>46106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12885-2026</t>
        </is>
      </c>
      <c r="B1568" s="1" t="n">
        <v>46092.54663194445</v>
      </c>
      <c r="C1568" s="1" t="n">
        <v>46106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5221-2026</t>
        </is>
      </c>
      <c r="B1569" s="1" t="n">
        <v>46049.76851851852</v>
      </c>
      <c r="C1569" s="1" t="n">
        <v>46106</v>
      </c>
      <c r="D1569" t="inlineStr">
        <is>
          <t>DALARNAS LÄN</t>
        </is>
      </c>
      <c r="E1569" t="inlineStr">
        <is>
          <t>FALUN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6411-2026</t>
        </is>
      </c>
      <c r="B1570" s="1" t="n">
        <v>46055.67510416666</v>
      </c>
      <c r="C1570" s="1" t="n">
        <v>46106</v>
      </c>
      <c r="D1570" t="inlineStr">
        <is>
          <t>DALARNAS LÄN</t>
        </is>
      </c>
      <c r="E1570" t="inlineStr">
        <is>
          <t>FALUN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14939-2024</t>
        </is>
      </c>
      <c r="B1571" s="1" t="n">
        <v>45398.68</v>
      </c>
      <c r="C1571" s="1" t="n">
        <v>46106</v>
      </c>
      <c r="D1571" t="inlineStr">
        <is>
          <t>DALARNAS LÄN</t>
        </is>
      </c>
      <c r="E1571" t="inlineStr">
        <is>
          <t>FALUN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6455-2026</t>
        </is>
      </c>
      <c r="B1572" s="1" t="n">
        <v>46055</v>
      </c>
      <c r="C1572" s="1" t="n">
        <v>46106</v>
      </c>
      <c r="D1572" t="inlineStr">
        <is>
          <t>DALARNAS LÄN</t>
        </is>
      </c>
      <c r="E1572" t="inlineStr">
        <is>
          <t>FALUN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6456-2026</t>
        </is>
      </c>
      <c r="B1573" s="1" t="n">
        <v>46055</v>
      </c>
      <c r="C1573" s="1" t="n">
        <v>46106</v>
      </c>
      <c r="D1573" t="inlineStr">
        <is>
          <t>DALARNAS LÄN</t>
        </is>
      </c>
      <c r="E1573" t="inlineStr">
        <is>
          <t>FALUN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6301-2026</t>
        </is>
      </c>
      <c r="B1574" s="1" t="n">
        <v>46055.56746527777</v>
      </c>
      <c r="C1574" s="1" t="n">
        <v>46106</v>
      </c>
      <c r="D1574" t="inlineStr">
        <is>
          <t>DALARNAS LÄN</t>
        </is>
      </c>
      <c r="E1574" t="inlineStr">
        <is>
          <t>FALUN</t>
        </is>
      </c>
      <c r="G1574" t="n">
        <v>12.4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6412-2026</t>
        </is>
      </c>
      <c r="B1575" s="1" t="n">
        <v>46055.67755787037</v>
      </c>
      <c r="C1575" s="1" t="n">
        <v>46106</v>
      </c>
      <c r="D1575" t="inlineStr">
        <is>
          <t>DALARNAS LÄN</t>
        </is>
      </c>
      <c r="E1575" t="inlineStr">
        <is>
          <t>FALUN</t>
        </is>
      </c>
      <c r="G1575" t="n">
        <v>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13102-2026</t>
        </is>
      </c>
      <c r="B1576" s="1" t="n">
        <v>46093</v>
      </c>
      <c r="C1576" s="1" t="n">
        <v>46106</v>
      </c>
      <c r="D1576" t="inlineStr">
        <is>
          <t>DALARNAS LÄN</t>
        </is>
      </c>
      <c r="E1576" t="inlineStr">
        <is>
          <t>FALUN</t>
        </is>
      </c>
      <c r="F1576" t="inlineStr">
        <is>
          <t>Allmännings- och besparingsskogar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6211-2026</t>
        </is>
      </c>
      <c r="B1577" s="1" t="n">
        <v>46055.42453703703</v>
      </c>
      <c r="C1577" s="1" t="n">
        <v>46106</v>
      </c>
      <c r="D1577" t="inlineStr">
        <is>
          <t>DALARNAS LÄN</t>
        </is>
      </c>
      <c r="E1577" t="inlineStr">
        <is>
          <t>FALUN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6231-2026</t>
        </is>
      </c>
      <c r="B1578" s="1" t="n">
        <v>46055.4462037037</v>
      </c>
      <c r="C1578" s="1" t="n">
        <v>46106</v>
      </c>
      <c r="D1578" t="inlineStr">
        <is>
          <t>DALARNAS LÄN</t>
        </is>
      </c>
      <c r="E1578" t="inlineStr">
        <is>
          <t>FALUN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13262-2026</t>
        </is>
      </c>
      <c r="B1579" s="1" t="n">
        <v>46093</v>
      </c>
      <c r="C1579" s="1" t="n">
        <v>46106</v>
      </c>
      <c r="D1579" t="inlineStr">
        <is>
          <t>DALARNAS LÄN</t>
        </is>
      </c>
      <c r="E1579" t="inlineStr">
        <is>
          <t>FALUN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11455-2026</t>
        </is>
      </c>
      <c r="B1580" s="1" t="n">
        <v>46083</v>
      </c>
      <c r="C1580" s="1" t="n">
        <v>46106</v>
      </c>
      <c r="D1580" t="inlineStr">
        <is>
          <t>DALARNAS LÄN</t>
        </is>
      </c>
      <c r="E1580" t="inlineStr">
        <is>
          <t>FALUN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6029-2026</t>
        </is>
      </c>
      <c r="B1581" s="1" t="n">
        <v>46052</v>
      </c>
      <c r="C1581" s="1" t="n">
        <v>46106</v>
      </c>
      <c r="D1581" t="inlineStr">
        <is>
          <t>DALARNAS LÄN</t>
        </is>
      </c>
      <c r="E1581" t="inlineStr">
        <is>
          <t>FALUN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5916-2026</t>
        </is>
      </c>
      <c r="B1582" s="1" t="n">
        <v>46052.45172453704</v>
      </c>
      <c r="C1582" s="1" t="n">
        <v>46106</v>
      </c>
      <c r="D1582" t="inlineStr">
        <is>
          <t>DALARNAS LÄN</t>
        </is>
      </c>
      <c r="E1582" t="inlineStr">
        <is>
          <t>FALUN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13541-2026</t>
        </is>
      </c>
      <c r="B1583" s="1" t="n">
        <v>46094.67311342592</v>
      </c>
      <c r="C1583" s="1" t="n">
        <v>46106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8.5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1308-2026</t>
        </is>
      </c>
      <c r="B1584" s="1" t="n">
        <v>46031</v>
      </c>
      <c r="C1584" s="1" t="n">
        <v>46106</v>
      </c>
      <c r="D1584" t="inlineStr">
        <is>
          <t>DALARNAS LÄN</t>
        </is>
      </c>
      <c r="E1584" t="inlineStr">
        <is>
          <t>FALUN</t>
        </is>
      </c>
      <c r="G1584" t="n">
        <v>9.5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5835-2026</t>
        </is>
      </c>
      <c r="B1585" s="1" t="n">
        <v>46052</v>
      </c>
      <c r="C1585" s="1" t="n">
        <v>46106</v>
      </c>
      <c r="D1585" t="inlineStr">
        <is>
          <t>DALARNAS LÄN</t>
        </is>
      </c>
      <c r="E1585" t="inlineStr">
        <is>
          <t>FALUN</t>
        </is>
      </c>
      <c r="G1585" t="n">
        <v>10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20006-2023</t>
        </is>
      </c>
      <c r="B1586" s="1" t="n">
        <v>45054</v>
      </c>
      <c r="C1586" s="1" t="n">
        <v>46106</v>
      </c>
      <c r="D1586" t="inlineStr">
        <is>
          <t>DALARNAS LÄN</t>
        </is>
      </c>
      <c r="E1586" t="inlineStr">
        <is>
          <t>FALUN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13514-2026</t>
        </is>
      </c>
      <c r="B1587" s="1" t="n">
        <v>46094.61390046297</v>
      </c>
      <c r="C1587" s="1" t="n">
        <v>46106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17.2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6069-2026</t>
        </is>
      </c>
      <c r="B1588" s="1" t="n">
        <v>46052</v>
      </c>
      <c r="C1588" s="1" t="n">
        <v>46106</v>
      </c>
      <c r="D1588" t="inlineStr">
        <is>
          <t>DALARNAS LÄN</t>
        </is>
      </c>
      <c r="E1588" t="inlineStr">
        <is>
          <t>FALUN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22646-2024</t>
        </is>
      </c>
      <c r="B1589" s="1" t="n">
        <v>45447.87155092593</v>
      </c>
      <c r="C1589" s="1" t="n">
        <v>46106</v>
      </c>
      <c r="D1589" t="inlineStr">
        <is>
          <t>DALARNAS LÄN</t>
        </is>
      </c>
      <c r="E1589" t="inlineStr">
        <is>
          <t>FALUN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11330-2026</t>
        </is>
      </c>
      <c r="B1590" s="1" t="n">
        <v>46081</v>
      </c>
      <c r="C1590" s="1" t="n">
        <v>46106</v>
      </c>
      <c r="D1590" t="inlineStr">
        <is>
          <t>DALARNAS LÄN</t>
        </is>
      </c>
      <c r="E1590" t="inlineStr">
        <is>
          <t>FALUN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6284-2026</t>
        </is>
      </c>
      <c r="B1591" s="1" t="n">
        <v>46055.54618055555</v>
      </c>
      <c r="C1591" s="1" t="n">
        <v>46106</v>
      </c>
      <c r="D1591" t="inlineStr">
        <is>
          <t>DALARNAS LÄN</t>
        </is>
      </c>
      <c r="E1591" t="inlineStr">
        <is>
          <t>FALUN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5913-2026</t>
        </is>
      </c>
      <c r="B1592" s="1" t="n">
        <v>46052</v>
      </c>
      <c r="C1592" s="1" t="n">
        <v>46106</v>
      </c>
      <c r="D1592" t="inlineStr">
        <is>
          <t>DALARNAS LÄN</t>
        </is>
      </c>
      <c r="E1592" t="inlineStr">
        <is>
          <t>FALUN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5914-2026</t>
        </is>
      </c>
      <c r="B1593" s="1" t="n">
        <v>46052</v>
      </c>
      <c r="C1593" s="1" t="n">
        <v>46106</v>
      </c>
      <c r="D1593" t="inlineStr">
        <is>
          <t>DALARNAS LÄN</t>
        </is>
      </c>
      <c r="E1593" t="inlineStr">
        <is>
          <t>FALUN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11724-2026</t>
        </is>
      </c>
      <c r="B1594" s="1" t="n">
        <v>46084</v>
      </c>
      <c r="C1594" s="1" t="n">
        <v>46106</v>
      </c>
      <c r="D1594" t="inlineStr">
        <is>
          <t>DALARNAS LÄN</t>
        </is>
      </c>
      <c r="E1594" t="inlineStr">
        <is>
          <t>FALUN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48246-2023</t>
        </is>
      </c>
      <c r="B1595" s="1" t="n">
        <v>45205.51188657407</v>
      </c>
      <c r="C1595" s="1" t="n">
        <v>46106</v>
      </c>
      <c r="D1595" t="inlineStr">
        <is>
          <t>DALARNAS LÄN</t>
        </is>
      </c>
      <c r="E1595" t="inlineStr">
        <is>
          <t>FALUN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11930-2026</t>
        </is>
      </c>
      <c r="B1596" s="1" t="n">
        <v>46085</v>
      </c>
      <c r="C1596" s="1" t="n">
        <v>46106</v>
      </c>
      <c r="D1596" t="inlineStr">
        <is>
          <t>DALARNAS LÄN</t>
        </is>
      </c>
      <c r="E1596" t="inlineStr">
        <is>
          <t>FALUN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11391-2026</t>
        </is>
      </c>
      <c r="B1597" s="1" t="n">
        <v>46083</v>
      </c>
      <c r="C1597" s="1" t="n">
        <v>46106</v>
      </c>
      <c r="D1597" t="inlineStr">
        <is>
          <t>DALARNAS LÄN</t>
        </is>
      </c>
      <c r="E1597" t="inlineStr">
        <is>
          <t>FALUN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6453-2026</t>
        </is>
      </c>
      <c r="B1598" s="1" t="n">
        <v>46055</v>
      </c>
      <c r="C1598" s="1" t="n">
        <v>46106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6454-2026</t>
        </is>
      </c>
      <c r="B1599" s="1" t="n">
        <v>46055</v>
      </c>
      <c r="C1599" s="1" t="n">
        <v>46106</v>
      </c>
      <c r="D1599" t="inlineStr">
        <is>
          <t>DALARNAS LÄN</t>
        </is>
      </c>
      <c r="E1599" t="inlineStr">
        <is>
          <t>FALUN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6609-2026</t>
        </is>
      </c>
      <c r="B1600" s="1" t="n">
        <v>46052</v>
      </c>
      <c r="C1600" s="1" t="n">
        <v>46106</v>
      </c>
      <c r="D1600" t="inlineStr">
        <is>
          <t>DALARNAS LÄN</t>
        </is>
      </c>
      <c r="E1600" t="inlineStr">
        <is>
          <t>FALUN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11598-2026</t>
        </is>
      </c>
      <c r="B1601" s="1" t="n">
        <v>46084</v>
      </c>
      <c r="C1601" s="1" t="n">
        <v>46106</v>
      </c>
      <c r="D1601" t="inlineStr">
        <is>
          <t>DALARNAS LÄN</t>
        </is>
      </c>
      <c r="E1601" t="inlineStr">
        <is>
          <t>FALUN</t>
        </is>
      </c>
      <c r="G1601" t="n">
        <v>9.9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12569-2026</t>
        </is>
      </c>
      <c r="B1602" s="1" t="n">
        <v>46090</v>
      </c>
      <c r="C1602" s="1" t="n">
        <v>46106</v>
      </c>
      <c r="D1602" t="inlineStr">
        <is>
          <t>DALARNAS LÄN</t>
        </is>
      </c>
      <c r="E1602" t="inlineStr">
        <is>
          <t>FALUN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6304-2026</t>
        </is>
      </c>
      <c r="B1603" s="1" t="n">
        <v>46055.57064814815</v>
      </c>
      <c r="C1603" s="1" t="n">
        <v>46106</v>
      </c>
      <c r="D1603" t="inlineStr">
        <is>
          <t>DALARNAS LÄN</t>
        </is>
      </c>
      <c r="E1603" t="inlineStr">
        <is>
          <t>FALUN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13592-2026</t>
        </is>
      </c>
      <c r="B1604" s="1" t="n">
        <v>46096.65768518519</v>
      </c>
      <c r="C1604" s="1" t="n">
        <v>46106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30.3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5902-2026</t>
        </is>
      </c>
      <c r="B1605" s="1" t="n">
        <v>46052.43168981482</v>
      </c>
      <c r="C1605" s="1" t="n">
        <v>46106</v>
      </c>
      <c r="D1605" t="inlineStr">
        <is>
          <t>DALARNAS LÄN</t>
        </is>
      </c>
      <c r="E1605" t="inlineStr">
        <is>
          <t>FALUN</t>
        </is>
      </c>
      <c r="G1605" t="n">
        <v>18.9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5972-2026</t>
        </is>
      </c>
      <c r="B1606" s="1" t="n">
        <v>46052</v>
      </c>
      <c r="C1606" s="1" t="n">
        <v>46106</v>
      </c>
      <c r="D1606" t="inlineStr">
        <is>
          <t>DALARNAS LÄN</t>
        </is>
      </c>
      <c r="E1606" t="inlineStr">
        <is>
          <t>FALUN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13676-2026</t>
        </is>
      </c>
      <c r="B1607" s="1" t="n">
        <v>46097.49854166667</v>
      </c>
      <c r="C1607" s="1" t="n">
        <v>46106</v>
      </c>
      <c r="D1607" t="inlineStr">
        <is>
          <t>DALARNAS LÄN</t>
        </is>
      </c>
      <c r="E1607" t="inlineStr">
        <is>
          <t>FALUN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53008-2024</t>
        </is>
      </c>
      <c r="B1608" s="1" t="n">
        <v>45611.39648148148</v>
      </c>
      <c r="C1608" s="1" t="n">
        <v>46106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6022-2026</t>
        </is>
      </c>
      <c r="B1609" s="1" t="n">
        <v>46052</v>
      </c>
      <c r="C1609" s="1" t="n">
        <v>46106</v>
      </c>
      <c r="D1609" t="inlineStr">
        <is>
          <t>DALARNAS LÄN</t>
        </is>
      </c>
      <c r="E1609" t="inlineStr">
        <is>
          <t>FALUN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6033-2026</t>
        </is>
      </c>
      <c r="B1610" s="1" t="n">
        <v>46052</v>
      </c>
      <c r="C1610" s="1" t="n">
        <v>46106</v>
      </c>
      <c r="D1610" t="inlineStr">
        <is>
          <t>DALARNAS LÄN</t>
        </is>
      </c>
      <c r="E1610" t="inlineStr">
        <is>
          <t>FALUN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6183-2026</t>
        </is>
      </c>
      <c r="B1611" s="1" t="n">
        <v>46055.3625925926</v>
      </c>
      <c r="C1611" s="1" t="n">
        <v>46106</v>
      </c>
      <c r="D1611" t="inlineStr">
        <is>
          <t>DALARNAS LÄN</t>
        </is>
      </c>
      <c r="E1611" t="inlineStr">
        <is>
          <t>FALUN</t>
        </is>
      </c>
      <c r="G1611" t="n">
        <v>9.6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6213-2026</t>
        </is>
      </c>
      <c r="B1612" s="1" t="n">
        <v>46055.42577546297</v>
      </c>
      <c r="C1612" s="1" t="n">
        <v>46106</v>
      </c>
      <c r="D1612" t="inlineStr">
        <is>
          <t>DALARNAS LÄN</t>
        </is>
      </c>
      <c r="E1612" t="inlineStr">
        <is>
          <t>FALUN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6229-2026</t>
        </is>
      </c>
      <c r="B1613" s="1" t="n">
        <v>46055.44458333333</v>
      </c>
      <c r="C1613" s="1" t="n">
        <v>46106</v>
      </c>
      <c r="D1613" t="inlineStr">
        <is>
          <t>DALARNAS LÄN</t>
        </is>
      </c>
      <c r="E1613" t="inlineStr">
        <is>
          <t>FALUN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11712-2026</t>
        </is>
      </c>
      <c r="B1614" s="1" t="n">
        <v>46084</v>
      </c>
      <c r="C1614" s="1" t="n">
        <v>46106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5.9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13112-2026</t>
        </is>
      </c>
      <c r="B1615" s="1" t="n">
        <v>46093</v>
      </c>
      <c r="C1615" s="1" t="n">
        <v>46106</v>
      </c>
      <c r="D1615" t="inlineStr">
        <is>
          <t>DALARNAS LÄN</t>
        </is>
      </c>
      <c r="E1615" t="inlineStr">
        <is>
          <t>FALUN</t>
        </is>
      </c>
      <c r="F1615" t="inlineStr">
        <is>
          <t>Allmännings- och besparingsskogar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13084-2026</t>
        </is>
      </c>
      <c r="B1616" s="1" t="n">
        <v>46093</v>
      </c>
      <c r="C1616" s="1" t="n">
        <v>46106</v>
      </c>
      <c r="D1616" t="inlineStr">
        <is>
          <t>DALARNAS LÄN</t>
        </is>
      </c>
      <c r="E1616" t="inlineStr">
        <is>
          <t>FALUN</t>
        </is>
      </c>
      <c r="F1616" t="inlineStr">
        <is>
          <t>Allmännings- och besparingsskogar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13103-2026</t>
        </is>
      </c>
      <c r="B1617" s="1" t="n">
        <v>46093.4184375</v>
      </c>
      <c r="C1617" s="1" t="n">
        <v>46106</v>
      </c>
      <c r="D1617" t="inlineStr">
        <is>
          <t>DALARNAS LÄN</t>
        </is>
      </c>
      <c r="E1617" t="inlineStr">
        <is>
          <t>FALUN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13681-2026</t>
        </is>
      </c>
      <c r="B1618" s="1" t="n">
        <v>46097.51076388889</v>
      </c>
      <c r="C1618" s="1" t="n">
        <v>46106</v>
      </c>
      <c r="D1618" t="inlineStr">
        <is>
          <t>DALARNAS LÄN</t>
        </is>
      </c>
      <c r="E1618" t="inlineStr">
        <is>
          <t>FALUN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13636-2026</t>
        </is>
      </c>
      <c r="B1619" s="1" t="n">
        <v>46097.39327546296</v>
      </c>
      <c r="C1619" s="1" t="n">
        <v>46106</v>
      </c>
      <c r="D1619" t="inlineStr">
        <is>
          <t>DALARNAS LÄN</t>
        </is>
      </c>
      <c r="E1619" t="inlineStr">
        <is>
          <t>FALUN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6400-2026</t>
        </is>
      </c>
      <c r="B1620" s="1" t="n">
        <v>46055</v>
      </c>
      <c r="C1620" s="1" t="n">
        <v>46106</v>
      </c>
      <c r="D1620" t="inlineStr">
        <is>
          <t>DALARNAS LÄN</t>
        </is>
      </c>
      <c r="E1620" t="inlineStr">
        <is>
          <t>FALUN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6607-2026</t>
        </is>
      </c>
      <c r="B1621" s="1" t="n">
        <v>46052</v>
      </c>
      <c r="C1621" s="1" t="n">
        <v>46106</v>
      </c>
      <c r="D1621" t="inlineStr">
        <is>
          <t>DALARNAS LÄN</t>
        </is>
      </c>
      <c r="E1621" t="inlineStr">
        <is>
          <t>FALUN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6159-2026</t>
        </is>
      </c>
      <c r="B1622" s="1" t="n">
        <v>46055.31182870371</v>
      </c>
      <c r="C1622" s="1" t="n">
        <v>46106</v>
      </c>
      <c r="D1622" t="inlineStr">
        <is>
          <t>DALARNAS LÄN</t>
        </is>
      </c>
      <c r="E1622" t="inlineStr">
        <is>
          <t>FALUN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11538-2026</t>
        </is>
      </c>
      <c r="B1623" s="1" t="n">
        <v>46083</v>
      </c>
      <c r="C1623" s="1" t="n">
        <v>46106</v>
      </c>
      <c r="D1623" t="inlineStr">
        <is>
          <t>DALARNAS LÄN</t>
        </is>
      </c>
      <c r="E1623" t="inlineStr">
        <is>
          <t>FALUN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6027-2026</t>
        </is>
      </c>
      <c r="B1624" s="1" t="n">
        <v>46052</v>
      </c>
      <c r="C1624" s="1" t="n">
        <v>46106</v>
      </c>
      <c r="D1624" t="inlineStr">
        <is>
          <t>DALARNAS LÄN</t>
        </is>
      </c>
      <c r="E1624" t="inlineStr">
        <is>
          <t>FALUN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5921-2026</t>
        </is>
      </c>
      <c r="B1625" s="1" t="n">
        <v>46052.45731481481</v>
      </c>
      <c r="C1625" s="1" t="n">
        <v>46106</v>
      </c>
      <c r="D1625" t="inlineStr">
        <is>
          <t>DALARNAS LÄN</t>
        </is>
      </c>
      <c r="E1625" t="inlineStr">
        <is>
          <t>FALUN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6208-2026</t>
        </is>
      </c>
      <c r="B1626" s="1" t="n">
        <v>46055.42100694445</v>
      </c>
      <c r="C1626" s="1" t="n">
        <v>46106</v>
      </c>
      <c r="D1626" t="inlineStr">
        <is>
          <t>DALARNAS LÄN</t>
        </is>
      </c>
      <c r="E1626" t="inlineStr">
        <is>
          <t>FALUN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6302-2026</t>
        </is>
      </c>
      <c r="B1627" s="1" t="n">
        <v>46055.56907407408</v>
      </c>
      <c r="C1627" s="1" t="n">
        <v>46106</v>
      </c>
      <c r="D1627" t="inlineStr">
        <is>
          <t>DALARNAS LÄN</t>
        </is>
      </c>
      <c r="E1627" t="inlineStr">
        <is>
          <t>FALUN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12689-2026</t>
        </is>
      </c>
      <c r="B1628" s="1" t="n">
        <v>46090</v>
      </c>
      <c r="C1628" s="1" t="n">
        <v>46106</v>
      </c>
      <c r="D1628" t="inlineStr">
        <is>
          <t>DALARNAS LÄN</t>
        </is>
      </c>
      <c r="E1628" t="inlineStr">
        <is>
          <t>FALUN</t>
        </is>
      </c>
      <c r="F1628" t="inlineStr">
        <is>
          <t>Allmännings- och besparingsskogar</t>
        </is>
      </c>
      <c r="G1628" t="n">
        <v>122.4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5871-2026</t>
        </is>
      </c>
      <c r="B1629" s="1" t="n">
        <v>46052</v>
      </c>
      <c r="C1629" s="1" t="n">
        <v>46106</v>
      </c>
      <c r="D1629" t="inlineStr">
        <is>
          <t>DALARNAS LÄN</t>
        </is>
      </c>
      <c r="E1629" t="inlineStr">
        <is>
          <t>FALUN</t>
        </is>
      </c>
      <c r="G1629" t="n">
        <v>12.2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13443-2026</t>
        </is>
      </c>
      <c r="B1630" s="1" t="n">
        <v>46094.49597222222</v>
      </c>
      <c r="C1630" s="1" t="n">
        <v>46106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11387-2026</t>
        </is>
      </c>
      <c r="B1631" s="1" t="n">
        <v>46083</v>
      </c>
      <c r="C1631" s="1" t="n">
        <v>46106</v>
      </c>
      <c r="D1631" t="inlineStr">
        <is>
          <t>DALARNAS LÄN</t>
        </is>
      </c>
      <c r="E1631" t="inlineStr">
        <is>
          <t>FALUN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13711-2026</t>
        </is>
      </c>
      <c r="B1632" s="1" t="n">
        <v>46097</v>
      </c>
      <c r="C1632" s="1" t="n">
        <v>46106</v>
      </c>
      <c r="D1632" t="inlineStr">
        <is>
          <t>DALARNAS LÄN</t>
        </is>
      </c>
      <c r="E1632" t="inlineStr">
        <is>
          <t>FALUN</t>
        </is>
      </c>
      <c r="G1632" t="n">
        <v>5.8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13634-2026</t>
        </is>
      </c>
      <c r="B1633" s="1" t="n">
        <v>46097.38424768519</v>
      </c>
      <c r="C1633" s="1" t="n">
        <v>46106</v>
      </c>
      <c r="D1633" t="inlineStr">
        <is>
          <t>DALARNAS LÄN</t>
        </is>
      </c>
      <c r="E1633" t="inlineStr">
        <is>
          <t>FALUN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5919-2026</t>
        </is>
      </c>
      <c r="B1634" s="1" t="n">
        <v>46052</v>
      </c>
      <c r="C1634" s="1" t="n">
        <v>46106</v>
      </c>
      <c r="D1634" t="inlineStr">
        <is>
          <t>DALARNAS LÄN</t>
        </is>
      </c>
      <c r="E1634" t="inlineStr">
        <is>
          <t>FALUN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14478-2024</t>
        </is>
      </c>
      <c r="B1635" s="1" t="n">
        <v>45394.56211805555</v>
      </c>
      <c r="C1635" s="1" t="n">
        <v>46106</v>
      </c>
      <c r="D1635" t="inlineStr">
        <is>
          <t>DALARNAS LÄN</t>
        </is>
      </c>
      <c r="E1635" t="inlineStr">
        <is>
          <t>FALUN</t>
        </is>
      </c>
      <c r="G1635" t="n">
        <v>6.5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14097-2026</t>
        </is>
      </c>
      <c r="B1636" s="1" t="n">
        <v>46099.40351851852</v>
      </c>
      <c r="C1636" s="1" t="n">
        <v>46106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14107-2026</t>
        </is>
      </c>
      <c r="B1637" s="1" t="n">
        <v>46099.41914351852</v>
      </c>
      <c r="C1637" s="1" t="n">
        <v>46106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14199-2026</t>
        </is>
      </c>
      <c r="B1638" s="1" t="n">
        <v>46099.54627314815</v>
      </c>
      <c r="C1638" s="1" t="n">
        <v>46106</v>
      </c>
      <c r="D1638" t="inlineStr">
        <is>
          <t>DALARNAS LÄN</t>
        </is>
      </c>
      <c r="E1638" t="inlineStr">
        <is>
          <t>FALUN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14207-2026</t>
        </is>
      </c>
      <c r="B1639" s="1" t="n">
        <v>46099</v>
      </c>
      <c r="C1639" s="1" t="n">
        <v>46106</v>
      </c>
      <c r="D1639" t="inlineStr">
        <is>
          <t>DALARNAS LÄN</t>
        </is>
      </c>
      <c r="E1639" t="inlineStr">
        <is>
          <t>FALUN</t>
        </is>
      </c>
      <c r="G1639" t="n">
        <v>34.4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14217-2026</t>
        </is>
      </c>
      <c r="B1640" s="1" t="n">
        <v>46099.56886574074</v>
      </c>
      <c r="C1640" s="1" t="n">
        <v>46106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24.5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6627-2026</t>
        </is>
      </c>
      <c r="B1641" s="1" t="n">
        <v>46056.51665509259</v>
      </c>
      <c r="C1641" s="1" t="n">
        <v>46106</v>
      </c>
      <c r="D1641" t="inlineStr">
        <is>
          <t>DALARNAS LÄN</t>
        </is>
      </c>
      <c r="E1641" t="inlineStr">
        <is>
          <t>FALUN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14310-2026</t>
        </is>
      </c>
      <c r="B1642" s="1" t="n">
        <v>46099.82791666667</v>
      </c>
      <c r="C1642" s="1" t="n">
        <v>46106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29.8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6751-2026</t>
        </is>
      </c>
      <c r="B1643" s="1" t="n">
        <v>46056.76788194444</v>
      </c>
      <c r="C1643" s="1" t="n">
        <v>46106</v>
      </c>
      <c r="D1643" t="inlineStr">
        <is>
          <t>DALARNAS LÄN</t>
        </is>
      </c>
      <c r="E1643" t="inlineStr">
        <is>
          <t>FALUN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6753-2026</t>
        </is>
      </c>
      <c r="B1644" s="1" t="n">
        <v>46056.7695949074</v>
      </c>
      <c r="C1644" s="1" t="n">
        <v>46106</v>
      </c>
      <c r="D1644" t="inlineStr">
        <is>
          <t>DALARNAS LÄN</t>
        </is>
      </c>
      <c r="E1644" t="inlineStr">
        <is>
          <t>FALUN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6756-2026</t>
        </is>
      </c>
      <c r="B1645" s="1" t="n">
        <v>46056.77545138889</v>
      </c>
      <c r="C1645" s="1" t="n">
        <v>46106</v>
      </c>
      <c r="D1645" t="inlineStr">
        <is>
          <t>DALARNAS LÄN</t>
        </is>
      </c>
      <c r="E1645" t="inlineStr">
        <is>
          <t>FALUN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6523-2026</t>
        </is>
      </c>
      <c r="B1646" s="1" t="n">
        <v>46056</v>
      </c>
      <c r="C1646" s="1" t="n">
        <v>46106</v>
      </c>
      <c r="D1646" t="inlineStr">
        <is>
          <t>DALARNAS LÄN</t>
        </is>
      </c>
      <c r="E1646" t="inlineStr">
        <is>
          <t>FALUN</t>
        </is>
      </c>
      <c r="G1646" t="n">
        <v>13.2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6573-2026</t>
        </is>
      </c>
      <c r="B1647" s="1" t="n">
        <v>46056.44613425926</v>
      </c>
      <c r="C1647" s="1" t="n">
        <v>46106</v>
      </c>
      <c r="D1647" t="inlineStr">
        <is>
          <t>DALARNAS LÄN</t>
        </is>
      </c>
      <c r="E1647" t="inlineStr">
        <is>
          <t>FALUN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6577-2026</t>
        </is>
      </c>
      <c r="B1648" s="1" t="n">
        <v>46056.44921296297</v>
      </c>
      <c r="C1648" s="1" t="n">
        <v>46106</v>
      </c>
      <c r="D1648" t="inlineStr">
        <is>
          <t>DALARNAS LÄN</t>
        </is>
      </c>
      <c r="E1648" t="inlineStr">
        <is>
          <t>FALUN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13591-2026</t>
        </is>
      </c>
      <c r="B1649" s="1" t="n">
        <v>46096</v>
      </c>
      <c r="C1649" s="1" t="n">
        <v>46106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11928-2026</t>
        </is>
      </c>
      <c r="B1650" s="1" t="n">
        <v>46085</v>
      </c>
      <c r="C1650" s="1" t="n">
        <v>46106</v>
      </c>
      <c r="D1650" t="inlineStr">
        <is>
          <t>DALARNAS LÄN</t>
        </is>
      </c>
      <c r="E1650" t="inlineStr">
        <is>
          <t>FALUN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12466-2026</t>
        </is>
      </c>
      <c r="B1651" s="1" t="n">
        <v>46090</v>
      </c>
      <c r="C1651" s="1" t="n">
        <v>46106</v>
      </c>
      <c r="D1651" t="inlineStr">
        <is>
          <t>DALARNAS LÄN</t>
        </is>
      </c>
      <c r="E1651" t="inlineStr">
        <is>
          <t>FALUN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12245-2026</t>
        </is>
      </c>
      <c r="B1652" s="1" t="n">
        <v>46087</v>
      </c>
      <c r="C1652" s="1" t="n">
        <v>46106</v>
      </c>
      <c r="D1652" t="inlineStr">
        <is>
          <t>DALARNAS LÄN</t>
        </is>
      </c>
      <c r="E1652" t="inlineStr">
        <is>
          <t>FALUN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12632-2026</t>
        </is>
      </c>
      <c r="B1653" s="1" t="n">
        <v>46091</v>
      </c>
      <c r="C1653" s="1" t="n">
        <v>46106</v>
      </c>
      <c r="D1653" t="inlineStr">
        <is>
          <t>DALARNAS LÄN</t>
        </is>
      </c>
      <c r="E1653" t="inlineStr">
        <is>
          <t>FALUN</t>
        </is>
      </c>
      <c r="F1653" t="inlineStr">
        <is>
          <t>Bergvik skog väst AB</t>
        </is>
      </c>
      <c r="G1653" t="n">
        <v>6.4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14008-2026</t>
        </is>
      </c>
      <c r="B1654" s="1" t="n">
        <v>46098.65821759259</v>
      </c>
      <c r="C1654" s="1" t="n">
        <v>46106</v>
      </c>
      <c r="D1654" t="inlineStr">
        <is>
          <t>DALARNAS LÄN</t>
        </is>
      </c>
      <c r="E1654" t="inlineStr">
        <is>
          <t>FALUN</t>
        </is>
      </c>
      <c r="F1654" t="inlineStr">
        <is>
          <t>Bergvik skog väst AB</t>
        </is>
      </c>
      <c r="G1654" t="n">
        <v>5.6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  <c r="U1654">
        <f>HYPERLINK("https://klasma.github.io/Logging_2080/knärot/A 14008-2026 karta knärot.png", "A 14008-2026")</f>
        <v/>
      </c>
      <c r="V1654">
        <f>HYPERLINK("https://klasma.github.io/Logging_2080/klagomål/A 14008-2026 FSC-klagomål.docx", "A 14008-2026")</f>
        <v/>
      </c>
      <c r="W1654">
        <f>HYPERLINK("https://klasma.github.io/Logging_2080/klagomålsmail/A 14008-2026 FSC-klagomål mail.docx", "A 14008-2026")</f>
        <v/>
      </c>
      <c r="X1654">
        <f>HYPERLINK("https://klasma.github.io/Logging_2080/tillsyn/A 14008-2026 tillsynsbegäran.docx", "A 14008-2026")</f>
        <v/>
      </c>
      <c r="Y1654">
        <f>HYPERLINK("https://klasma.github.io/Logging_2080/tillsynsmail/A 14008-2026 tillsynsbegäran mail.docx", "A 14008-2026")</f>
        <v/>
      </c>
    </row>
    <row r="1655" ht="15" customHeight="1">
      <c r="A1655" t="inlineStr">
        <is>
          <t>A 14179-2026</t>
        </is>
      </c>
      <c r="B1655" s="1" t="n">
        <v>46099.49658564815</v>
      </c>
      <c r="C1655" s="1" t="n">
        <v>46106</v>
      </c>
      <c r="D1655" t="inlineStr">
        <is>
          <t>DALARNAS LÄN</t>
        </is>
      </c>
      <c r="E1655" t="inlineStr">
        <is>
          <t>FALUN</t>
        </is>
      </c>
      <c r="F1655" t="inlineStr">
        <is>
          <t>Bergvik skog väst AB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6703-2026</t>
        </is>
      </c>
      <c r="B1656" s="1" t="n">
        <v>46056</v>
      </c>
      <c r="C1656" s="1" t="n">
        <v>46106</v>
      </c>
      <c r="D1656" t="inlineStr">
        <is>
          <t>DALARNAS LÄN</t>
        </is>
      </c>
      <c r="E1656" t="inlineStr">
        <is>
          <t>FALUN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6931-2026</t>
        </is>
      </c>
      <c r="B1657" s="1" t="n">
        <v>46057.55290509259</v>
      </c>
      <c r="C1657" s="1" t="n">
        <v>46106</v>
      </c>
      <c r="D1657" t="inlineStr">
        <is>
          <t>DALARNAS LÄN</t>
        </is>
      </c>
      <c r="E1657" t="inlineStr">
        <is>
          <t>FALUN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6953-2026</t>
        </is>
      </c>
      <c r="B1658" s="1" t="n">
        <v>46056</v>
      </c>
      <c r="C1658" s="1" t="n">
        <v>46106</v>
      </c>
      <c r="D1658" t="inlineStr">
        <is>
          <t>DALARNAS LÄN</t>
        </is>
      </c>
      <c r="E1658" t="inlineStr">
        <is>
          <t>FALUN</t>
        </is>
      </c>
      <c r="F1658" t="inlineStr">
        <is>
          <t>Allmännings- och besparingsskogar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6955-2026</t>
        </is>
      </c>
      <c r="B1659" s="1" t="n">
        <v>46056</v>
      </c>
      <c r="C1659" s="1" t="n">
        <v>46106</v>
      </c>
      <c r="D1659" t="inlineStr">
        <is>
          <t>DALARNAS LÄN</t>
        </is>
      </c>
      <c r="E1659" t="inlineStr">
        <is>
          <t>FALUN</t>
        </is>
      </c>
      <c r="F1659" t="inlineStr">
        <is>
          <t>Allmännings- och besparingsskogar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13896-2026</t>
        </is>
      </c>
      <c r="B1660" s="1" t="n">
        <v>46098.46572916667</v>
      </c>
      <c r="C1660" s="1" t="n">
        <v>46106</v>
      </c>
      <c r="D1660" t="inlineStr">
        <is>
          <t>DALARNAS LÄN</t>
        </is>
      </c>
      <c r="E1660" t="inlineStr">
        <is>
          <t>FALUN</t>
        </is>
      </c>
      <c r="F1660" t="inlineStr">
        <is>
          <t>Bergvik skog väst AB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6974-2026</t>
        </is>
      </c>
      <c r="B1661" s="1" t="n">
        <v>46057.59384259259</v>
      </c>
      <c r="C1661" s="1" t="n">
        <v>46106</v>
      </c>
      <c r="D1661" t="inlineStr">
        <is>
          <t>DALARNAS LÄN</t>
        </is>
      </c>
      <c r="E1661" t="inlineStr">
        <is>
          <t>FALUN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6630-2026</t>
        </is>
      </c>
      <c r="B1662" s="1" t="n">
        <v>46056</v>
      </c>
      <c r="C1662" s="1" t="n">
        <v>46106</v>
      </c>
      <c r="D1662" t="inlineStr">
        <is>
          <t>DALARNAS LÄN</t>
        </is>
      </c>
      <c r="E1662" t="inlineStr">
        <is>
          <t>FALUN</t>
        </is>
      </c>
      <c r="G1662" t="n">
        <v>7.1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14215-2026</t>
        </is>
      </c>
      <c r="B1663" s="1" t="n">
        <v>46099.56703703704</v>
      </c>
      <c r="C1663" s="1" t="n">
        <v>46106</v>
      </c>
      <c r="D1663" t="inlineStr">
        <is>
          <t>DALARNAS LÄN</t>
        </is>
      </c>
      <c r="E1663" t="inlineStr">
        <is>
          <t>FALUN</t>
        </is>
      </c>
      <c r="F1663" t="inlineStr">
        <is>
          <t>Bergvik skog väst AB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14231-2026</t>
        </is>
      </c>
      <c r="B1664" s="1" t="n">
        <v>46099.58938657407</v>
      </c>
      <c r="C1664" s="1" t="n">
        <v>46106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6515-2026</t>
        </is>
      </c>
      <c r="B1665" s="1" t="n">
        <v>46056</v>
      </c>
      <c r="C1665" s="1" t="n">
        <v>46106</v>
      </c>
      <c r="D1665" t="inlineStr">
        <is>
          <t>DALARNAS LÄN</t>
        </is>
      </c>
      <c r="E1665" t="inlineStr">
        <is>
          <t>FALUN</t>
        </is>
      </c>
      <c r="G1665" t="n">
        <v>27.4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13817-2026</t>
        </is>
      </c>
      <c r="B1666" s="1" t="n">
        <v>46098.32662037037</v>
      </c>
      <c r="C1666" s="1" t="n">
        <v>46106</v>
      </c>
      <c r="D1666" t="inlineStr">
        <is>
          <t>DALARNAS LÄN</t>
        </is>
      </c>
      <c r="E1666" t="inlineStr">
        <is>
          <t>FALUN</t>
        </is>
      </c>
      <c r="G1666" t="n">
        <v>19.6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13829-2026</t>
        </is>
      </c>
      <c r="B1667" s="1" t="n">
        <v>46098.34990740741</v>
      </c>
      <c r="C1667" s="1" t="n">
        <v>46106</v>
      </c>
      <c r="D1667" t="inlineStr">
        <is>
          <t>DALARNAS LÄN</t>
        </is>
      </c>
      <c r="E1667" t="inlineStr">
        <is>
          <t>FALUN</t>
        </is>
      </c>
      <c r="G1667" t="n">
        <v>13.1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6747-2026</t>
        </is>
      </c>
      <c r="B1668" s="1" t="n">
        <v>46056</v>
      </c>
      <c r="C1668" s="1" t="n">
        <v>46106</v>
      </c>
      <c r="D1668" t="inlineStr">
        <is>
          <t>DALARNAS LÄN</t>
        </is>
      </c>
      <c r="E1668" t="inlineStr">
        <is>
          <t>FALUN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6771-2026</t>
        </is>
      </c>
      <c r="B1669" s="1" t="n">
        <v>46057</v>
      </c>
      <c r="C1669" s="1" t="n">
        <v>46106</v>
      </c>
      <c r="D1669" t="inlineStr">
        <is>
          <t>DALARNAS LÄN</t>
        </is>
      </c>
      <c r="E1669" t="inlineStr">
        <is>
          <t>FALUN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6789-2026</t>
        </is>
      </c>
      <c r="B1670" s="1" t="n">
        <v>46057.33921296296</v>
      </c>
      <c r="C1670" s="1" t="n">
        <v>46106</v>
      </c>
      <c r="D1670" t="inlineStr">
        <is>
          <t>DALARNAS LÄN</t>
        </is>
      </c>
      <c r="E1670" t="inlineStr">
        <is>
          <t>FALUN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13673-2026</t>
        </is>
      </c>
      <c r="B1671" s="1" t="n">
        <v>46097</v>
      </c>
      <c r="C1671" s="1" t="n">
        <v>46106</v>
      </c>
      <c r="D1671" t="inlineStr">
        <is>
          <t>DALARNAS LÄN</t>
        </is>
      </c>
      <c r="E1671" t="inlineStr">
        <is>
          <t>FALUN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6500-2026</t>
        </is>
      </c>
      <c r="B1672" s="1" t="n">
        <v>46056</v>
      </c>
      <c r="C1672" s="1" t="n">
        <v>46106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9.300000000000001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26598-2023</t>
        </is>
      </c>
      <c r="B1673" s="1" t="n">
        <v>45092.68070601852</v>
      </c>
      <c r="C1673" s="1" t="n">
        <v>46106</v>
      </c>
      <c r="D1673" t="inlineStr">
        <is>
          <t>DALARNAS LÄN</t>
        </is>
      </c>
      <c r="E1673" t="inlineStr">
        <is>
          <t>FALUN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6541-2026</t>
        </is>
      </c>
      <c r="B1674" s="1" t="n">
        <v>46056.42693287037</v>
      </c>
      <c r="C1674" s="1" t="n">
        <v>46106</v>
      </c>
      <c r="D1674" t="inlineStr">
        <is>
          <t>DALARNAS LÄN</t>
        </is>
      </c>
      <c r="E1674" t="inlineStr">
        <is>
          <t>FALUN</t>
        </is>
      </c>
      <c r="G1674" t="n">
        <v>7.8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6552-2026</t>
        </is>
      </c>
      <c r="B1675" s="1" t="n">
        <v>46056</v>
      </c>
      <c r="C1675" s="1" t="n">
        <v>46106</v>
      </c>
      <c r="D1675" t="inlineStr">
        <is>
          <t>DALARNAS LÄN</t>
        </is>
      </c>
      <c r="E1675" t="inlineStr">
        <is>
          <t>FALUN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6786-2026</t>
        </is>
      </c>
      <c r="B1676" s="1" t="n">
        <v>46057</v>
      </c>
      <c r="C1676" s="1" t="n">
        <v>46106</v>
      </c>
      <c r="D1676" t="inlineStr">
        <is>
          <t>DALARNAS LÄN</t>
        </is>
      </c>
      <c r="E1676" t="inlineStr">
        <is>
          <t>FALUN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12177-2026</t>
        </is>
      </c>
      <c r="B1677" s="1" t="n">
        <v>46086</v>
      </c>
      <c r="C1677" s="1" t="n">
        <v>46106</v>
      </c>
      <c r="D1677" t="inlineStr">
        <is>
          <t>DALARNAS LÄN</t>
        </is>
      </c>
      <c r="E1677" t="inlineStr">
        <is>
          <t>FALUN</t>
        </is>
      </c>
      <c r="F1677" t="inlineStr">
        <is>
          <t>Bergvik skog väst AB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12542-2026</t>
        </is>
      </c>
      <c r="B1678" s="1" t="n">
        <v>46090</v>
      </c>
      <c r="C1678" s="1" t="n">
        <v>46106</v>
      </c>
      <c r="D1678" t="inlineStr">
        <is>
          <t>DALARNAS LÄN</t>
        </is>
      </c>
      <c r="E1678" t="inlineStr">
        <is>
          <t>FALUN</t>
        </is>
      </c>
      <c r="G1678" t="n">
        <v>5.8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13198-2026</t>
        </is>
      </c>
      <c r="B1679" s="1" t="n">
        <v>46093</v>
      </c>
      <c r="C1679" s="1" t="n">
        <v>46106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13209-2026</t>
        </is>
      </c>
      <c r="B1680" s="1" t="n">
        <v>46093</v>
      </c>
      <c r="C1680" s="1" t="n">
        <v>46106</v>
      </c>
      <c r="D1680" t="inlineStr">
        <is>
          <t>DALARNAS LÄN</t>
        </is>
      </c>
      <c r="E1680" t="inlineStr">
        <is>
          <t>FALUN</t>
        </is>
      </c>
      <c r="F1680" t="inlineStr">
        <is>
          <t>Bergvik skog väst AB</t>
        </is>
      </c>
      <c r="G1680" t="n">
        <v>5.8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13219-2026</t>
        </is>
      </c>
      <c r="B1681" s="1" t="n">
        <v>46093</v>
      </c>
      <c r="C1681" s="1" t="n">
        <v>46106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78.3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6899-2026</t>
        </is>
      </c>
      <c r="B1682" s="1" t="n">
        <v>46057</v>
      </c>
      <c r="C1682" s="1" t="n">
        <v>46106</v>
      </c>
      <c r="D1682" t="inlineStr">
        <is>
          <t>DALARNAS LÄN</t>
        </is>
      </c>
      <c r="E1682" t="inlineStr">
        <is>
          <t>FALUN</t>
        </is>
      </c>
      <c r="G1682" t="n">
        <v>21.7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6667-2026</t>
        </is>
      </c>
      <c r="B1683" s="1" t="n">
        <v>46056.59239583334</v>
      </c>
      <c r="C1683" s="1" t="n">
        <v>46106</v>
      </c>
      <c r="D1683" t="inlineStr">
        <is>
          <t>DALARNAS LÄN</t>
        </is>
      </c>
      <c r="E1683" t="inlineStr">
        <is>
          <t>FALUN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9659-2025</t>
        </is>
      </c>
      <c r="B1684" s="1" t="n">
        <v>45716.29737268519</v>
      </c>
      <c r="C1684" s="1" t="n">
        <v>46106</v>
      </c>
      <c r="D1684" t="inlineStr">
        <is>
          <t>DALARNAS LÄN</t>
        </is>
      </c>
      <c r="E1684" t="inlineStr">
        <is>
          <t>FALUN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34103-2024</t>
        </is>
      </c>
      <c r="B1685" s="1" t="n">
        <v>45523.72092592593</v>
      </c>
      <c r="C1685" s="1" t="n">
        <v>46106</v>
      </c>
      <c r="D1685" t="inlineStr">
        <is>
          <t>DALARNAS LÄN</t>
        </is>
      </c>
      <c r="E1685" t="inlineStr">
        <is>
          <t>FALUN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15085-2025</t>
        </is>
      </c>
      <c r="B1686" s="1" t="n">
        <v>45744.3031712963</v>
      </c>
      <c r="C1686" s="1" t="n">
        <v>46106</v>
      </c>
      <c r="D1686" t="inlineStr">
        <is>
          <t>DALARNAS LÄN</t>
        </is>
      </c>
      <c r="E1686" t="inlineStr">
        <is>
          <t>FALUN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41538-2024</t>
        </is>
      </c>
      <c r="B1687" s="1" t="n">
        <v>45560</v>
      </c>
      <c r="C1687" s="1" t="n">
        <v>46106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50772-2024</t>
        </is>
      </c>
      <c r="B1688" s="1" t="n">
        <v>45602.44824074074</v>
      </c>
      <c r="C1688" s="1" t="n">
        <v>46106</v>
      </c>
      <c r="D1688" t="inlineStr">
        <is>
          <t>DALARNAS LÄN</t>
        </is>
      </c>
      <c r="E1688" t="inlineStr">
        <is>
          <t>FALUN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54543-2024</t>
        </is>
      </c>
      <c r="B1689" s="1" t="n">
        <v>45617.61184027778</v>
      </c>
      <c r="C1689" s="1" t="n">
        <v>46106</v>
      </c>
      <c r="D1689" t="inlineStr">
        <is>
          <t>DALARNAS LÄN</t>
        </is>
      </c>
      <c r="E1689" t="inlineStr">
        <is>
          <t>FALUN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58864-2023</t>
        </is>
      </c>
      <c r="B1690" s="1" t="n">
        <v>45252.45018518518</v>
      </c>
      <c r="C1690" s="1" t="n">
        <v>46106</v>
      </c>
      <c r="D1690" t="inlineStr">
        <is>
          <t>DALARNAS LÄN</t>
        </is>
      </c>
      <c r="E1690" t="inlineStr">
        <is>
          <t>FALUN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58713-2024</t>
        </is>
      </c>
      <c r="B1691" s="1" t="n">
        <v>45635.65060185185</v>
      </c>
      <c r="C1691" s="1" t="n">
        <v>46106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59673-2024</t>
        </is>
      </c>
      <c r="B1692" s="1" t="n">
        <v>45639.38805555556</v>
      </c>
      <c r="C1692" s="1" t="n">
        <v>46106</v>
      </c>
      <c r="D1692" t="inlineStr">
        <is>
          <t>DALARNAS LÄN</t>
        </is>
      </c>
      <c r="E1692" t="inlineStr">
        <is>
          <t>FALUN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52116-2022</t>
        </is>
      </c>
      <c r="B1693" s="1" t="n">
        <v>44873</v>
      </c>
      <c r="C1693" s="1" t="n">
        <v>46106</v>
      </c>
      <c r="D1693" t="inlineStr">
        <is>
          <t>DALARNAS LÄN</t>
        </is>
      </c>
      <c r="E1693" t="inlineStr">
        <is>
          <t>FALUN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4533-2025</t>
        </is>
      </c>
      <c r="B1694" s="1" t="n">
        <v>45687.34354166667</v>
      </c>
      <c r="C1694" s="1" t="n">
        <v>46106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5679-2023</t>
        </is>
      </c>
      <c r="B1695" s="1" t="n">
        <v>44960.70480324074</v>
      </c>
      <c r="C1695" s="1" t="n">
        <v>46106</v>
      </c>
      <c r="D1695" t="inlineStr">
        <is>
          <t>DALARNAS LÄN</t>
        </is>
      </c>
      <c r="E1695" t="inlineStr">
        <is>
          <t>FALUN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45869-2023</t>
        </is>
      </c>
      <c r="B1696" s="1" t="n">
        <v>45195</v>
      </c>
      <c r="C1696" s="1" t="n">
        <v>46106</v>
      </c>
      <c r="D1696" t="inlineStr">
        <is>
          <t>DALARNAS LÄN</t>
        </is>
      </c>
      <c r="E1696" t="inlineStr">
        <is>
          <t>FALUN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9835-2024</t>
        </is>
      </c>
      <c r="B1697" s="1" t="n">
        <v>45363.28989583333</v>
      </c>
      <c r="C1697" s="1" t="n">
        <v>46106</v>
      </c>
      <c r="D1697" t="inlineStr">
        <is>
          <t>DALARNAS LÄN</t>
        </is>
      </c>
      <c r="E1697" t="inlineStr">
        <is>
          <t>FALUN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16929-2023</t>
        </is>
      </c>
      <c r="B1698" s="1" t="n">
        <v>45033.61854166666</v>
      </c>
      <c r="C1698" s="1" t="n">
        <v>46106</v>
      </c>
      <c r="D1698" t="inlineStr">
        <is>
          <t>DALARNAS LÄN</t>
        </is>
      </c>
      <c r="E1698" t="inlineStr">
        <is>
          <t>FALUN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49683-2024</t>
        </is>
      </c>
      <c r="B1699" s="1" t="n">
        <v>45596.67273148148</v>
      </c>
      <c r="C1699" s="1" t="n">
        <v>46106</v>
      </c>
      <c r="D1699" t="inlineStr">
        <is>
          <t>DALARNAS LÄN</t>
        </is>
      </c>
      <c r="E1699" t="inlineStr">
        <is>
          <t>FALUN</t>
        </is>
      </c>
      <c r="F1699" t="inlineStr">
        <is>
          <t>Bergvik skog väst AB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4887-2024</t>
        </is>
      </c>
      <c r="B1700" s="1" t="n">
        <v>45329</v>
      </c>
      <c r="C1700" s="1" t="n">
        <v>46106</v>
      </c>
      <c r="D1700" t="inlineStr">
        <is>
          <t>DALARNAS LÄN</t>
        </is>
      </c>
      <c r="E1700" t="inlineStr">
        <is>
          <t>FALUN</t>
        </is>
      </c>
      <c r="G1700" t="n">
        <v>9.699999999999999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16004-2024</t>
        </is>
      </c>
      <c r="B1701" s="1" t="n">
        <v>45405</v>
      </c>
      <c r="C1701" s="1" t="n">
        <v>46106</v>
      </c>
      <c r="D1701" t="inlineStr">
        <is>
          <t>DALARNAS LÄN</t>
        </is>
      </c>
      <c r="E1701" t="inlineStr">
        <is>
          <t>FALUN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41275-2023</t>
        </is>
      </c>
      <c r="B1702" s="1" t="n">
        <v>45174.55957175926</v>
      </c>
      <c r="C1702" s="1" t="n">
        <v>46106</v>
      </c>
      <c r="D1702" t="inlineStr">
        <is>
          <t>DALARNAS LÄN</t>
        </is>
      </c>
      <c r="E1702" t="inlineStr">
        <is>
          <t>FALUN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55908-2024</t>
        </is>
      </c>
      <c r="B1703" s="1" t="n">
        <v>45623.585625</v>
      </c>
      <c r="C1703" s="1" t="n">
        <v>46106</v>
      </c>
      <c r="D1703" t="inlineStr">
        <is>
          <t>DALARNAS LÄN</t>
        </is>
      </c>
      <c r="E1703" t="inlineStr">
        <is>
          <t>FALUN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11163-2025</t>
        </is>
      </c>
      <c r="B1704" s="1" t="n">
        <v>45723</v>
      </c>
      <c r="C1704" s="1" t="n">
        <v>46106</v>
      </c>
      <c r="D1704" t="inlineStr">
        <is>
          <t>DALARNAS LÄN</t>
        </is>
      </c>
      <c r="E1704" t="inlineStr">
        <is>
          <t>FALUN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16916-2025</t>
        </is>
      </c>
      <c r="B1705" s="1" t="n">
        <v>45755.36767361111</v>
      </c>
      <c r="C1705" s="1" t="n">
        <v>46106</v>
      </c>
      <c r="D1705" t="inlineStr">
        <is>
          <t>DALARNAS LÄN</t>
        </is>
      </c>
      <c r="E1705" t="inlineStr">
        <is>
          <t>FALUN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4057-2024</t>
        </is>
      </c>
      <c r="B1706" s="1" t="n">
        <v>45323</v>
      </c>
      <c r="C1706" s="1" t="n">
        <v>46106</v>
      </c>
      <c r="D1706" t="inlineStr">
        <is>
          <t>DALARNAS LÄN</t>
        </is>
      </c>
      <c r="E1706" t="inlineStr">
        <is>
          <t>FALUN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14242-2025</t>
        </is>
      </c>
      <c r="B1707" s="1" t="n">
        <v>45740.61185185185</v>
      </c>
      <c r="C1707" s="1" t="n">
        <v>46106</v>
      </c>
      <c r="D1707" t="inlineStr">
        <is>
          <t>DALARNAS LÄN</t>
        </is>
      </c>
      <c r="E1707" t="inlineStr">
        <is>
          <t>FALUN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40832-2024</t>
        </is>
      </c>
      <c r="B1708" s="1" t="n">
        <v>45558.56628472222</v>
      </c>
      <c r="C1708" s="1" t="n">
        <v>46106</v>
      </c>
      <c r="D1708" t="inlineStr">
        <is>
          <t>DALARNAS LÄN</t>
        </is>
      </c>
      <c r="E1708" t="inlineStr">
        <is>
          <t>FALUN</t>
        </is>
      </c>
      <c r="F1708" t="inlineStr">
        <is>
          <t>Bergvik skog väst AB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56587-2024</t>
        </is>
      </c>
      <c r="B1709" s="1" t="n">
        <v>45625.61111111111</v>
      </c>
      <c r="C1709" s="1" t="n">
        <v>46106</v>
      </c>
      <c r="D1709" t="inlineStr">
        <is>
          <t>DALARNAS LÄN</t>
        </is>
      </c>
      <c r="E1709" t="inlineStr">
        <is>
          <t>FALUN</t>
        </is>
      </c>
      <c r="F1709" t="inlineStr">
        <is>
          <t>Bergvik skog väst AB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3131-2025</t>
        </is>
      </c>
      <c r="B1710" s="1" t="n">
        <v>45678</v>
      </c>
      <c r="C1710" s="1" t="n">
        <v>46106</v>
      </c>
      <c r="D1710" t="inlineStr">
        <is>
          <t>DALARNAS LÄN</t>
        </is>
      </c>
      <c r="E1710" t="inlineStr">
        <is>
          <t>FALUN</t>
        </is>
      </c>
      <c r="G1710" t="n">
        <v>4.8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8823-2023</t>
        </is>
      </c>
      <c r="B1711" s="1" t="n">
        <v>44978.65341435185</v>
      </c>
      <c r="C1711" s="1" t="n">
        <v>46106</v>
      </c>
      <c r="D1711" t="inlineStr">
        <is>
          <t>DALARNAS LÄN</t>
        </is>
      </c>
      <c r="E1711" t="inlineStr">
        <is>
          <t>FALUN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47715-2024</t>
        </is>
      </c>
      <c r="B1712" s="1" t="n">
        <v>45588.48271990741</v>
      </c>
      <c r="C1712" s="1" t="n">
        <v>46106</v>
      </c>
      <c r="D1712" t="inlineStr">
        <is>
          <t>DALARNAS LÄN</t>
        </is>
      </c>
      <c r="E1712" t="inlineStr">
        <is>
          <t>FALUN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35943-2023</t>
        </is>
      </c>
      <c r="B1713" s="1" t="n">
        <v>45148</v>
      </c>
      <c r="C1713" s="1" t="n">
        <v>46106</v>
      </c>
      <c r="D1713" t="inlineStr">
        <is>
          <t>DALARNAS LÄN</t>
        </is>
      </c>
      <c r="E1713" t="inlineStr">
        <is>
          <t>FALUN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18308-2025</t>
        </is>
      </c>
      <c r="B1714" s="1" t="n">
        <v>45762</v>
      </c>
      <c r="C1714" s="1" t="n">
        <v>46106</v>
      </c>
      <c r="D1714" t="inlineStr">
        <is>
          <t>DALARNAS LÄN</t>
        </is>
      </c>
      <c r="E1714" t="inlineStr">
        <is>
          <t>FALUN</t>
        </is>
      </c>
      <c r="F1714" t="inlineStr">
        <is>
          <t>Bergvik skog väst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55390-2022</t>
        </is>
      </c>
      <c r="B1715" s="1" t="n">
        <v>44887.56288194445</v>
      </c>
      <c r="C1715" s="1" t="n">
        <v>46106</v>
      </c>
      <c r="D1715" t="inlineStr">
        <is>
          <t>DALARNAS LÄN</t>
        </is>
      </c>
      <c r="E1715" t="inlineStr">
        <is>
          <t>FALUN</t>
        </is>
      </c>
      <c r="G1715" t="n">
        <v>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13186-2022</t>
        </is>
      </c>
      <c r="B1716" s="1" t="n">
        <v>44644</v>
      </c>
      <c r="C1716" s="1" t="n">
        <v>46106</v>
      </c>
      <c r="D1716" t="inlineStr">
        <is>
          <t>DALARNAS LÄN</t>
        </is>
      </c>
      <c r="E1716" t="inlineStr">
        <is>
          <t>FALUN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17336-2025</t>
        </is>
      </c>
      <c r="B1717" s="1" t="n">
        <v>45756.65042824074</v>
      </c>
      <c r="C1717" s="1" t="n">
        <v>46106</v>
      </c>
      <c r="D1717" t="inlineStr">
        <is>
          <t>DALARNAS LÄN</t>
        </is>
      </c>
      <c r="E1717" t="inlineStr">
        <is>
          <t>FALUN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53864-2023</t>
        </is>
      </c>
      <c r="B1718" s="1" t="n">
        <v>45231.47888888889</v>
      </c>
      <c r="C1718" s="1" t="n">
        <v>46106</v>
      </c>
      <c r="D1718" t="inlineStr">
        <is>
          <t>DALARNAS LÄN</t>
        </is>
      </c>
      <c r="E1718" t="inlineStr">
        <is>
          <t>FALUN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18042-2025</t>
        </is>
      </c>
      <c r="B1719" s="1" t="n">
        <v>45761</v>
      </c>
      <c r="C1719" s="1" t="n">
        <v>46106</v>
      </c>
      <c r="D1719" t="inlineStr">
        <is>
          <t>DALARNAS LÄN</t>
        </is>
      </c>
      <c r="E1719" t="inlineStr">
        <is>
          <t>FALUN</t>
        </is>
      </c>
      <c r="F1719" t="inlineStr">
        <is>
          <t>Bergvik skog väst AB</t>
        </is>
      </c>
      <c r="G1719" t="n">
        <v>5.1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18051-2025</t>
        </is>
      </c>
      <c r="B1720" s="1" t="n">
        <v>45761</v>
      </c>
      <c r="C1720" s="1" t="n">
        <v>46106</v>
      </c>
      <c r="D1720" t="inlineStr">
        <is>
          <t>DALARNAS LÄN</t>
        </is>
      </c>
      <c r="E1720" t="inlineStr">
        <is>
          <t>FALUN</t>
        </is>
      </c>
      <c r="F1720" t="inlineStr">
        <is>
          <t>Bergvik skog väst AB</t>
        </is>
      </c>
      <c r="G1720" t="n">
        <v>5.1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41928-2024</t>
        </is>
      </c>
      <c r="B1721" s="1" t="n">
        <v>45561.56046296296</v>
      </c>
      <c r="C1721" s="1" t="n">
        <v>46106</v>
      </c>
      <c r="D1721" t="inlineStr">
        <is>
          <t>DALARNAS LÄN</t>
        </is>
      </c>
      <c r="E1721" t="inlineStr">
        <is>
          <t>FALUN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40287-2024</t>
        </is>
      </c>
      <c r="B1722" s="1" t="n">
        <v>45554.67652777778</v>
      </c>
      <c r="C1722" s="1" t="n">
        <v>46106</v>
      </c>
      <c r="D1722" t="inlineStr">
        <is>
          <t>DALARNAS LÄN</t>
        </is>
      </c>
      <c r="E1722" t="inlineStr">
        <is>
          <t>FALUN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43238-2024</t>
        </is>
      </c>
      <c r="B1723" s="1" t="n">
        <v>45567.94900462963</v>
      </c>
      <c r="C1723" s="1" t="n">
        <v>46106</v>
      </c>
      <c r="D1723" t="inlineStr">
        <is>
          <t>DALARNAS LÄN</t>
        </is>
      </c>
      <c r="E1723" t="inlineStr">
        <is>
          <t>FALUN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35063-2022</t>
        </is>
      </c>
      <c r="B1724" s="1" t="n">
        <v>44797</v>
      </c>
      <c r="C1724" s="1" t="n">
        <v>46106</v>
      </c>
      <c r="D1724" t="inlineStr">
        <is>
          <t>DALARNAS LÄN</t>
        </is>
      </c>
      <c r="E1724" t="inlineStr">
        <is>
          <t>FALUN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37300-2021</t>
        </is>
      </c>
      <c r="B1725" s="1" t="n">
        <v>44397</v>
      </c>
      <c r="C1725" s="1" t="n">
        <v>46106</v>
      </c>
      <c r="D1725" t="inlineStr">
        <is>
          <t>DALARNAS LÄN</t>
        </is>
      </c>
      <c r="E1725" t="inlineStr">
        <is>
          <t>FALUN</t>
        </is>
      </c>
      <c r="G1725" t="n">
        <v>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40635-2022</t>
        </is>
      </c>
      <c r="B1726" s="1" t="n">
        <v>44824</v>
      </c>
      <c r="C1726" s="1" t="n">
        <v>46106</v>
      </c>
      <c r="D1726" t="inlineStr">
        <is>
          <t>DALARNAS LÄN</t>
        </is>
      </c>
      <c r="E1726" t="inlineStr">
        <is>
          <t>FALUN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42455-2022</t>
        </is>
      </c>
      <c r="B1727" s="1" t="n">
        <v>44831.49181712963</v>
      </c>
      <c r="C1727" s="1" t="n">
        <v>46106</v>
      </c>
      <c r="D1727" t="inlineStr">
        <is>
          <t>DALARNAS LÄN</t>
        </is>
      </c>
      <c r="E1727" t="inlineStr">
        <is>
          <t>FALUN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44588-2023</t>
        </is>
      </c>
      <c r="B1728" s="1" t="n">
        <v>45189</v>
      </c>
      <c r="C1728" s="1" t="n">
        <v>46106</v>
      </c>
      <c r="D1728" t="inlineStr">
        <is>
          <t>DALARNAS LÄN</t>
        </is>
      </c>
      <c r="E1728" t="inlineStr">
        <is>
          <t>FALUN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44593-2023</t>
        </is>
      </c>
      <c r="B1729" s="1" t="n">
        <v>45189</v>
      </c>
      <c r="C1729" s="1" t="n">
        <v>46106</v>
      </c>
      <c r="D1729" t="inlineStr">
        <is>
          <t>DALARNAS LÄN</t>
        </is>
      </c>
      <c r="E1729" t="inlineStr">
        <is>
          <t>FALUN</t>
        </is>
      </c>
      <c r="G1729" t="n">
        <v>0.2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19426-2025</t>
        </is>
      </c>
      <c r="B1730" s="1" t="n">
        <v>45769.77425925926</v>
      </c>
      <c r="C1730" s="1" t="n">
        <v>46106</v>
      </c>
      <c r="D1730" t="inlineStr">
        <is>
          <t>DALARNAS LÄN</t>
        </is>
      </c>
      <c r="E1730" t="inlineStr">
        <is>
          <t>FALUN</t>
        </is>
      </c>
      <c r="G1730" t="n">
        <v>0.1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56626-2024</t>
        </is>
      </c>
      <c r="B1731" s="1" t="n">
        <v>45625.66725694444</v>
      </c>
      <c r="C1731" s="1" t="n">
        <v>46106</v>
      </c>
      <c r="D1731" t="inlineStr">
        <is>
          <t>DALARNAS LÄN</t>
        </is>
      </c>
      <c r="E1731" t="inlineStr">
        <is>
          <t>FALUN</t>
        </is>
      </c>
      <c r="G1731" t="n">
        <v>14.1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5973-2024</t>
        </is>
      </c>
      <c r="B1732" s="1" t="n">
        <v>45336</v>
      </c>
      <c r="C1732" s="1" t="n">
        <v>46106</v>
      </c>
      <c r="D1732" t="inlineStr">
        <is>
          <t>DALARNAS LÄN</t>
        </is>
      </c>
      <c r="E1732" t="inlineStr">
        <is>
          <t>FALUN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3360-2023</t>
        </is>
      </c>
      <c r="B1733" s="1" t="n">
        <v>44949</v>
      </c>
      <c r="C1733" s="1" t="n">
        <v>46106</v>
      </c>
      <c r="D1733" t="inlineStr">
        <is>
          <t>DALARNAS LÄN</t>
        </is>
      </c>
      <c r="E1733" t="inlineStr">
        <is>
          <t>FALUN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44590-2023</t>
        </is>
      </c>
      <c r="B1734" s="1" t="n">
        <v>45189</v>
      </c>
      <c r="C1734" s="1" t="n">
        <v>46106</v>
      </c>
      <c r="D1734" t="inlineStr">
        <is>
          <t>DALARNAS LÄN</t>
        </is>
      </c>
      <c r="E1734" t="inlineStr">
        <is>
          <t>FALUN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29508-2024</t>
        </is>
      </c>
      <c r="B1735" s="1" t="n">
        <v>45484.42530092593</v>
      </c>
      <c r="C1735" s="1" t="n">
        <v>46106</v>
      </c>
      <c r="D1735" t="inlineStr">
        <is>
          <t>DALARNAS LÄN</t>
        </is>
      </c>
      <c r="E1735" t="inlineStr">
        <is>
          <t>FALUN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52634-2024</t>
        </is>
      </c>
      <c r="B1736" s="1" t="n">
        <v>45610.31482638889</v>
      </c>
      <c r="C1736" s="1" t="n">
        <v>46106</v>
      </c>
      <c r="D1736" t="inlineStr">
        <is>
          <t>DALARNAS LÄN</t>
        </is>
      </c>
      <c r="E1736" t="inlineStr">
        <is>
          <t>FALUN</t>
        </is>
      </c>
      <c r="F1736" t="inlineStr">
        <is>
          <t>Bergvik skog väst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59319-2024</t>
        </is>
      </c>
      <c r="B1737" s="1" t="n">
        <v>45637.70347222222</v>
      </c>
      <c r="C1737" s="1" t="n">
        <v>46106</v>
      </c>
      <c r="D1737" t="inlineStr">
        <is>
          <t>DALARNAS LÄN</t>
        </is>
      </c>
      <c r="E1737" t="inlineStr">
        <is>
          <t>FALUN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7814-2025</t>
        </is>
      </c>
      <c r="B1738" s="1" t="n">
        <v>45706</v>
      </c>
      <c r="C1738" s="1" t="n">
        <v>46106</v>
      </c>
      <c r="D1738" t="inlineStr">
        <is>
          <t>DALARNAS LÄN</t>
        </is>
      </c>
      <c r="E1738" t="inlineStr">
        <is>
          <t>FALUN</t>
        </is>
      </c>
      <c r="F1738" t="inlineStr">
        <is>
          <t>Övriga statliga verk och myndigheter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61397-2024</t>
        </is>
      </c>
      <c r="B1739" s="1" t="n">
        <v>45646.42331018519</v>
      </c>
      <c r="C1739" s="1" t="n">
        <v>46106</v>
      </c>
      <c r="D1739" t="inlineStr">
        <is>
          <t>DALARNAS LÄN</t>
        </is>
      </c>
      <c r="E1739" t="inlineStr">
        <is>
          <t>FALUN</t>
        </is>
      </c>
      <c r="F1739" t="inlineStr">
        <is>
          <t>Bergvik skog väst AB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4928-2024</t>
        </is>
      </c>
      <c r="B1740" s="1" t="n">
        <v>45329.50412037037</v>
      </c>
      <c r="C1740" s="1" t="n">
        <v>46106</v>
      </c>
      <c r="D1740" t="inlineStr">
        <is>
          <t>DALARNAS LÄN</t>
        </is>
      </c>
      <c r="E1740" t="inlineStr">
        <is>
          <t>FALUN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33972-2023</t>
        </is>
      </c>
      <c r="B1741" s="1" t="n">
        <v>45134</v>
      </c>
      <c r="C1741" s="1" t="n">
        <v>46106</v>
      </c>
      <c r="D1741" t="inlineStr">
        <is>
          <t>DALARNAS LÄN</t>
        </is>
      </c>
      <c r="E1741" t="inlineStr">
        <is>
          <t>FALUN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15119-2025</t>
        </is>
      </c>
      <c r="B1742" s="1" t="n">
        <v>45744.30858796297</v>
      </c>
      <c r="C1742" s="1" t="n">
        <v>46106</v>
      </c>
      <c r="D1742" t="inlineStr">
        <is>
          <t>DALARNAS LÄN</t>
        </is>
      </c>
      <c r="E1742" t="inlineStr">
        <is>
          <t>FALUN</t>
        </is>
      </c>
      <c r="G1742" t="n">
        <v>7.6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1758-2024</t>
        </is>
      </c>
      <c r="B1743" s="1" t="n">
        <v>45307.47775462963</v>
      </c>
      <c r="C1743" s="1" t="n">
        <v>46106</v>
      </c>
      <c r="D1743" t="inlineStr">
        <is>
          <t>DALARNAS LÄN</t>
        </is>
      </c>
      <c r="E1743" t="inlineStr">
        <is>
          <t>FALUN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17883-2025</t>
        </is>
      </c>
      <c r="B1744" s="1" t="n">
        <v>45758.65826388889</v>
      </c>
      <c r="C1744" s="1" t="n">
        <v>46106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41611-2024</t>
        </is>
      </c>
      <c r="B1745" s="1" t="n">
        <v>45560.59398148148</v>
      </c>
      <c r="C1745" s="1" t="n">
        <v>46106</v>
      </c>
      <c r="D1745" t="inlineStr">
        <is>
          <t>DALARNAS LÄN</t>
        </is>
      </c>
      <c r="E1745" t="inlineStr">
        <is>
          <t>FALUN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50757-2024</t>
        </is>
      </c>
      <c r="B1746" s="1" t="n">
        <v>45602.4308912037</v>
      </c>
      <c r="C1746" s="1" t="n">
        <v>46106</v>
      </c>
      <c r="D1746" t="inlineStr">
        <is>
          <t>DALARNAS LÄN</t>
        </is>
      </c>
      <c r="E1746" t="inlineStr">
        <is>
          <t>FALUN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28773-2021</t>
        </is>
      </c>
      <c r="B1747" s="1" t="n">
        <v>44357</v>
      </c>
      <c r="C1747" s="1" t="n">
        <v>46106</v>
      </c>
      <c r="D1747" t="inlineStr">
        <is>
          <t>DALARNAS LÄN</t>
        </is>
      </c>
      <c r="E1747" t="inlineStr">
        <is>
          <t>FALUN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44315-2023</t>
        </is>
      </c>
      <c r="B1748" s="1" t="n">
        <v>45188</v>
      </c>
      <c r="C1748" s="1" t="n">
        <v>46106</v>
      </c>
      <c r="D1748" t="inlineStr">
        <is>
          <t>DALARNAS LÄN</t>
        </is>
      </c>
      <c r="E1748" t="inlineStr">
        <is>
          <t>FALUN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36212-2024</t>
        </is>
      </c>
      <c r="B1749" s="1" t="n">
        <v>45534.461875</v>
      </c>
      <c r="C1749" s="1" t="n">
        <v>46106</v>
      </c>
      <c r="D1749" t="inlineStr">
        <is>
          <t>DALARNAS LÄN</t>
        </is>
      </c>
      <c r="E1749" t="inlineStr">
        <is>
          <t>FALUN</t>
        </is>
      </c>
      <c r="F1749" t="inlineStr">
        <is>
          <t>Bergvik skog väst AB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11897-2023</t>
        </is>
      </c>
      <c r="B1750" s="1" t="n">
        <v>44995.44731481482</v>
      </c>
      <c r="C1750" s="1" t="n">
        <v>46106</v>
      </c>
      <c r="D1750" t="inlineStr">
        <is>
          <t>DALARNAS LÄN</t>
        </is>
      </c>
      <c r="E1750" t="inlineStr">
        <is>
          <t>FALUN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1596-2025</t>
        </is>
      </c>
      <c r="B1751" s="1" t="n">
        <v>45670.58552083333</v>
      </c>
      <c r="C1751" s="1" t="n">
        <v>46106</v>
      </c>
      <c r="D1751" t="inlineStr">
        <is>
          <t>DALARNAS LÄN</t>
        </is>
      </c>
      <c r="E1751" t="inlineStr">
        <is>
          <t>FALUN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14465-2025</t>
        </is>
      </c>
      <c r="B1752" s="1" t="n">
        <v>45741.57155092592</v>
      </c>
      <c r="C1752" s="1" t="n">
        <v>46106</v>
      </c>
      <c r="D1752" t="inlineStr">
        <is>
          <t>DALARNAS LÄN</t>
        </is>
      </c>
      <c r="E1752" t="inlineStr">
        <is>
          <t>FALUN</t>
        </is>
      </c>
      <c r="F1752" t="inlineStr">
        <is>
          <t>Bergvik skog väst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13370-2025</t>
        </is>
      </c>
      <c r="B1753" s="1" t="n">
        <v>45735.66260416667</v>
      </c>
      <c r="C1753" s="1" t="n">
        <v>46106</v>
      </c>
      <c r="D1753" t="inlineStr">
        <is>
          <t>DALARNAS LÄN</t>
        </is>
      </c>
      <c r="E1753" t="inlineStr">
        <is>
          <t>FALUN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22843-2022</t>
        </is>
      </c>
      <c r="B1754" s="1" t="n">
        <v>44715.45881944444</v>
      </c>
      <c r="C1754" s="1" t="n">
        <v>46106</v>
      </c>
      <c r="D1754" t="inlineStr">
        <is>
          <t>DALARNAS LÄN</t>
        </is>
      </c>
      <c r="E1754" t="inlineStr">
        <is>
          <t>FALUN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19860-2025</t>
        </is>
      </c>
      <c r="B1755" s="1" t="n">
        <v>45771.53363425926</v>
      </c>
      <c r="C1755" s="1" t="n">
        <v>46106</v>
      </c>
      <c r="D1755" t="inlineStr">
        <is>
          <t>DALARNAS LÄN</t>
        </is>
      </c>
      <c r="E1755" t="inlineStr">
        <is>
          <t>FALUN</t>
        </is>
      </c>
      <c r="F1755" t="inlineStr">
        <is>
          <t>Bergvik skog väst AB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19895-2025</t>
        </is>
      </c>
      <c r="B1756" s="1" t="n">
        <v>45771.58298611111</v>
      </c>
      <c r="C1756" s="1" t="n">
        <v>46106</v>
      </c>
      <c r="D1756" t="inlineStr">
        <is>
          <t>DALARNAS LÄN</t>
        </is>
      </c>
      <c r="E1756" t="inlineStr">
        <is>
          <t>FALUN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56768-2024</t>
        </is>
      </c>
      <c r="B1757" s="1" t="n">
        <v>45628.4153125</v>
      </c>
      <c r="C1757" s="1" t="n">
        <v>46106</v>
      </c>
      <c r="D1757" t="inlineStr">
        <is>
          <t>DALARNAS LÄN</t>
        </is>
      </c>
      <c r="E1757" t="inlineStr">
        <is>
          <t>FALUN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1010-2023</t>
        </is>
      </c>
      <c r="B1758" s="1" t="n">
        <v>44935</v>
      </c>
      <c r="C1758" s="1" t="n">
        <v>46106</v>
      </c>
      <c r="D1758" t="inlineStr">
        <is>
          <t>DALARNAS LÄN</t>
        </is>
      </c>
      <c r="E1758" t="inlineStr">
        <is>
          <t>FALUN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13220-2025</t>
        </is>
      </c>
      <c r="B1759" s="1" t="n">
        <v>45735.45020833334</v>
      </c>
      <c r="C1759" s="1" t="n">
        <v>46106</v>
      </c>
      <c r="D1759" t="inlineStr">
        <is>
          <t>DALARNAS LÄN</t>
        </is>
      </c>
      <c r="E1759" t="inlineStr">
        <is>
          <t>FALUN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42765-2024</t>
        </is>
      </c>
      <c r="B1760" s="1" t="n">
        <v>45566.50581018518</v>
      </c>
      <c r="C1760" s="1" t="n">
        <v>46106</v>
      </c>
      <c r="D1760" t="inlineStr">
        <is>
          <t>DALARNAS LÄN</t>
        </is>
      </c>
      <c r="E1760" t="inlineStr">
        <is>
          <t>FALUN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14484-2024</t>
        </is>
      </c>
      <c r="B1761" s="1" t="n">
        <v>45394.57233796296</v>
      </c>
      <c r="C1761" s="1" t="n">
        <v>46106</v>
      </c>
      <c r="D1761" t="inlineStr">
        <is>
          <t>DALARNAS LÄN</t>
        </is>
      </c>
      <c r="E1761" t="inlineStr">
        <is>
          <t>FALUN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50241-2024</t>
        </is>
      </c>
      <c r="B1762" s="1" t="n">
        <v>45600.56348379629</v>
      </c>
      <c r="C1762" s="1" t="n">
        <v>46106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54909-2024</t>
        </is>
      </c>
      <c r="B1763" s="1" t="n">
        <v>45618.68392361111</v>
      </c>
      <c r="C1763" s="1" t="n">
        <v>46106</v>
      </c>
      <c r="D1763" t="inlineStr">
        <is>
          <t>DALARNAS LÄN</t>
        </is>
      </c>
      <c r="E1763" t="inlineStr">
        <is>
          <t>FALUN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22663-2023</t>
        </is>
      </c>
      <c r="B1764" s="1" t="n">
        <v>45071.62336805555</v>
      </c>
      <c r="C1764" s="1" t="n">
        <v>46106</v>
      </c>
      <c r="D1764" t="inlineStr">
        <is>
          <t>DALARNAS LÄN</t>
        </is>
      </c>
      <c r="E1764" t="inlineStr">
        <is>
          <t>FALUN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20954-2025</t>
        </is>
      </c>
      <c r="B1765" s="1" t="n">
        <v>45777.44325231481</v>
      </c>
      <c r="C1765" s="1" t="n">
        <v>46106</v>
      </c>
      <c r="D1765" t="inlineStr">
        <is>
          <t>DALARNAS LÄN</t>
        </is>
      </c>
      <c r="E1765" t="inlineStr">
        <is>
          <t>FALUN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20680-2025</t>
        </is>
      </c>
      <c r="B1766" s="1" t="n">
        <v>45776.44912037037</v>
      </c>
      <c r="C1766" s="1" t="n">
        <v>46106</v>
      </c>
      <c r="D1766" t="inlineStr">
        <is>
          <t>DALARNAS LÄN</t>
        </is>
      </c>
      <c r="E1766" t="inlineStr">
        <is>
          <t>FALUN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20684-2025</t>
        </is>
      </c>
      <c r="B1767" s="1" t="n">
        <v>45776.45123842593</v>
      </c>
      <c r="C1767" s="1" t="n">
        <v>46106</v>
      </c>
      <c r="D1767" t="inlineStr">
        <is>
          <t>DALARNAS LÄN</t>
        </is>
      </c>
      <c r="E1767" t="inlineStr">
        <is>
          <t>FALUN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20792-2025</t>
        </is>
      </c>
      <c r="B1768" s="1" t="n">
        <v>45776.63219907408</v>
      </c>
      <c r="C1768" s="1" t="n">
        <v>46106</v>
      </c>
      <c r="D1768" t="inlineStr">
        <is>
          <t>DALARNAS LÄN</t>
        </is>
      </c>
      <c r="E1768" t="inlineStr">
        <is>
          <t>FALUN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20982-2025</t>
        </is>
      </c>
      <c r="B1769" s="1" t="n">
        <v>45777</v>
      </c>
      <c r="C1769" s="1" t="n">
        <v>46106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7.1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44183-2024</t>
        </is>
      </c>
      <c r="B1770" s="1" t="n">
        <v>45572.89640046296</v>
      </c>
      <c r="C1770" s="1" t="n">
        <v>46106</v>
      </c>
      <c r="D1770" t="inlineStr">
        <is>
          <t>DALARNAS LÄN</t>
        </is>
      </c>
      <c r="E1770" t="inlineStr">
        <is>
          <t>FALUN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21649-2025</t>
        </is>
      </c>
      <c r="B1771" s="1" t="n">
        <v>45783.43987268519</v>
      </c>
      <c r="C1771" s="1" t="n">
        <v>46106</v>
      </c>
      <c r="D1771" t="inlineStr">
        <is>
          <t>DALARNAS LÄN</t>
        </is>
      </c>
      <c r="E1771" t="inlineStr">
        <is>
          <t>FALUN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29880-2024</t>
        </is>
      </c>
      <c r="B1772" s="1" t="n">
        <v>45486.57902777778</v>
      </c>
      <c r="C1772" s="1" t="n">
        <v>46106</v>
      </c>
      <c r="D1772" t="inlineStr">
        <is>
          <t>DALARNAS LÄN</t>
        </is>
      </c>
      <c r="E1772" t="inlineStr">
        <is>
          <t>FALUN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26773-2024</t>
        </is>
      </c>
      <c r="B1773" s="1" t="n">
        <v>45470.47591435185</v>
      </c>
      <c r="C1773" s="1" t="n">
        <v>46106</v>
      </c>
      <c r="D1773" t="inlineStr">
        <is>
          <t>DALARNAS LÄN</t>
        </is>
      </c>
      <c r="E1773" t="inlineStr">
        <is>
          <t>FALUN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43755-2023</t>
        </is>
      </c>
      <c r="B1774" s="1" t="n">
        <v>45187</v>
      </c>
      <c r="C1774" s="1" t="n">
        <v>46106</v>
      </c>
      <c r="D1774" t="inlineStr">
        <is>
          <t>DALARNAS LÄN</t>
        </is>
      </c>
      <c r="E1774" t="inlineStr">
        <is>
          <t>FALUN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6936-2024</t>
        </is>
      </c>
      <c r="B1775" s="1" t="n">
        <v>45343</v>
      </c>
      <c r="C1775" s="1" t="n">
        <v>46106</v>
      </c>
      <c r="D1775" t="inlineStr">
        <is>
          <t>DALARNAS LÄN</t>
        </is>
      </c>
      <c r="E1775" t="inlineStr">
        <is>
          <t>FALUN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24625-2024</t>
        </is>
      </c>
      <c r="B1776" s="1" t="n">
        <v>45460.50371527778</v>
      </c>
      <c r="C1776" s="1" t="n">
        <v>46106</v>
      </c>
      <c r="D1776" t="inlineStr">
        <is>
          <t>DALARNAS LÄN</t>
        </is>
      </c>
      <c r="E1776" t="inlineStr">
        <is>
          <t>FALUN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28123-2024</t>
        </is>
      </c>
      <c r="B1777" s="1" t="n">
        <v>45476</v>
      </c>
      <c r="C1777" s="1" t="n">
        <v>46106</v>
      </c>
      <c r="D1777" t="inlineStr">
        <is>
          <t>DALARNAS LÄN</t>
        </is>
      </c>
      <c r="E1777" t="inlineStr">
        <is>
          <t>FALUN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28724-2024</t>
        </is>
      </c>
      <c r="B1778" s="1" t="n">
        <v>45478.55324074074</v>
      </c>
      <c r="C1778" s="1" t="n">
        <v>46106</v>
      </c>
      <c r="D1778" t="inlineStr">
        <is>
          <t>DALARNAS LÄN</t>
        </is>
      </c>
      <c r="E1778" t="inlineStr">
        <is>
          <t>FALUN</t>
        </is>
      </c>
      <c r="G1778" t="n">
        <v>5.1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15790-2024</t>
        </is>
      </c>
      <c r="B1779" s="1" t="n">
        <v>45404.62193287037</v>
      </c>
      <c r="C1779" s="1" t="n">
        <v>46106</v>
      </c>
      <c r="D1779" t="inlineStr">
        <is>
          <t>DALARNAS LÄN</t>
        </is>
      </c>
      <c r="E1779" t="inlineStr">
        <is>
          <t>FALUN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22097-2025</t>
        </is>
      </c>
      <c r="B1780" s="1" t="n">
        <v>45785</v>
      </c>
      <c r="C1780" s="1" t="n">
        <v>46106</v>
      </c>
      <c r="D1780" t="inlineStr">
        <is>
          <t>DALARNAS LÄN</t>
        </is>
      </c>
      <c r="E1780" t="inlineStr">
        <is>
          <t>FALUN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22321-2024</t>
        </is>
      </c>
      <c r="B1781" s="1" t="n">
        <v>45446.57864583333</v>
      </c>
      <c r="C1781" s="1" t="n">
        <v>46106</v>
      </c>
      <c r="D1781" t="inlineStr">
        <is>
          <t>DALARNAS LÄN</t>
        </is>
      </c>
      <c r="E1781" t="inlineStr">
        <is>
          <t>FALUN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13118-2024</t>
        </is>
      </c>
      <c r="B1782" s="1" t="n">
        <v>45385.80540509259</v>
      </c>
      <c r="C1782" s="1" t="n">
        <v>46106</v>
      </c>
      <c r="D1782" t="inlineStr">
        <is>
          <t>DALARNAS LÄN</t>
        </is>
      </c>
      <c r="E1782" t="inlineStr">
        <is>
          <t>FALUN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11109-2024</t>
        </is>
      </c>
      <c r="B1783" s="1" t="n">
        <v>45371.36216435185</v>
      </c>
      <c r="C1783" s="1" t="n">
        <v>46106</v>
      </c>
      <c r="D1783" t="inlineStr">
        <is>
          <t>DALARNAS LÄN</t>
        </is>
      </c>
      <c r="E1783" t="inlineStr">
        <is>
          <t>FALUN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42680-2023</t>
        </is>
      </c>
      <c r="B1784" s="1" t="n">
        <v>45181.57961805556</v>
      </c>
      <c r="C1784" s="1" t="n">
        <v>46106</v>
      </c>
      <c r="D1784" t="inlineStr">
        <is>
          <t>DALARNAS LÄN</t>
        </is>
      </c>
      <c r="E1784" t="inlineStr">
        <is>
          <t>FALUN</t>
        </is>
      </c>
      <c r="G1784" t="n">
        <v>7.1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35894-2024</t>
        </is>
      </c>
      <c r="B1785" s="1" t="n">
        <v>45533.38748842593</v>
      </c>
      <c r="C1785" s="1" t="n">
        <v>46106</v>
      </c>
      <c r="D1785" t="inlineStr">
        <is>
          <t>DALARNAS LÄN</t>
        </is>
      </c>
      <c r="E1785" t="inlineStr">
        <is>
          <t>FALUN</t>
        </is>
      </c>
      <c r="G1785" t="n">
        <v>8.800000000000001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35530-2024</t>
        </is>
      </c>
      <c r="B1786" s="1" t="n">
        <v>45531.58420138889</v>
      </c>
      <c r="C1786" s="1" t="n">
        <v>46106</v>
      </c>
      <c r="D1786" t="inlineStr">
        <is>
          <t>DALARNAS LÄN</t>
        </is>
      </c>
      <c r="E1786" t="inlineStr">
        <is>
          <t>FALUN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5818-2024</t>
        </is>
      </c>
      <c r="B1787" s="1" t="n">
        <v>45335.54880787037</v>
      </c>
      <c r="C1787" s="1" t="n">
        <v>46106</v>
      </c>
      <c r="D1787" t="inlineStr">
        <is>
          <t>DALARNAS LÄN</t>
        </is>
      </c>
      <c r="E1787" t="inlineStr">
        <is>
          <t>FALUN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7902-2024</t>
        </is>
      </c>
      <c r="B1788" s="1" t="n">
        <v>45350</v>
      </c>
      <c r="C1788" s="1" t="n">
        <v>46106</v>
      </c>
      <c r="D1788" t="inlineStr">
        <is>
          <t>DALARNAS LÄN</t>
        </is>
      </c>
      <c r="E1788" t="inlineStr">
        <is>
          <t>FALUN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5169-2024</t>
        </is>
      </c>
      <c r="B1789" s="1" t="n">
        <v>45330</v>
      </c>
      <c r="C1789" s="1" t="n">
        <v>46106</v>
      </c>
      <c r="D1789" t="inlineStr">
        <is>
          <t>DALARNAS LÄN</t>
        </is>
      </c>
      <c r="E1789" t="inlineStr">
        <is>
          <t>FALUN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35890-2024</t>
        </is>
      </c>
      <c r="B1790" s="1" t="n">
        <v>45533.36881944445</v>
      </c>
      <c r="C1790" s="1" t="n">
        <v>46106</v>
      </c>
      <c r="D1790" t="inlineStr">
        <is>
          <t>DALARNAS LÄN</t>
        </is>
      </c>
      <c r="E1790" t="inlineStr">
        <is>
          <t>FALUN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50512-2024</t>
        </is>
      </c>
      <c r="B1791" s="1" t="n">
        <v>45601.54574074074</v>
      </c>
      <c r="C1791" s="1" t="n">
        <v>46106</v>
      </c>
      <c r="D1791" t="inlineStr">
        <is>
          <t>DALARNAS LÄN</t>
        </is>
      </c>
      <c r="E1791" t="inlineStr">
        <is>
          <t>FALUN</t>
        </is>
      </c>
      <c r="F1791" t="inlineStr">
        <is>
          <t>Bergvik skog väst AB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38216-2024</t>
        </is>
      </c>
      <c r="B1792" s="1" t="n">
        <v>45545.52954861111</v>
      </c>
      <c r="C1792" s="1" t="n">
        <v>46106</v>
      </c>
      <c r="D1792" t="inlineStr">
        <is>
          <t>DALARNAS LÄN</t>
        </is>
      </c>
      <c r="E1792" t="inlineStr">
        <is>
          <t>FALUN</t>
        </is>
      </c>
      <c r="F1792" t="inlineStr">
        <is>
          <t>Bergvik skog väst AB</t>
        </is>
      </c>
      <c r="G1792" t="n">
        <v>9.699999999999999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23275-2025</t>
        </is>
      </c>
      <c r="B1793" s="1" t="n">
        <v>45791.56590277778</v>
      </c>
      <c r="C1793" s="1" t="n">
        <v>46106</v>
      </c>
      <c r="D1793" t="inlineStr">
        <is>
          <t>DALARNAS LÄN</t>
        </is>
      </c>
      <c r="E1793" t="inlineStr">
        <is>
          <t>FALUN</t>
        </is>
      </c>
      <c r="F1793" t="inlineStr">
        <is>
          <t>Bergvik skog väst AB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23250-2025</t>
        </is>
      </c>
      <c r="B1794" s="1" t="n">
        <v>45791.53006944444</v>
      </c>
      <c r="C1794" s="1" t="n">
        <v>46106</v>
      </c>
      <c r="D1794" t="inlineStr">
        <is>
          <t>DALARNAS LÄN</t>
        </is>
      </c>
      <c r="E1794" t="inlineStr">
        <is>
          <t>FALUN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23127-2025</t>
        </is>
      </c>
      <c r="B1795" s="1" t="n">
        <v>45791.38554398148</v>
      </c>
      <c r="C1795" s="1" t="n">
        <v>46106</v>
      </c>
      <c r="D1795" t="inlineStr">
        <is>
          <t>DALARNAS LÄN</t>
        </is>
      </c>
      <c r="E1795" t="inlineStr">
        <is>
          <t>FALUN</t>
        </is>
      </c>
      <c r="F1795" t="inlineStr">
        <is>
          <t>Bergvik skog väst AB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22782-2024</t>
        </is>
      </c>
      <c r="B1796" s="1" t="n">
        <v>45448.47833333333</v>
      </c>
      <c r="C1796" s="1" t="n">
        <v>46106</v>
      </c>
      <c r="D1796" t="inlineStr">
        <is>
          <t>DALARNAS LÄN</t>
        </is>
      </c>
      <c r="E1796" t="inlineStr">
        <is>
          <t>FALUN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36397-2024</t>
        </is>
      </c>
      <c r="B1797" s="1" t="n">
        <v>45535</v>
      </c>
      <c r="C1797" s="1" t="n">
        <v>46106</v>
      </c>
      <c r="D1797" t="inlineStr">
        <is>
          <t>DALARNAS LÄN</t>
        </is>
      </c>
      <c r="E1797" t="inlineStr">
        <is>
          <t>FALUN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35070-2024</t>
        </is>
      </c>
      <c r="B1798" s="1" t="n">
        <v>45527.66319444445</v>
      </c>
      <c r="C1798" s="1" t="n">
        <v>46106</v>
      </c>
      <c r="D1798" t="inlineStr">
        <is>
          <t>DALARNAS LÄN</t>
        </is>
      </c>
      <c r="E1798" t="inlineStr">
        <is>
          <t>FALUN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26883-2022</t>
        </is>
      </c>
      <c r="B1799" s="1" t="n">
        <v>44740.55820601852</v>
      </c>
      <c r="C1799" s="1" t="n">
        <v>46106</v>
      </c>
      <c r="D1799" t="inlineStr">
        <is>
          <t>DALARNAS LÄN</t>
        </is>
      </c>
      <c r="E1799" t="inlineStr">
        <is>
          <t>FALUN</t>
        </is>
      </c>
      <c r="F1799" t="inlineStr">
        <is>
          <t>Bergvik skog väst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23464-2025</t>
        </is>
      </c>
      <c r="B1800" s="1" t="n">
        <v>45792.43063657408</v>
      </c>
      <c r="C1800" s="1" t="n">
        <v>46106</v>
      </c>
      <c r="D1800" t="inlineStr">
        <is>
          <t>DALARNAS LÄN</t>
        </is>
      </c>
      <c r="E1800" t="inlineStr">
        <is>
          <t>FALUN</t>
        </is>
      </c>
      <c r="F1800" t="inlineStr">
        <is>
          <t>Bergvik skog väst AB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23711-2025</t>
        </is>
      </c>
      <c r="B1801" s="1" t="n">
        <v>45793.38363425926</v>
      </c>
      <c r="C1801" s="1" t="n">
        <v>46106</v>
      </c>
      <c r="D1801" t="inlineStr">
        <is>
          <t>DALARNAS LÄN</t>
        </is>
      </c>
      <c r="E1801" t="inlineStr">
        <is>
          <t>FALUN</t>
        </is>
      </c>
      <c r="G1801" t="n">
        <v>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51130-2024</t>
        </is>
      </c>
      <c r="B1802" s="1" t="n">
        <v>45603.53090277778</v>
      </c>
      <c r="C1802" s="1" t="n">
        <v>46106</v>
      </c>
      <c r="D1802" t="inlineStr">
        <is>
          <t>DALARNAS LÄN</t>
        </is>
      </c>
      <c r="E1802" t="inlineStr">
        <is>
          <t>FALUN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23512-2025</t>
        </is>
      </c>
      <c r="B1803" s="1" t="n">
        <v>45792</v>
      </c>
      <c r="C1803" s="1" t="n">
        <v>46106</v>
      </c>
      <c r="D1803" t="inlineStr">
        <is>
          <t>DALARNAS LÄN</t>
        </is>
      </c>
      <c r="E1803" t="inlineStr">
        <is>
          <t>FALUN</t>
        </is>
      </c>
      <c r="F1803" t="inlineStr">
        <is>
          <t>Bergvik skog väst AB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36308-2024</t>
        </is>
      </c>
      <c r="B1804" s="1" t="n">
        <v>45534.61678240741</v>
      </c>
      <c r="C1804" s="1" t="n">
        <v>46106</v>
      </c>
      <c r="D1804" t="inlineStr">
        <is>
          <t>DALARNAS LÄN</t>
        </is>
      </c>
      <c r="E1804" t="inlineStr">
        <is>
          <t>FALUN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35437-2024</t>
        </is>
      </c>
      <c r="B1805" s="1" t="n">
        <v>45531.42296296296</v>
      </c>
      <c r="C1805" s="1" t="n">
        <v>46106</v>
      </c>
      <c r="D1805" t="inlineStr">
        <is>
          <t>DALARNAS LÄN</t>
        </is>
      </c>
      <c r="E1805" t="inlineStr">
        <is>
          <t>FALUN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24012-2025</t>
        </is>
      </c>
      <c r="B1806" s="1" t="n">
        <v>45796.44629629629</v>
      </c>
      <c r="C1806" s="1" t="n">
        <v>46106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38.3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58623-2024</t>
        </is>
      </c>
      <c r="B1807" s="1" t="n">
        <v>45635</v>
      </c>
      <c r="C1807" s="1" t="n">
        <v>46106</v>
      </c>
      <c r="D1807" t="inlineStr">
        <is>
          <t>DALARNAS LÄN</t>
        </is>
      </c>
      <c r="E1807" t="inlineStr">
        <is>
          <t>FALUN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24202-2025</t>
        </is>
      </c>
      <c r="B1808" s="1" t="n">
        <v>45797</v>
      </c>
      <c r="C1808" s="1" t="n">
        <v>46106</v>
      </c>
      <c r="D1808" t="inlineStr">
        <is>
          <t>DALARNAS LÄN</t>
        </is>
      </c>
      <c r="E1808" t="inlineStr">
        <is>
          <t>FALUN</t>
        </is>
      </c>
      <c r="F1808" t="inlineStr">
        <is>
          <t>Bergvik skog väst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61877-2024</t>
        </is>
      </c>
      <c r="B1809" s="1" t="n">
        <v>45652.39298611111</v>
      </c>
      <c r="C1809" s="1" t="n">
        <v>46106</v>
      </c>
      <c r="D1809" t="inlineStr">
        <is>
          <t>DALARNAS LÄN</t>
        </is>
      </c>
      <c r="E1809" t="inlineStr">
        <is>
          <t>FALUN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20437-2024</t>
        </is>
      </c>
      <c r="B1810" s="1" t="n">
        <v>45435</v>
      </c>
      <c r="C1810" s="1" t="n">
        <v>46106</v>
      </c>
      <c r="D1810" t="inlineStr">
        <is>
          <t>DALARNAS LÄN</t>
        </is>
      </c>
      <c r="E1810" t="inlineStr">
        <is>
          <t>FALUN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42060-2024</t>
        </is>
      </c>
      <c r="B1811" s="1" t="n">
        <v>45561.90840277778</v>
      </c>
      <c r="C1811" s="1" t="n">
        <v>46106</v>
      </c>
      <c r="D1811" t="inlineStr">
        <is>
          <t>DALARNAS LÄN</t>
        </is>
      </c>
      <c r="E1811" t="inlineStr">
        <is>
          <t>FALUN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2767-2024</t>
        </is>
      </c>
      <c r="B1812" s="1" t="n">
        <v>45314.61244212963</v>
      </c>
      <c r="C1812" s="1" t="n">
        <v>46106</v>
      </c>
      <c r="D1812" t="inlineStr">
        <is>
          <t>DALARNAS LÄN</t>
        </is>
      </c>
      <c r="E1812" t="inlineStr">
        <is>
          <t>FALUN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24443-2025</t>
        </is>
      </c>
      <c r="B1813" s="1" t="n">
        <v>45798</v>
      </c>
      <c r="C1813" s="1" t="n">
        <v>46106</v>
      </c>
      <c r="D1813" t="inlineStr">
        <is>
          <t>DALARNAS LÄN</t>
        </is>
      </c>
      <c r="E1813" t="inlineStr">
        <is>
          <t>FALUN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24689-2025</t>
        </is>
      </c>
      <c r="B1814" s="1" t="n">
        <v>45798.66893518518</v>
      </c>
      <c r="C1814" s="1" t="n">
        <v>46106</v>
      </c>
      <c r="D1814" t="inlineStr">
        <is>
          <t>DALARNAS LÄN</t>
        </is>
      </c>
      <c r="E1814" t="inlineStr">
        <is>
          <t>FALUN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25371-2025</t>
        </is>
      </c>
      <c r="B1815" s="1" t="n">
        <v>45800.63150462963</v>
      </c>
      <c r="C1815" s="1" t="n">
        <v>46106</v>
      </c>
      <c r="D1815" t="inlineStr">
        <is>
          <t>DALARNAS LÄN</t>
        </is>
      </c>
      <c r="E1815" t="inlineStr">
        <is>
          <t>FALUN</t>
        </is>
      </c>
      <c r="F1815" t="inlineStr">
        <is>
          <t>Bergvik skog väst AB</t>
        </is>
      </c>
      <c r="G1815" t="n">
        <v>19.1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10940-2025</t>
        </is>
      </c>
      <c r="B1816" s="1" t="n">
        <v>45723</v>
      </c>
      <c r="C1816" s="1" t="n">
        <v>46106</v>
      </c>
      <c r="D1816" t="inlineStr">
        <is>
          <t>DALARNAS LÄN</t>
        </is>
      </c>
      <c r="E1816" t="inlineStr">
        <is>
          <t>FALUN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25118-2025</t>
        </is>
      </c>
      <c r="B1817" s="1" t="n">
        <v>45800</v>
      </c>
      <c r="C1817" s="1" t="n">
        <v>46106</v>
      </c>
      <c r="D1817" t="inlineStr">
        <is>
          <t>DALARNAS LÄN</t>
        </is>
      </c>
      <c r="E1817" t="inlineStr">
        <is>
          <t>FALUN</t>
        </is>
      </c>
      <c r="F1817" t="inlineStr">
        <is>
          <t>Bergvik skog väst AB</t>
        </is>
      </c>
      <c r="G1817" t="n">
        <v>6.1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25149-2025</t>
        </is>
      </c>
      <c r="B1818" s="1" t="n">
        <v>45800</v>
      </c>
      <c r="C1818" s="1" t="n">
        <v>46106</v>
      </c>
      <c r="D1818" t="inlineStr">
        <is>
          <t>DALARNAS LÄN</t>
        </is>
      </c>
      <c r="E1818" t="inlineStr">
        <is>
          <t>FALUN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26530-2025</t>
        </is>
      </c>
      <c r="B1819" s="1" t="n">
        <v>45807.57137731482</v>
      </c>
      <c r="C1819" s="1" t="n">
        <v>46106</v>
      </c>
      <c r="D1819" t="inlineStr">
        <is>
          <t>DALARNAS LÄN</t>
        </is>
      </c>
      <c r="E1819" t="inlineStr">
        <is>
          <t>FALUN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26536-2025</t>
        </is>
      </c>
      <c r="B1820" s="1" t="n">
        <v>45807.57456018519</v>
      </c>
      <c r="C1820" s="1" t="n">
        <v>46106</v>
      </c>
      <c r="D1820" t="inlineStr">
        <is>
          <t>DALARNAS LÄN</t>
        </is>
      </c>
      <c r="E1820" t="inlineStr">
        <is>
          <t>FALUN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26525-2025</t>
        </is>
      </c>
      <c r="B1821" s="1" t="n">
        <v>45807.565</v>
      </c>
      <c r="C1821" s="1" t="n">
        <v>46106</v>
      </c>
      <c r="D1821" t="inlineStr">
        <is>
          <t>DALARNAS LÄN</t>
        </is>
      </c>
      <c r="E1821" t="inlineStr">
        <is>
          <t>FALUN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26771-2025</t>
        </is>
      </c>
      <c r="B1822" s="1" t="n">
        <v>45810.57180555556</v>
      </c>
      <c r="C1822" s="1" t="n">
        <v>46106</v>
      </c>
      <c r="D1822" t="inlineStr">
        <is>
          <t>DALARNAS LÄN</t>
        </is>
      </c>
      <c r="E1822" t="inlineStr">
        <is>
          <t>FALUN</t>
        </is>
      </c>
      <c r="F1822" t="inlineStr">
        <is>
          <t>Bergvik skog väst AB</t>
        </is>
      </c>
      <c r="G1822" t="n">
        <v>11.6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27087-2025</t>
        </is>
      </c>
      <c r="B1823" s="1" t="n">
        <v>45811.66383101852</v>
      </c>
      <c r="C1823" s="1" t="n">
        <v>46106</v>
      </c>
      <c r="D1823" t="inlineStr">
        <is>
          <t>DALARNAS LÄN</t>
        </is>
      </c>
      <c r="E1823" t="inlineStr">
        <is>
          <t>FALUN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27088-2025</t>
        </is>
      </c>
      <c r="B1824" s="1" t="n">
        <v>45811.66570601852</v>
      </c>
      <c r="C1824" s="1" t="n">
        <v>46106</v>
      </c>
      <c r="D1824" t="inlineStr">
        <is>
          <t>DALARNAS LÄN</t>
        </is>
      </c>
      <c r="E1824" t="inlineStr">
        <is>
          <t>FALUN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26927-2025</t>
        </is>
      </c>
      <c r="B1825" s="1" t="n">
        <v>45811.39570601852</v>
      </c>
      <c r="C1825" s="1" t="n">
        <v>46106</v>
      </c>
      <c r="D1825" t="inlineStr">
        <is>
          <t>DALARNAS LÄN</t>
        </is>
      </c>
      <c r="E1825" t="inlineStr">
        <is>
          <t>FALUN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15207-2025</t>
        </is>
      </c>
      <c r="B1826" s="1" t="n">
        <v>45744.57217592592</v>
      </c>
      <c r="C1826" s="1" t="n">
        <v>46106</v>
      </c>
      <c r="D1826" t="inlineStr">
        <is>
          <t>DALARNAS LÄN</t>
        </is>
      </c>
      <c r="E1826" t="inlineStr">
        <is>
          <t>FALUN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26803-2025</t>
        </is>
      </c>
      <c r="B1827" s="1" t="n">
        <v>45810.60783564814</v>
      </c>
      <c r="C1827" s="1" t="n">
        <v>46106</v>
      </c>
      <c r="D1827" t="inlineStr">
        <is>
          <t>DALARNAS LÄN</t>
        </is>
      </c>
      <c r="E1827" t="inlineStr">
        <is>
          <t>FALUN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26663-2025</t>
        </is>
      </c>
      <c r="B1828" s="1" t="n">
        <v>45810.40319444444</v>
      </c>
      <c r="C1828" s="1" t="n">
        <v>46106</v>
      </c>
      <c r="D1828" t="inlineStr">
        <is>
          <t>DALARNAS LÄN</t>
        </is>
      </c>
      <c r="E1828" t="inlineStr">
        <is>
          <t>FALUN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26800-2025</t>
        </is>
      </c>
      <c r="B1829" s="1" t="n">
        <v>45810</v>
      </c>
      <c r="C1829" s="1" t="n">
        <v>46106</v>
      </c>
      <c r="D1829" t="inlineStr">
        <is>
          <t>DALARNAS LÄN</t>
        </is>
      </c>
      <c r="E1829" t="inlineStr">
        <is>
          <t>FALUN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>
      <c r="A1830" t="inlineStr">
        <is>
          <t>A 18463-2022</t>
        </is>
      </c>
      <c r="B1830" s="1" t="n">
        <v>44686.53328703704</v>
      </c>
      <c r="C1830" s="1" t="n">
        <v>46106</v>
      </c>
      <c r="D1830" t="inlineStr">
        <is>
          <t>DALARNAS LÄN</t>
        </is>
      </c>
      <c r="E1830" t="inlineStr">
        <is>
          <t>FALUN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2026-03-25T11:35:33Z</dcterms:created>
  <dcterms:modified xmlns:dcterms="http://purl.org/dc/terms/" xmlns:xsi="http://www.w3.org/2001/XMLSchema-instance" xsi:type="dcterms:W3CDTF">2026-03-25T11:35:35Z</dcterms:modified>
</cp:coreProperties>
</file>