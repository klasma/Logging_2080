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46228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46228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46228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46228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46228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28385-2025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45819</v>
      </c>
      <c r="E8" s="1" t="n">
        <v>46228</v>
      </c>
      <c r="F8" t="inlineStr">
        <is>
          <t>DALARNAS LÄN</t>
        </is>
      </c>
      <c r="G8" t="inlineStr">
        <is>
          <t>FALUN</t>
        </is>
      </c>
      <c r="I8" t="n">
        <v>14.2</v>
      </c>
      <c r="J8" t="n">
        <v>9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12</v>
      </c>
      <c r="T8" t="n">
        <v>45</v>
      </c>
      <c r="U8" t="n">
        <v>43</v>
      </c>
      <c r="V8" s="2" t="inlineStr">
        <is>
          <t>Knärot
Dropptaggsvamp
Lavskrika
Motaggsvamp
Rödvingetrast
Talltita
Mindre märgborre
Spillkråka
Tjäder
Kråka
Kungsfågel
Fläcknycklar</t>
        </is>
      </c>
      <c r="W8">
        <f>HYPERLINK("https://klasma.github.io/Logging_2080/artfynd/A 28385-2025 artfynd.xlsx", "A 28385-2025")</f>
        <v/>
      </c>
      <c r="X8">
        <f>HYPERLINK("https://klasma.github.io/Logging_2080/kartor/A 28385-2025 karta.png", "A 28385-2025")</f>
        <v/>
      </c>
      <c r="Y8">
        <f>HYPERLINK("https://klasma.github.io/Logging_2080/kartor_geotiff/A 28385-2025 georefererad karta.tif", "A 28385-2025")</f>
        <v/>
      </c>
      <c r="Z8">
        <f>HYPERLINK("https://klasma.github.io/Logging_2080/knärot/A 28385-2025 karta knärot.png", "A 28385-2025")</f>
        <v/>
      </c>
      <c r="AA8">
        <f>HYPERLINK("https://klasma.github.io/Logging_2080/klagomål/A 28385-2025 FSC-klagomål.docx", "A 28385-2025")</f>
        <v/>
      </c>
      <c r="AB8">
        <f>HYPERLINK("https://klasma.github.io/Logging_2080/klagomålsmail/A 28385-2025 FSC-klagomål mail.docx", "A 28385-2025")</f>
        <v/>
      </c>
      <c r="AC8">
        <f>HYPERLINK("https://klasma.github.io/Logging_2080/tillsyn/A 28385-2025 tillsynsbegäran.docx", "A 28385-2025")</f>
        <v/>
      </c>
      <c r="AD8">
        <f>HYPERLINK("https://klasma.github.io/Logging_2080/tillsynsmail/A 28385-2025 tillsynsbegäran mail.docx", "A 28385-2025")</f>
        <v/>
      </c>
      <c r="AE8">
        <f>HYPERLINK("https://klasma.github.io/Logging_2080/fåglar/A 28385-2025 prioriterade fågelarter.docx", "A 28385-2025")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46228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46228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46228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46228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46228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46228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46228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46228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46228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46228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46228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46228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46228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46228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46228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46228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46228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46228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46228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46228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46228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46228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46228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46228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46228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46228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46228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54309-2022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46228</v>
      </c>
      <c r="F42" t="inlineStr">
        <is>
          <t>DALARNAS LÄN</t>
        </is>
      </c>
      <c r="G42" t="inlineStr">
        <is>
          <t>FALUN</t>
        </is>
      </c>
      <c r="I42" t="n">
        <v>1.5</v>
      </c>
      <c r="J42" t="n">
        <v>4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4</v>
      </c>
      <c r="U42" t="n">
        <v>3</v>
      </c>
      <c r="V42" s="2" t="inlineStr">
        <is>
          <t>Brun gräsfjäril
Tornseglare
Ladusvala
Svartvit flugsnappare</t>
        </is>
      </c>
      <c r="W42">
        <f>HYPERLINK("https://klasma.github.io/Logging_2080/artfynd/A 54309-2022 artfynd.xlsx", "A 54309-2022")</f>
        <v/>
      </c>
      <c r="X42">
        <f>HYPERLINK("https://klasma.github.io/Logging_2080/kartor/A 54309-2022 karta.png", "A 54309-2022")</f>
        <v/>
      </c>
      <c r="Y42">
        <f>HYPERLINK("https://klasma.github.io/Logging_2080/kartor_geotiff/A 54309-2022 georefererad karta.tif", "A 54309-2022")</f>
        <v/>
      </c>
      <c r="AA42">
        <f>HYPERLINK("https://klasma.github.io/Logging_2080/klagomål/A 54309-2022 FSC-klagomål.docx", "A 54309-2022")</f>
        <v/>
      </c>
      <c r="AB42">
        <f>HYPERLINK("https://klasma.github.io/Logging_2080/klagomålsmail/A 54309-2022 FSC-klagomål mail.docx", "A 54309-2022")</f>
        <v/>
      </c>
      <c r="AC42">
        <f>HYPERLINK("https://klasma.github.io/Logging_2080/tillsyn/A 54309-2022 tillsynsbegäran.docx", "A 54309-2022")</f>
        <v/>
      </c>
      <c r="AD42">
        <f>HYPERLINK("https://klasma.github.io/Logging_2080/tillsynsmail/A 54309-2022 tillsynsbegäran mail.docx", "A 54309-2022")</f>
        <v/>
      </c>
      <c r="AE42">
        <f>HYPERLINK("https://klasma.github.io/Logging_2080/fåglar/A 54309-2022 prioriterade fågelarter.docx", "A 54309-2022")</f>
        <v/>
      </c>
    </row>
    <row r="43" ht="15" customHeight="1">
      <c r="A43" t="inlineStr">
        <is>
          <t>A 1439-2023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44937</v>
      </c>
      <c r="E43" s="1" t="n">
        <v>46228</v>
      </c>
      <c r="F43" t="inlineStr">
        <is>
          <t>DALARNAS LÄN</t>
        </is>
      </c>
      <c r="G43" t="inlineStr">
        <is>
          <t>FALUN</t>
        </is>
      </c>
      <c r="I43" t="n">
        <v>8.1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Enkelbeckasin
Gråspett
Spillkråka
Törnskata</t>
        </is>
      </c>
      <c r="W43">
        <f>HYPERLINK("https://klasma.github.io/Logging_2080/artfynd/A 1439-2023 artfynd.xlsx", "A 1439-2023")</f>
        <v/>
      </c>
      <c r="X43">
        <f>HYPERLINK("https://klasma.github.io/Logging_2080/kartor/A 1439-2023 karta.png", "A 1439-2023")</f>
        <v/>
      </c>
      <c r="Y43">
        <f>HYPERLINK("https://klasma.github.io/Logging_2080/kartor_geotiff/A 1439-2023 georefererad karta.tif", "A 1439-2023")</f>
        <v/>
      </c>
      <c r="AA43">
        <f>HYPERLINK("https://klasma.github.io/Logging_2080/klagomål/A 1439-2023 FSC-klagomål.docx", "A 1439-2023")</f>
        <v/>
      </c>
      <c r="AB43">
        <f>HYPERLINK("https://klasma.github.io/Logging_2080/klagomålsmail/A 1439-2023 FSC-klagomål mail.docx", "A 1439-2023")</f>
        <v/>
      </c>
      <c r="AC43">
        <f>HYPERLINK("https://klasma.github.io/Logging_2080/tillsyn/A 1439-2023 tillsynsbegäran.docx", "A 1439-2023")</f>
        <v/>
      </c>
      <c r="AD43">
        <f>HYPERLINK("https://klasma.github.io/Logging_2080/tillsynsmail/A 1439-2023 tillsynsbegäran mail.docx", "A 1439-2023")</f>
        <v/>
      </c>
      <c r="AE43">
        <f>HYPERLINK("https://klasma.github.io/Logging_2080/fåglar/A 1439-2023 prioriterade fågelarter.docx", "A 1439-2023")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46228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46228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46228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46228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46228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46228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46228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46228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46228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46228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46228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27747-2026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46228</v>
      </c>
      <c r="F55" t="inlineStr">
        <is>
          <t>DALARNAS LÄN</t>
        </is>
      </c>
      <c r="G55" t="inlineStr">
        <is>
          <t>FALUN</t>
        </is>
      </c>
      <c r="I55" t="n">
        <v>2.5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Kolflarnlav
Kortskaftad ärgspik</t>
        </is>
      </c>
      <c r="W55">
        <f>HYPERLINK("https://klasma.github.io/Logging_2080/artfynd/A 27747-2026 artfynd.xlsx", "A 27747-2026")</f>
        <v/>
      </c>
      <c r="X55">
        <f>HYPERLINK("https://klasma.github.io/Logging_2080/kartor/A 27747-2026 karta.png", "A 27747-2026")</f>
        <v/>
      </c>
      <c r="Y55">
        <f>HYPERLINK("https://klasma.github.io/Logging_2080/kartor_geotiff/A 27747-2026 georefererad karta.tif", "A 27747-2026")</f>
        <v/>
      </c>
      <c r="AA55">
        <f>HYPERLINK("https://klasma.github.io/Logging_2080/klagomål/A 27747-2026 FSC-klagomål.docx", "A 27747-2026")</f>
        <v/>
      </c>
      <c r="AB55">
        <f>HYPERLINK("https://klasma.github.io/Logging_2080/klagomålsmail/A 27747-2026 FSC-klagomål mail.docx", "A 27747-2026")</f>
        <v/>
      </c>
      <c r="AC55">
        <f>HYPERLINK("https://klasma.github.io/Logging_2080/tillsyn/A 27747-2026 tillsynsbegäran.docx", "A 27747-2026")</f>
        <v/>
      </c>
      <c r="AD55">
        <f>HYPERLINK("https://klasma.github.io/Logging_2080/tillsynsmail/A 27747-2026 tillsynsbegäran mail.docx", "A 27747-2026")</f>
        <v/>
      </c>
    </row>
    <row r="56" ht="15" customHeight="1">
      <c r="A56" t="inlineStr">
        <is>
          <t>A 21583-2026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46149</v>
      </c>
      <c r="E56" s="1" t="n">
        <v>46228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3.3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Doftskinn
Ullticka
Vedticka</t>
        </is>
      </c>
      <c r="W56">
        <f>HYPERLINK("https://klasma.github.io/Logging_2080/artfynd/A 21583-2026 artfynd.xlsx", "A 21583-2026")</f>
        <v/>
      </c>
      <c r="X56">
        <f>HYPERLINK("https://klasma.github.io/Logging_2080/kartor/A 21583-2026 karta.png", "A 21583-2026")</f>
        <v/>
      </c>
      <c r="Y56">
        <f>HYPERLINK("https://klasma.github.io/Logging_2080/kartor_geotiff/A 21583-2026 georefererad karta.tif", "A 21583-2026")</f>
        <v/>
      </c>
      <c r="AA56">
        <f>HYPERLINK("https://klasma.github.io/Logging_2080/klagomål/A 21583-2026 FSC-klagomål.docx", "A 21583-2026")</f>
        <v/>
      </c>
      <c r="AB56">
        <f>HYPERLINK("https://klasma.github.io/Logging_2080/klagomålsmail/A 21583-2026 FSC-klagomål mail.docx", "A 21583-2026")</f>
        <v/>
      </c>
      <c r="AC56">
        <f>HYPERLINK("https://klasma.github.io/Logging_2080/tillsyn/A 21583-2026 tillsynsbegäran.docx", "A 21583-2026")</f>
        <v/>
      </c>
      <c r="AD56">
        <f>HYPERLINK("https://klasma.github.io/Logging_2080/tillsynsmail/A 21583-2026 tillsynsbegäran mail.docx", "A 21583-2026")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46228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46228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46228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46228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46228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46228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46228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46228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46228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46228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46228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46228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46228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46228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19015-2024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46228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13.8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Talltita
Kungsfågel</t>
        </is>
      </c>
      <c r="W71">
        <f>HYPERLINK("https://klasma.github.io/Logging_2080/artfynd/A 19015-2024 artfynd.xlsx", "A 19015-2024")</f>
        <v/>
      </c>
      <c r="X71">
        <f>HYPERLINK("https://klasma.github.io/Logging_2080/kartor/A 19015-2024 karta.png", "A 19015-2024")</f>
        <v/>
      </c>
      <c r="Y71">
        <f>HYPERLINK("https://klasma.github.io/Logging_2080/kartor_geotiff/A 19015-2024 georefererad karta.tif", "A 19015-2024")</f>
        <v/>
      </c>
      <c r="AA71">
        <f>HYPERLINK("https://klasma.github.io/Logging_2080/klagomål/A 19015-2024 FSC-klagomål.docx", "A 19015-2024")</f>
        <v/>
      </c>
      <c r="AB71">
        <f>HYPERLINK("https://klasma.github.io/Logging_2080/klagomålsmail/A 19015-2024 FSC-klagomål mail.docx", "A 19015-2024")</f>
        <v/>
      </c>
      <c r="AC71">
        <f>HYPERLINK("https://klasma.github.io/Logging_2080/tillsyn/A 19015-2024 tillsynsbegäran.docx", "A 19015-2024")</f>
        <v/>
      </c>
      <c r="AD71">
        <f>HYPERLINK("https://klasma.github.io/Logging_2080/tillsynsmail/A 19015-2024 tillsynsbegäran mail.docx", "A 19015-2024")</f>
        <v/>
      </c>
      <c r="AE71">
        <f>HYPERLINK("https://klasma.github.io/Logging_2080/fåglar/A 19015-2024 prioriterade fågelarter.docx", "A 19015-2024")</f>
        <v/>
      </c>
    </row>
    <row r="72" ht="15" customHeight="1">
      <c r="A72" t="inlineStr">
        <is>
          <t>A 19752-2026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46135</v>
      </c>
      <c r="E72" s="1" t="n">
        <v>46228</v>
      </c>
      <c r="F72" t="inlineStr">
        <is>
          <t>DALARNAS LÄN</t>
        </is>
      </c>
      <c r="G72" t="inlineStr">
        <is>
          <t>FALUN</t>
        </is>
      </c>
      <c r="I72" t="n">
        <v>2.9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Talltita
Kungsfågel</t>
        </is>
      </c>
      <c r="W72">
        <f>HYPERLINK("https://klasma.github.io/Logging_2080/artfynd/A 19752-2026 artfynd.xlsx", "A 19752-2026")</f>
        <v/>
      </c>
      <c r="X72">
        <f>HYPERLINK("https://klasma.github.io/Logging_2080/kartor/A 19752-2026 karta.png", "A 19752-2026")</f>
        <v/>
      </c>
      <c r="Y72">
        <f>HYPERLINK("https://klasma.github.io/Logging_2080/kartor_geotiff/A 19752-2026 georefererad karta.tif", "A 19752-2026")</f>
        <v/>
      </c>
      <c r="AA72">
        <f>HYPERLINK("https://klasma.github.io/Logging_2080/klagomål/A 19752-2026 FSC-klagomål.docx", "A 19752-2026")</f>
        <v/>
      </c>
      <c r="AB72">
        <f>HYPERLINK("https://klasma.github.io/Logging_2080/klagomålsmail/A 19752-2026 FSC-klagomål mail.docx", "A 19752-2026")</f>
        <v/>
      </c>
      <c r="AC72">
        <f>HYPERLINK("https://klasma.github.io/Logging_2080/tillsyn/A 19752-2026 tillsynsbegäran.docx", "A 19752-2026")</f>
        <v/>
      </c>
      <c r="AD72">
        <f>HYPERLINK("https://klasma.github.io/Logging_2080/tillsynsmail/A 19752-2026 tillsynsbegäran mail.docx", "A 19752-2026")</f>
        <v/>
      </c>
      <c r="AE72">
        <f>HYPERLINK("https://klasma.github.io/Logging_2080/fåglar/A 19752-2026 prioriterade fågelarter.docx", "A 19752-2026")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46228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20658-2026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46228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2.2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Tretåig hackspett
Ullticka</t>
        </is>
      </c>
      <c r="W74">
        <f>HYPERLINK("https://klasma.github.io/Logging_2080/artfynd/A 20658-2026 artfynd.xlsx", "A 20658-2026")</f>
        <v/>
      </c>
      <c r="X74">
        <f>HYPERLINK("https://klasma.github.io/Logging_2080/kartor/A 20658-2026 karta.png", "A 20658-2026")</f>
        <v/>
      </c>
      <c r="Y74">
        <f>HYPERLINK("https://klasma.github.io/Logging_2080/kartor_geotiff/A 20658-2026 georefererad karta.tif", "A 20658-2026")</f>
        <v/>
      </c>
      <c r="AA74">
        <f>HYPERLINK("https://klasma.github.io/Logging_2080/klagomål/A 20658-2026 FSC-klagomål.docx", "A 20658-2026")</f>
        <v/>
      </c>
      <c r="AB74">
        <f>HYPERLINK("https://klasma.github.io/Logging_2080/klagomålsmail/A 20658-2026 FSC-klagomål mail.docx", "A 20658-2026")</f>
        <v/>
      </c>
      <c r="AC74">
        <f>HYPERLINK("https://klasma.github.io/Logging_2080/tillsyn/A 20658-2026 tillsynsbegäran.docx", "A 20658-2026")</f>
        <v/>
      </c>
      <c r="AD74">
        <f>HYPERLINK("https://klasma.github.io/Logging_2080/tillsynsmail/A 20658-2026 tillsynsbegäran mail.docx", "A 20658-2026")</f>
        <v/>
      </c>
      <c r="AE74">
        <f>HYPERLINK("https://klasma.github.io/Logging_2080/fåglar/A 20658-2026 prioriterade fågelarter.docx", "A 20658-2026")</f>
        <v/>
      </c>
    </row>
    <row r="75" ht="15" customHeight="1">
      <c r="A75" t="inlineStr">
        <is>
          <t>A 26586-2023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46228</v>
      </c>
      <c r="F75" t="inlineStr">
        <is>
          <t>DALARNAS LÄN</t>
        </is>
      </c>
      <c r="G75" t="inlineStr">
        <is>
          <t>FALUN</t>
        </is>
      </c>
      <c r="I75" t="n">
        <v>6.1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Spillkråka
Tjäder</t>
        </is>
      </c>
      <c r="W75">
        <f>HYPERLINK("https://klasma.github.io/Logging_2080/artfynd/A 26586-2023 artfynd.xlsx", "A 26586-2023")</f>
        <v/>
      </c>
      <c r="X75">
        <f>HYPERLINK("https://klasma.github.io/Logging_2080/kartor/A 26586-2023 karta.png", "A 26586-2023")</f>
        <v/>
      </c>
      <c r="Y75">
        <f>HYPERLINK("https://klasma.github.io/Logging_2080/kartor_geotiff/A 26586-2023 georefererad karta.tif", "A 26586-2023")</f>
        <v/>
      </c>
      <c r="AA75">
        <f>HYPERLINK("https://klasma.github.io/Logging_2080/klagomål/A 26586-2023 FSC-klagomål.docx", "A 26586-2023")</f>
        <v/>
      </c>
      <c r="AB75">
        <f>HYPERLINK("https://klasma.github.io/Logging_2080/klagomålsmail/A 26586-2023 FSC-klagomål mail.docx", "A 26586-2023")</f>
        <v/>
      </c>
      <c r="AC75">
        <f>HYPERLINK("https://klasma.github.io/Logging_2080/tillsyn/A 26586-2023 tillsynsbegäran.docx", "A 26586-2023")</f>
        <v/>
      </c>
      <c r="AD75">
        <f>HYPERLINK("https://klasma.github.io/Logging_2080/tillsynsmail/A 26586-2023 tillsynsbegäran mail.docx", "A 26586-2023")</f>
        <v/>
      </c>
      <c r="AE75">
        <f>HYPERLINK("https://klasma.github.io/Logging_2080/fåglar/A 26586-2023 prioriterade fågelarter.docx", "A 26586-2023")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46228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44727-2025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46228</v>
      </c>
      <c r="F77" t="inlineStr">
        <is>
          <t>DALARNAS LÄN</t>
        </is>
      </c>
      <c r="G77" t="inlineStr">
        <is>
          <t>FALUN</t>
        </is>
      </c>
      <c r="I77" t="n">
        <v>1.7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Dropptaggsvamp</t>
        </is>
      </c>
      <c r="W77">
        <f>HYPERLINK("https://klasma.github.io/Logging_2080/artfynd/A 44727-2025 artfynd.xlsx", "A 44727-2025")</f>
        <v/>
      </c>
      <c r="X77">
        <f>HYPERLINK("https://klasma.github.io/Logging_2080/kartor/A 44727-2025 karta.png", "A 44727-2025")</f>
        <v/>
      </c>
      <c r="Y77">
        <f>HYPERLINK("https://klasma.github.io/Logging_2080/kartor_geotiff/A 44727-2025 georefererad karta.tif", "A 44727-2025")</f>
        <v/>
      </c>
      <c r="Z77">
        <f>HYPERLINK("https://klasma.github.io/Logging_2080/knärot/A 44727-2025 karta knärot.png", "A 44727-2025")</f>
        <v/>
      </c>
      <c r="AA77">
        <f>HYPERLINK("https://klasma.github.io/Logging_2080/klagomål/A 44727-2025 FSC-klagomål.docx", "A 44727-2025")</f>
        <v/>
      </c>
      <c r="AB77">
        <f>HYPERLINK("https://klasma.github.io/Logging_2080/klagomålsmail/A 44727-2025 FSC-klagomål mail.docx", "A 44727-2025")</f>
        <v/>
      </c>
      <c r="AC77">
        <f>HYPERLINK("https://klasma.github.io/Logging_2080/tillsyn/A 44727-2025 tillsynsbegäran.docx", "A 44727-2025")</f>
        <v/>
      </c>
      <c r="AD77">
        <f>HYPERLINK("https://klasma.github.io/Logging_2080/tillsynsmail/A 44727-2025 tillsynsbegäran mail.docx", "A 44727-2025")</f>
        <v/>
      </c>
    </row>
    <row r="78" ht="15" customHeight="1">
      <c r="A78" t="inlineStr">
        <is>
          <t>A 43266-2023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46228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0.7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Brun gräsfjäril
Törnskata</t>
        </is>
      </c>
      <c r="W78">
        <f>HYPERLINK("https://klasma.github.io/Logging_2080/artfynd/A 43266-2023 artfynd.xlsx", "A 43266-2023")</f>
        <v/>
      </c>
      <c r="X78">
        <f>HYPERLINK("https://klasma.github.io/Logging_2080/kartor/A 43266-2023 karta.png", "A 43266-2023")</f>
        <v/>
      </c>
      <c r="Y78">
        <f>HYPERLINK("https://klasma.github.io/Logging_2080/kartor_geotiff/A 43266-2023 georefererad karta.tif", "A 43266-2023")</f>
        <v/>
      </c>
      <c r="AA78">
        <f>HYPERLINK("https://klasma.github.io/Logging_2080/klagomål/A 43266-2023 FSC-klagomål.docx", "A 43266-2023")</f>
        <v/>
      </c>
      <c r="AB78">
        <f>HYPERLINK("https://klasma.github.io/Logging_2080/klagomålsmail/A 43266-2023 FSC-klagomål mail.docx", "A 43266-2023")</f>
        <v/>
      </c>
      <c r="AC78">
        <f>HYPERLINK("https://klasma.github.io/Logging_2080/tillsyn/A 43266-2023 tillsynsbegäran.docx", "A 43266-2023")</f>
        <v/>
      </c>
      <c r="AD78">
        <f>HYPERLINK("https://klasma.github.io/Logging_2080/tillsynsmail/A 43266-2023 tillsynsbegäran mail.docx", "A 43266-2023")</f>
        <v/>
      </c>
      <c r="AE78">
        <f>HYPERLINK("https://klasma.github.io/Logging_2080/fåglar/A 43266-2023 prioriterade fågelarter.docx", "A 43266-2023")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46228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46228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46228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46228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46228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46228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46228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46228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8751-2024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46228</v>
      </c>
      <c r="F87" t="inlineStr">
        <is>
          <t>DALARNAS LÄN</t>
        </is>
      </c>
      <c r="G87" t="inlineStr">
        <is>
          <t>FALUN</t>
        </is>
      </c>
      <c r="I87" t="n">
        <v>6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Vanlig groda</t>
        </is>
      </c>
      <c r="W87">
        <f>HYPERLINK("https://klasma.github.io/Logging_2080/artfynd/A 8751-2024 artfynd.xlsx", "A 8751-2024")</f>
        <v/>
      </c>
      <c r="X87">
        <f>HYPERLINK("https://klasma.github.io/Logging_2080/kartor/A 8751-2024 karta.png", "A 8751-2024")</f>
        <v/>
      </c>
      <c r="Y87">
        <f>HYPERLINK("https://klasma.github.io/Logging_2080/kartor_geotiff/A 8751-2024 georefererad karta.tif", "A 8751-2024")</f>
        <v/>
      </c>
      <c r="Z87">
        <f>HYPERLINK("https://klasma.github.io/Logging_2080/knärot/A 8751-2024 karta knärot.png", "A 8751-2024")</f>
        <v/>
      </c>
      <c r="AA87">
        <f>HYPERLINK("https://klasma.github.io/Logging_2080/klagomål/A 8751-2024 FSC-klagomål.docx", "A 8751-2024")</f>
        <v/>
      </c>
      <c r="AB87">
        <f>HYPERLINK("https://klasma.github.io/Logging_2080/klagomålsmail/A 8751-2024 FSC-klagomål mail.docx", "A 8751-2024")</f>
        <v/>
      </c>
      <c r="AC87">
        <f>HYPERLINK("https://klasma.github.io/Logging_2080/tillsyn/A 8751-2024 tillsynsbegäran.docx", "A 8751-2024")</f>
        <v/>
      </c>
      <c r="AD87">
        <f>HYPERLINK("https://klasma.github.io/Logging_2080/tillsynsmail/A 8751-2024 tillsynsbegäran mail.docx", "A 8751-2024")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46228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46228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46228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17368-2026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46228</v>
      </c>
      <c r="F91" t="inlineStr">
        <is>
          <t>DALARNAS LÄN</t>
        </is>
      </c>
      <c r="G91" t="inlineStr">
        <is>
          <t>FALUN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Rosenticka
Ullticka</t>
        </is>
      </c>
      <c r="W91">
        <f>HYPERLINK("https://klasma.github.io/Logging_2080/artfynd/A 17368-2026 artfynd.xlsx", "A 17368-2026")</f>
        <v/>
      </c>
      <c r="X91">
        <f>HYPERLINK("https://klasma.github.io/Logging_2080/kartor/A 17368-2026 karta.png", "A 17368-2026")</f>
        <v/>
      </c>
      <c r="Y91">
        <f>HYPERLINK("https://klasma.github.io/Logging_2080/kartor_geotiff/A 17368-2026 georefererad karta.tif", "A 17368-2026")</f>
        <v/>
      </c>
      <c r="AA91">
        <f>HYPERLINK("https://klasma.github.io/Logging_2080/klagomål/A 17368-2026 FSC-klagomål.docx", "A 17368-2026")</f>
        <v/>
      </c>
      <c r="AB91">
        <f>HYPERLINK("https://klasma.github.io/Logging_2080/klagomålsmail/A 17368-2026 FSC-klagomål mail.docx", "A 17368-2026")</f>
        <v/>
      </c>
      <c r="AC91">
        <f>HYPERLINK("https://klasma.github.io/Logging_2080/tillsyn/A 17368-2026 tillsynsbegäran.docx", "A 17368-2026")</f>
        <v/>
      </c>
      <c r="AD91">
        <f>HYPERLINK("https://klasma.github.io/Logging_2080/tillsynsmail/A 17368-2026 tillsynsbegäran mail.docx", "A 17368-2026")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46228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46228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46228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46228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A 29791-2025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46228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6.7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Knärot
Ullticka</t>
        </is>
      </c>
      <c r="W96">
        <f>HYPERLINK("https://klasma.github.io/Logging_2080/artfynd/A 29791-2025 artfynd.xlsx", "A 29791-2025")</f>
        <v/>
      </c>
      <c r="X96">
        <f>HYPERLINK("https://klasma.github.io/Logging_2080/kartor/A 29791-2025 karta.png", "A 29791-2025")</f>
        <v/>
      </c>
      <c r="Y96">
        <f>HYPERLINK("https://klasma.github.io/Logging_2080/kartor_geotiff/A 29791-2025 georefererad karta.tif", "A 29791-2025")</f>
        <v/>
      </c>
      <c r="Z96">
        <f>HYPERLINK("https://klasma.github.io/Logging_2080/knärot/A 29791-2025 karta knärot.png", "A 29791-2025")</f>
        <v/>
      </c>
      <c r="AA96">
        <f>HYPERLINK("https://klasma.github.io/Logging_2080/klagomål/A 29791-2025 FSC-klagomål.docx", "A 29791-2025")</f>
        <v/>
      </c>
      <c r="AB96">
        <f>HYPERLINK("https://klasma.github.io/Logging_2080/klagomålsmail/A 29791-2025 FSC-klagomål mail.docx", "A 29791-2025")</f>
        <v/>
      </c>
      <c r="AC96">
        <f>HYPERLINK("https://klasma.github.io/Logging_2080/tillsyn/A 29791-2025 tillsynsbegäran.docx", "A 29791-2025")</f>
        <v/>
      </c>
      <c r="AD96">
        <f>HYPERLINK("https://klasma.github.io/Logging_2080/tillsynsmail/A 29791-2025 tillsynsbegäran mail.docx", "A 29791-2025")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46228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46228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46228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46228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46228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46228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12927-2023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46228</v>
      </c>
      <c r="F103" t="inlineStr">
        <is>
          <t>DALARNAS LÄN</t>
        </is>
      </c>
      <c r="G103" t="inlineStr">
        <is>
          <t>FALUN</t>
        </is>
      </c>
      <c r="I103" t="n">
        <v>0.3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Knärot</t>
        </is>
      </c>
      <c r="W103">
        <f>HYPERLINK("https://klasma.github.io/Logging_2080/artfynd/A 12927-2023 artfynd.xlsx", "A 12927-2023")</f>
        <v/>
      </c>
      <c r="X103">
        <f>HYPERLINK("https://klasma.github.io/Logging_2080/kartor/A 12927-2023 karta.png", "A 12927-2023")</f>
        <v/>
      </c>
      <c r="Y103">
        <f>HYPERLINK("https://klasma.github.io/Logging_2080/kartor_geotiff/A 12927-2023 georefererad karta.tif", "A 12927-2023")</f>
        <v/>
      </c>
      <c r="Z103">
        <f>HYPERLINK("https://klasma.github.io/Logging_2080/knärot/A 12927-2023 karta knärot.png", "A 12927-2023")</f>
        <v/>
      </c>
      <c r="AA103">
        <f>HYPERLINK("https://klasma.github.io/Logging_2080/klagomål/A 12927-2023 FSC-klagomål.docx", "A 12927-2023")</f>
        <v/>
      </c>
      <c r="AB103">
        <f>HYPERLINK("https://klasma.github.io/Logging_2080/klagomålsmail/A 12927-2023 FSC-klagomål mail.docx", "A 12927-2023")</f>
        <v/>
      </c>
      <c r="AC103">
        <f>HYPERLINK("https://klasma.github.io/Logging_2080/tillsyn/A 12927-2023 tillsynsbegäran.docx", "A 12927-2023")</f>
        <v/>
      </c>
      <c r="AD103">
        <f>HYPERLINK("https://klasma.github.io/Logging_2080/tillsynsmail/A 12927-2023 tillsynsbegäran mail.docx", "A 12927-2023")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46228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46228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46228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21813-2023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46228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Brun gräsfjäril</t>
        </is>
      </c>
      <c r="W107">
        <f>HYPERLINK("https://klasma.github.io/Logging_2080/artfynd/A 21813-2023 artfynd.xlsx", "A 21813-2023")</f>
        <v/>
      </c>
      <c r="X107">
        <f>HYPERLINK("https://klasma.github.io/Logging_2080/kartor/A 21813-2023 karta.png", "A 21813-2023")</f>
        <v/>
      </c>
      <c r="Y107">
        <f>HYPERLINK("https://klasma.github.io/Logging_2080/kartor_geotiff/A 21813-2023 georefererad karta.tif", "A 21813-2023")</f>
        <v/>
      </c>
      <c r="AA107">
        <f>HYPERLINK("https://klasma.github.io/Logging_2080/klagomål/A 21813-2023 FSC-klagomål.docx", "A 21813-2023")</f>
        <v/>
      </c>
      <c r="AB107">
        <f>HYPERLINK("https://klasma.github.io/Logging_2080/klagomålsmail/A 21813-2023 FSC-klagomål mail.docx", "A 21813-2023")</f>
        <v/>
      </c>
      <c r="AC107">
        <f>HYPERLINK("https://klasma.github.io/Logging_2080/tillsyn/A 21813-2023 tillsynsbegäran.docx", "A 21813-2023")</f>
        <v/>
      </c>
      <c r="AD107">
        <f>HYPERLINK("https://klasma.github.io/Logging_2080/tillsynsmail/A 21813-2023 tillsynsbegäran mail.docx", "A 21813-2023")</f>
        <v/>
      </c>
    </row>
    <row r="108" ht="15" customHeight="1">
      <c r="A108" t="inlineStr">
        <is>
          <t>A 19421-2024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46228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HYPERLINK("https://klasma.github.io/Logging_2080/artfynd/A 19421-2024 artfynd.xlsx", "A 19421-2024")</f>
        <v/>
      </c>
      <c r="X108">
        <f>HYPERLINK("https://klasma.github.io/Logging_2080/kartor/A 19421-2024 karta.png", "A 19421-2024")</f>
        <v/>
      </c>
      <c r="Y108">
        <f>HYPERLINK("https://klasma.github.io/Logging_2080/kartor_geotiff/A 19421-2024 georefererad karta.tif", "A 19421-2024")</f>
        <v/>
      </c>
      <c r="AA108">
        <f>HYPERLINK("https://klasma.github.io/Logging_2080/klagomål/A 19421-2024 FSC-klagomål.docx", "A 19421-2024")</f>
        <v/>
      </c>
      <c r="AB108">
        <f>HYPERLINK("https://klasma.github.io/Logging_2080/klagomålsmail/A 19421-2024 FSC-klagomål mail.docx", "A 19421-2024")</f>
        <v/>
      </c>
      <c r="AC108">
        <f>HYPERLINK("https://klasma.github.io/Logging_2080/tillsyn/A 19421-2024 tillsynsbegäran.docx", "A 19421-2024")</f>
        <v/>
      </c>
      <c r="AD108">
        <f>HYPERLINK("https://klasma.github.io/Logging_2080/tillsynsmail/A 19421-2024 tillsynsbegäran mail.docx", "A 19421-2024")</f>
        <v/>
      </c>
    </row>
    <row r="109" ht="15" customHeight="1">
      <c r="A109" t="inlineStr">
        <is>
          <t>A 61661-2024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46228</v>
      </c>
      <c r="F109" t="inlineStr">
        <is>
          <t>DALARNAS LÄN</t>
        </is>
      </c>
      <c r="G109" t="inlineStr">
        <is>
          <t>FALUN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Dropptaggsvamp</t>
        </is>
      </c>
      <c r="W109">
        <f>HYPERLINK("https://klasma.github.io/Logging_2080/artfynd/A 61661-2024 artfynd.xlsx", "A 61661-2024")</f>
        <v/>
      </c>
      <c r="X109">
        <f>HYPERLINK("https://klasma.github.io/Logging_2080/kartor/A 61661-2024 karta.png", "A 61661-2024")</f>
        <v/>
      </c>
      <c r="Y109">
        <f>HYPERLINK("https://klasma.github.io/Logging_2080/kartor_geotiff/A 61661-2024 georefererad karta.tif", "A 61661-2024")</f>
        <v/>
      </c>
      <c r="AA109">
        <f>HYPERLINK("https://klasma.github.io/Logging_2080/klagomål/A 61661-2024 FSC-klagomål.docx", "A 61661-2024")</f>
        <v/>
      </c>
      <c r="AB109">
        <f>HYPERLINK("https://klasma.github.io/Logging_2080/klagomålsmail/A 61661-2024 FSC-klagomål mail.docx", "A 61661-2024")</f>
        <v/>
      </c>
      <c r="AC109">
        <f>HYPERLINK("https://klasma.github.io/Logging_2080/tillsyn/A 61661-2024 tillsynsbegäran.docx", "A 61661-2024")</f>
        <v/>
      </c>
      <c r="AD109">
        <f>HYPERLINK("https://klasma.github.io/Logging_2080/tillsynsmail/A 61661-2024 tillsynsbegäran mail.docx", "A 61661-2024")</f>
        <v/>
      </c>
    </row>
    <row r="110" ht="15" customHeight="1">
      <c r="A110" t="inlineStr">
        <is>
          <t>A 54134-2024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45616</v>
      </c>
      <c r="E110" s="1" t="n">
        <v>46228</v>
      </c>
      <c r="F110" t="inlineStr">
        <is>
          <t>DALARNAS LÄN</t>
        </is>
      </c>
      <c r="G110" t="inlineStr">
        <is>
          <t>FALUN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Ullticka</t>
        </is>
      </c>
      <c r="W110">
        <f>HYPERLINK("https://klasma.github.io/Logging_2080/artfynd/A 54134-2024 artfynd.xlsx", "A 54134-2024")</f>
        <v/>
      </c>
      <c r="X110">
        <f>HYPERLINK("https://klasma.github.io/Logging_2080/kartor/A 54134-2024 karta.png", "A 54134-2024")</f>
        <v/>
      </c>
      <c r="Y110">
        <f>HYPERLINK("https://klasma.github.io/Logging_2080/kartor_geotiff/A 54134-2024 georefererad karta.tif", "A 54134-2024")</f>
        <v/>
      </c>
      <c r="AA110">
        <f>HYPERLINK("https://klasma.github.io/Logging_2080/klagomål/A 54134-2024 FSC-klagomål.docx", "A 54134-2024")</f>
        <v/>
      </c>
      <c r="AB110">
        <f>HYPERLINK("https://klasma.github.io/Logging_2080/klagomålsmail/A 54134-2024 FSC-klagomål mail.docx", "A 54134-2024")</f>
        <v/>
      </c>
      <c r="AC110">
        <f>HYPERLINK("https://klasma.github.io/Logging_2080/tillsyn/A 54134-2024 tillsynsbegäran.docx", "A 54134-2024")</f>
        <v/>
      </c>
      <c r="AD110">
        <f>HYPERLINK("https://klasma.github.io/Logging_2080/tillsynsmail/A 54134-2024 tillsynsbegäran mail.docx", "A 54134-2024")</f>
        <v/>
      </c>
    </row>
    <row r="111" ht="15" customHeight="1">
      <c r="A111" t="inlineStr">
        <is>
          <t>A 5764-2026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46228</v>
      </c>
      <c r="F111" t="inlineStr">
        <is>
          <t>DALARNAS LÄN</t>
        </is>
      </c>
      <c r="G111" t="inlineStr">
        <is>
          <t>FALUN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HYPERLINK("https://klasma.github.io/Logging_2080/artfynd/A 5764-2026 artfynd.xlsx", "A 5764-2026")</f>
        <v/>
      </c>
      <c r="X111">
        <f>HYPERLINK("https://klasma.github.io/Logging_2080/kartor/A 5764-2026 karta.png", "A 5764-2026")</f>
        <v/>
      </c>
      <c r="Y111">
        <f>HYPERLINK("https://klasma.github.io/Logging_2080/kartor_geotiff/A 5764-2026 georefererad karta.tif", "A 5764-2026")</f>
        <v/>
      </c>
      <c r="AA111">
        <f>HYPERLINK("https://klasma.github.io/Logging_2080/klagomål/A 5764-2026 FSC-klagomål.docx", "A 5764-2026")</f>
        <v/>
      </c>
      <c r="AB111">
        <f>HYPERLINK("https://klasma.github.io/Logging_2080/klagomålsmail/A 5764-2026 FSC-klagomål mail.docx", "A 5764-2026")</f>
        <v/>
      </c>
      <c r="AC111">
        <f>HYPERLINK("https://klasma.github.io/Logging_2080/tillsyn/A 5764-2026 tillsynsbegäran.docx", "A 5764-2026")</f>
        <v/>
      </c>
      <c r="AD111">
        <f>HYPERLINK("https://klasma.github.io/Logging_2080/tillsynsmail/A 5764-2026 tillsynsbegäran mail.docx", "A 5764-2026")</f>
        <v/>
      </c>
    </row>
    <row r="112" ht="15" customHeight="1">
      <c r="A112" t="inlineStr">
        <is>
          <t>A 20701-2026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46228</v>
      </c>
      <c r="F112" t="inlineStr">
        <is>
          <t>DALARNAS LÄN</t>
        </is>
      </c>
      <c r="G112" t="inlineStr">
        <is>
          <t>FALUN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Grönsiska</t>
        </is>
      </c>
      <c r="W112">
        <f>HYPERLINK("https://klasma.github.io/Logging_2080/artfynd/A 20701-2026 artfynd.xlsx", "A 20701-2026")</f>
        <v/>
      </c>
      <c r="X112">
        <f>HYPERLINK("https://klasma.github.io/Logging_2080/kartor/A 20701-2026 karta.png", "A 20701-2026")</f>
        <v/>
      </c>
      <c r="Y112">
        <f>HYPERLINK("https://klasma.github.io/Logging_2080/kartor_geotiff/A 20701-2026 georefererad karta.tif", "A 20701-2026")</f>
        <v/>
      </c>
      <c r="AA112">
        <f>HYPERLINK("https://klasma.github.io/Logging_2080/klagomål/A 20701-2026 FSC-klagomål.docx", "A 20701-2026")</f>
        <v/>
      </c>
      <c r="AB112">
        <f>HYPERLINK("https://klasma.github.io/Logging_2080/klagomålsmail/A 20701-2026 FSC-klagomål mail.docx", "A 20701-2026")</f>
        <v/>
      </c>
      <c r="AC112">
        <f>HYPERLINK("https://klasma.github.io/Logging_2080/tillsyn/A 20701-2026 tillsynsbegäran.docx", "A 20701-2026")</f>
        <v/>
      </c>
      <c r="AD112">
        <f>HYPERLINK("https://klasma.github.io/Logging_2080/tillsynsmail/A 20701-2026 tillsynsbegäran mail.docx", "A 20701-2026")</f>
        <v/>
      </c>
    </row>
    <row r="113" ht="15" customHeight="1">
      <c r="A113" t="inlineStr">
        <is>
          <t>A 20186-2024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45434</v>
      </c>
      <c r="E113" s="1" t="n">
        <v>46228</v>
      </c>
      <c r="F113" t="inlineStr">
        <is>
          <t>DALARNAS LÄN</t>
        </is>
      </c>
      <c r="G113" t="inlineStr">
        <is>
          <t>FALUN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HYPERLINK("https://klasma.github.io/Logging_2080/artfynd/A 20186-2024 artfynd.xlsx", "A 20186-2024")</f>
        <v/>
      </c>
      <c r="X113">
        <f>HYPERLINK("https://klasma.github.io/Logging_2080/kartor/A 20186-2024 karta.png", "A 20186-2024")</f>
        <v/>
      </c>
      <c r="Y113">
        <f>HYPERLINK("https://klasma.github.io/Logging_2080/kartor_geotiff/A 20186-2024 georefererad karta.tif", "A 20186-2024")</f>
        <v/>
      </c>
      <c r="Z113">
        <f>HYPERLINK("https://klasma.github.io/Logging_2080/knärot/A 20186-2024 karta knärot.png", "A 20186-2024")</f>
        <v/>
      </c>
      <c r="AA113">
        <f>HYPERLINK("https://klasma.github.io/Logging_2080/klagomål/A 20186-2024 FSC-klagomål.docx", "A 20186-2024")</f>
        <v/>
      </c>
      <c r="AB113">
        <f>HYPERLINK("https://klasma.github.io/Logging_2080/klagomålsmail/A 20186-2024 FSC-klagomål mail.docx", "A 20186-2024")</f>
        <v/>
      </c>
      <c r="AC113">
        <f>HYPERLINK("https://klasma.github.io/Logging_2080/tillsyn/A 20186-2024 tillsynsbegäran.docx", "A 20186-2024")</f>
        <v/>
      </c>
      <c r="AD113">
        <f>HYPERLINK("https://klasma.github.io/Logging_2080/tillsynsmail/A 20186-2024 tillsynsbegäran mail.docx", "A 20186-2024")</f>
        <v/>
      </c>
    </row>
    <row r="114" ht="15" customHeight="1">
      <c r="A114" t="inlineStr">
        <is>
          <t>A 20419-2026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46228</v>
      </c>
      <c r="F114" t="inlineStr">
        <is>
          <t>DALARNAS LÄN</t>
        </is>
      </c>
      <c r="G114" t="inlineStr">
        <is>
          <t>FALUN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Mindre märgborre</t>
        </is>
      </c>
      <c r="W114">
        <f>HYPERLINK("https://klasma.github.io/Logging_2080/artfynd/A 20419-2026 artfynd.xlsx", "A 20419-2026")</f>
        <v/>
      </c>
      <c r="X114">
        <f>HYPERLINK("https://klasma.github.io/Logging_2080/kartor/A 20419-2026 karta.png", "A 20419-2026")</f>
        <v/>
      </c>
      <c r="Y114">
        <f>HYPERLINK("https://klasma.github.io/Logging_2080/kartor_geotiff/A 20419-2026 georefererad karta.tif", "A 20419-2026")</f>
        <v/>
      </c>
      <c r="AA114">
        <f>HYPERLINK("https://klasma.github.io/Logging_2080/klagomål/A 20419-2026 FSC-klagomål.docx", "A 20419-2026")</f>
        <v/>
      </c>
      <c r="AB114">
        <f>HYPERLINK("https://klasma.github.io/Logging_2080/klagomålsmail/A 20419-2026 FSC-klagomål mail.docx", "A 20419-2026")</f>
        <v/>
      </c>
      <c r="AC114">
        <f>HYPERLINK("https://klasma.github.io/Logging_2080/tillsyn/A 20419-2026 tillsynsbegäran.docx", "A 20419-2026")</f>
        <v/>
      </c>
      <c r="AD114">
        <f>HYPERLINK("https://klasma.github.io/Logging_2080/tillsynsmail/A 20419-2026 tillsynsbegäran mail.docx", "A 20419-2026")</f>
        <v/>
      </c>
    </row>
    <row r="115" ht="15" customHeight="1">
      <c r="A115" t="inlineStr">
        <is>
          <t>A 49374-2025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46228</v>
      </c>
      <c r="F115" t="inlineStr">
        <is>
          <t>DALARNAS LÄN</t>
        </is>
      </c>
      <c r="G115" t="inlineStr">
        <is>
          <t>FALUN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12</v>
      </c>
      <c r="U115" t="n">
        <v>0</v>
      </c>
      <c r="V115" s="2" t="inlineStr">
        <is>
          <t>Brun gräsfjäril</t>
        </is>
      </c>
      <c r="W115">
        <f>HYPERLINK("https://klasma.github.io/Logging_2080/artfynd/A 49374-2025 artfynd.xlsx", "A 49374-2025")</f>
        <v/>
      </c>
      <c r="X115">
        <f>HYPERLINK("https://klasma.github.io/Logging_2080/kartor/A 49374-2025 karta.png", "A 49374-2025")</f>
        <v/>
      </c>
      <c r="Y115">
        <f>HYPERLINK("https://klasma.github.io/Logging_2080/kartor_geotiff/A 49374-2025 georefererad karta.tif", "A 49374-2025")</f>
        <v/>
      </c>
      <c r="AA115">
        <f>HYPERLINK("https://klasma.github.io/Logging_2080/klagomål/A 49374-2025 FSC-klagomål.docx", "A 49374-2025")</f>
        <v/>
      </c>
      <c r="AB115">
        <f>HYPERLINK("https://klasma.github.io/Logging_2080/klagomålsmail/A 49374-2025 FSC-klagomål mail.docx", "A 49374-2025")</f>
        <v/>
      </c>
      <c r="AC115">
        <f>HYPERLINK("https://klasma.github.io/Logging_2080/tillsyn/A 49374-2025 tillsynsbegäran.docx", "A 49374-2025")</f>
        <v/>
      </c>
      <c r="AD115">
        <f>HYPERLINK("https://klasma.github.io/Logging_2080/tillsynsmail/A 49374-2025 tillsynsbegäran mail.docx", "A 49374-2025")</f>
        <v/>
      </c>
    </row>
    <row r="116" ht="15" customHeight="1">
      <c r="A116" t="inlineStr">
        <is>
          <t>A 53454-2025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46228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53454-2025 artfynd.xlsx", "A 53454-2025")</f>
        <v/>
      </c>
      <c r="X116">
        <f>HYPERLINK("https://klasma.github.io/Logging_2080/kartor/A 53454-2025 karta.png", "A 53454-2025")</f>
        <v/>
      </c>
      <c r="Y116">
        <f>HYPERLINK("https://klasma.github.io/Logging_2080/kartor_geotiff/A 53454-2025 georefererad karta.tif", "A 53454-2025")</f>
        <v/>
      </c>
      <c r="AA116">
        <f>HYPERLINK("https://klasma.github.io/Logging_2080/klagomål/A 53454-2025 FSC-klagomål.docx", "A 53454-2025")</f>
        <v/>
      </c>
      <c r="AB116">
        <f>HYPERLINK("https://klasma.github.io/Logging_2080/klagomålsmail/A 53454-2025 FSC-klagomål mail.docx", "A 53454-2025")</f>
        <v/>
      </c>
      <c r="AC116">
        <f>HYPERLINK("https://klasma.github.io/Logging_2080/tillsyn/A 53454-2025 tillsynsbegäran.docx", "A 53454-2025")</f>
        <v/>
      </c>
      <c r="AD116">
        <f>HYPERLINK("https://klasma.github.io/Logging_2080/tillsynsmail/A 53454-2025 tillsynsbegäran mail.docx", "A 53454-2025")</f>
        <v/>
      </c>
    </row>
    <row r="117" ht="15" customHeight="1">
      <c r="A117" t="inlineStr">
        <is>
          <t>A 27316-2026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46228</v>
      </c>
      <c r="F117" t="inlineStr">
        <is>
          <t>DALARNAS LÄN</t>
        </is>
      </c>
      <c r="G117" t="inlineStr">
        <is>
          <t>FALUN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27316-2026 artfynd.xlsx", "A 27316-2026")</f>
        <v/>
      </c>
      <c r="X117">
        <f>HYPERLINK("https://klasma.github.io/Logging_2080/kartor/A 27316-2026 karta.png", "A 27316-2026")</f>
        <v/>
      </c>
      <c r="Y117">
        <f>HYPERLINK("https://klasma.github.io/Logging_2080/kartor_geotiff/A 27316-2026 georefererad karta.tif", "A 27316-2026")</f>
        <v/>
      </c>
      <c r="AA117">
        <f>HYPERLINK("https://klasma.github.io/Logging_2080/klagomål/A 27316-2026 FSC-klagomål.docx", "A 27316-2026")</f>
        <v/>
      </c>
      <c r="AB117">
        <f>HYPERLINK("https://klasma.github.io/Logging_2080/klagomålsmail/A 27316-2026 FSC-klagomål mail.docx", "A 27316-2026")</f>
        <v/>
      </c>
      <c r="AC117">
        <f>HYPERLINK("https://klasma.github.io/Logging_2080/tillsyn/A 27316-2026 tillsynsbegäran.docx", "A 27316-2026")</f>
        <v/>
      </c>
      <c r="AD117">
        <f>HYPERLINK("https://klasma.github.io/Logging_2080/tillsynsmail/A 27316-2026 tillsynsbegäran mail.docx", "A 27316-2026")</f>
        <v/>
      </c>
    </row>
    <row r="118" ht="15" customHeight="1">
      <c r="A118" t="inlineStr">
        <is>
          <t>A 27263-2026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46228</v>
      </c>
      <c r="F118" t="inlineStr">
        <is>
          <t>DALARNAS LÄN</t>
        </is>
      </c>
      <c r="G118" t="inlineStr">
        <is>
          <t>FALUN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27263-2026 artfynd.xlsx", "A 27263-2026")</f>
        <v/>
      </c>
      <c r="X118">
        <f>HYPERLINK("https://klasma.github.io/Logging_2080/kartor/A 27263-2026 karta.png", "A 27263-2026")</f>
        <v/>
      </c>
      <c r="Y118">
        <f>HYPERLINK("https://klasma.github.io/Logging_2080/kartor_geotiff/A 27263-2026 georefererad karta.tif", "A 27263-2026")</f>
        <v/>
      </c>
      <c r="AA118">
        <f>HYPERLINK("https://klasma.github.io/Logging_2080/klagomål/A 27263-2026 FSC-klagomål.docx", "A 27263-2026")</f>
        <v/>
      </c>
      <c r="AB118">
        <f>HYPERLINK("https://klasma.github.io/Logging_2080/klagomålsmail/A 27263-2026 FSC-klagomål mail.docx", "A 27263-2026")</f>
        <v/>
      </c>
      <c r="AC118">
        <f>HYPERLINK("https://klasma.github.io/Logging_2080/tillsyn/A 27263-2026 tillsynsbegäran.docx", "A 27263-2026")</f>
        <v/>
      </c>
      <c r="AD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27627-2026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46228</v>
      </c>
      <c r="F119" t="inlineStr">
        <is>
          <t>DALARNAS LÄN</t>
        </is>
      </c>
      <c r="G119" t="inlineStr">
        <is>
          <t>FALUN</t>
        </is>
      </c>
      <c r="I119" t="n">
        <v>1.7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HYPERLINK("https://klasma.github.io/Logging_2080/artfynd/A 27627-2026 artfynd.xlsx", "A 27627-2026")</f>
        <v/>
      </c>
      <c r="X119">
        <f>HYPERLINK("https://klasma.github.io/Logging_2080/kartor/A 27627-2026 karta.png", "A 27627-2026")</f>
        <v/>
      </c>
      <c r="Y119">
        <f>HYPERLINK("https://klasma.github.io/Logging_2080/kartor_geotiff/A 27627-2026 georefererad karta.tif", "A 27627-2026")</f>
        <v/>
      </c>
      <c r="Z119">
        <f>HYPERLINK("https://klasma.github.io/Logging_2080/knärot/A 27627-2026 karta knärot.png", "A 27627-2026")</f>
        <v/>
      </c>
      <c r="AA119">
        <f>HYPERLINK("https://klasma.github.io/Logging_2080/klagomål/A 27627-2026 FSC-klagomål.docx", "A 27627-2026")</f>
        <v/>
      </c>
      <c r="AB119">
        <f>HYPERLINK("https://klasma.github.io/Logging_2080/klagomålsmail/A 27627-2026 FSC-klagomål mail.docx", "A 27627-2026")</f>
        <v/>
      </c>
      <c r="AC119">
        <f>HYPERLINK("https://klasma.github.io/Logging_2080/tillsyn/A 27627-2026 tillsynsbegäran.docx", "A 27627-2026")</f>
        <v/>
      </c>
      <c r="AD119">
        <f>HYPERLINK("https://klasma.github.io/Logging_2080/tillsynsmail/A 27627-2026 tillsynsbegäran mail.docx", "A 27627-2026")</f>
        <v/>
      </c>
    </row>
    <row r="120" ht="15" customHeight="1">
      <c r="A120" t="inlineStr">
        <is>
          <t>A 27831-2026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46191</v>
      </c>
      <c r="E120" s="1" t="n">
        <v>46228</v>
      </c>
      <c r="F120" t="inlineStr">
        <is>
          <t>DALARNAS LÄN</t>
        </is>
      </c>
      <c r="G120" t="inlineStr">
        <is>
          <t>FALUN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Nattviol</t>
        </is>
      </c>
      <c r="W120">
        <f>HYPERLINK("https://klasma.github.io/Logging_2080/artfynd/A 27831-2026 artfynd.xlsx", "A 27831-2026")</f>
        <v/>
      </c>
      <c r="X120">
        <f>HYPERLINK("https://klasma.github.io/Logging_2080/kartor/A 27831-2026 karta.png", "A 27831-2026")</f>
        <v/>
      </c>
      <c r="Y120">
        <f>HYPERLINK("https://klasma.github.io/Logging_2080/kartor_geotiff/A 27831-2026 georefererad karta.tif", "A 27831-2026")</f>
        <v/>
      </c>
      <c r="AA120">
        <f>HYPERLINK("https://klasma.github.io/Logging_2080/klagomål/A 27831-2026 FSC-klagomål.docx", "A 27831-2026")</f>
        <v/>
      </c>
      <c r="AB120">
        <f>HYPERLINK("https://klasma.github.io/Logging_2080/klagomålsmail/A 27831-2026 FSC-klagomål mail.docx", "A 27831-2026")</f>
        <v/>
      </c>
      <c r="AC120">
        <f>HYPERLINK("https://klasma.github.io/Logging_2080/tillsyn/A 27831-2026 tillsynsbegäran.docx", "A 27831-2026")</f>
        <v/>
      </c>
      <c r="AD120">
        <f>HYPERLINK("https://klasma.github.io/Logging_2080/tillsynsmail/A 27831-2026 tillsynsbegäran mail.docx", "A 27831-2026")</f>
        <v/>
      </c>
    </row>
    <row r="121" ht="15" customHeight="1">
      <c r="A121" t="inlineStr">
        <is>
          <t>A 55724-2025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46228</v>
      </c>
      <c r="F121" t="inlineStr">
        <is>
          <t>DALARNAS LÄN</t>
        </is>
      </c>
      <c r="G121" t="inlineStr">
        <is>
          <t>FALUN</t>
        </is>
      </c>
      <c r="I121" t="n">
        <v>3.4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55724-2025 artfynd.xlsx", "A 55724-2025")</f>
        <v/>
      </c>
      <c r="X121">
        <f>HYPERLINK("https://klasma.github.io/Logging_2080/kartor/A 55724-2025 karta.png", "A 55724-2025")</f>
        <v/>
      </c>
      <c r="Y121">
        <f>HYPERLINK("https://klasma.github.io/Logging_2080/kartor_geotiff/A 55724-2025 georefererad karta.tif", "A 55724-2025")</f>
        <v/>
      </c>
      <c r="AA121">
        <f>HYPERLINK("https://klasma.github.io/Logging_2080/klagomål/A 55724-2025 FSC-klagomål.docx", "A 55724-2025")</f>
        <v/>
      </c>
      <c r="AB121">
        <f>HYPERLINK("https://klasma.github.io/Logging_2080/klagomålsmail/A 55724-2025 FSC-klagomål mail.docx", "A 55724-2025")</f>
        <v/>
      </c>
      <c r="AC121">
        <f>HYPERLINK("https://klasma.github.io/Logging_2080/tillsyn/A 55724-2025 tillsynsbegäran.docx", "A 55724-2025")</f>
        <v/>
      </c>
      <c r="AD121">
        <f>HYPERLINK("https://klasma.github.io/Logging_2080/tillsynsmail/A 55724-2025 tillsynsbegäran mail.docx", "A 55724-2025")</f>
        <v/>
      </c>
    </row>
    <row r="122" ht="15" customHeight="1">
      <c r="A122" t="inlineStr">
        <is>
          <t>A 28096-2026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46228</v>
      </c>
      <c r="F122" t="inlineStr">
        <is>
          <t>DALARNAS LÄN</t>
        </is>
      </c>
      <c r="G122" t="inlineStr">
        <is>
          <t>FALUN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28096-2026 artfynd.xlsx", "A 28096-2026")</f>
        <v/>
      </c>
      <c r="X122">
        <f>HYPERLINK("https://klasma.github.io/Logging_2080/kartor/A 28096-2026 karta.png", "A 28096-2026")</f>
        <v/>
      </c>
      <c r="Y122">
        <f>HYPERLINK("https://klasma.github.io/Logging_2080/kartor_geotiff/A 28096-2026 georefererad karta.tif", "A 28096-2026")</f>
        <v/>
      </c>
      <c r="AA122">
        <f>HYPERLINK("https://klasma.github.io/Logging_2080/klagomål/A 28096-2026 FSC-klagomål.docx", "A 28096-2026")</f>
        <v/>
      </c>
      <c r="AB122">
        <f>HYPERLINK("https://klasma.github.io/Logging_2080/klagomålsmail/A 28096-2026 FSC-klagomål mail.docx", "A 28096-2026")</f>
        <v/>
      </c>
      <c r="AC122">
        <f>HYPERLINK("https://klasma.github.io/Logging_2080/tillsyn/A 28096-2026 tillsynsbegäran.docx", "A 28096-2026")</f>
        <v/>
      </c>
      <c r="AD122">
        <f>HYPERLINK("https://klasma.github.io/Logging_2080/tillsynsmail/A 28096-2026 tillsynsbegäran mail.docx", "A 28096-2026")</f>
        <v/>
      </c>
    </row>
    <row r="123" ht="15" customHeight="1">
      <c r="A123" t="inlineStr">
        <is>
          <t>A 22784-2024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46228</v>
      </c>
      <c r="F123" t="inlineStr">
        <is>
          <t>DALARNAS LÄN</t>
        </is>
      </c>
      <c r="G123" t="inlineStr">
        <is>
          <t>FALUN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22784-2024 artfynd.xlsx", "A 22784-2024")</f>
        <v/>
      </c>
      <c r="X123">
        <f>HYPERLINK("https://klasma.github.io/Logging_2080/kartor/A 22784-2024 karta.png", "A 22784-2024")</f>
        <v/>
      </c>
      <c r="Y123">
        <f>HYPERLINK("https://klasma.github.io/Logging_2080/kartor_geotiff/A 22784-2024 georefererad karta.tif", "A 22784-2024")</f>
        <v/>
      </c>
      <c r="AA123">
        <f>HYPERLINK("https://klasma.github.io/Logging_2080/klagomål/A 22784-2024 FSC-klagomål.docx", "A 22784-2024")</f>
        <v/>
      </c>
      <c r="AB123">
        <f>HYPERLINK("https://klasma.github.io/Logging_2080/klagomålsmail/A 22784-2024 FSC-klagomål mail.docx", "A 22784-2024")</f>
        <v/>
      </c>
      <c r="AC123">
        <f>HYPERLINK("https://klasma.github.io/Logging_2080/tillsyn/A 22784-2024 tillsynsbegäran.docx", "A 22784-2024")</f>
        <v/>
      </c>
      <c r="AD123">
        <f>HYPERLINK("https://klasma.github.io/Logging_2080/tillsynsmail/A 22784-2024 tillsynsbegäran mail.docx", "A 22784-2024")</f>
        <v/>
      </c>
      <c r="AE123">
        <f>HYPERLINK("https://klasma.github.io/Logging_2080/fåglar/A 22784-2024 prioriterade fågelarter.docx", "A 22784-2024")</f>
        <v/>
      </c>
    </row>
    <row r="124" ht="15" customHeight="1">
      <c r="A124" t="inlineStr">
        <is>
          <t>A 22345-2026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46228</v>
      </c>
      <c r="F124" t="inlineStr">
        <is>
          <t>DALARNAS LÄN</t>
        </is>
      </c>
      <c r="G124" t="inlineStr">
        <is>
          <t>FALUN</t>
        </is>
      </c>
      <c r="I124" t="n">
        <v>1.7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HYPERLINK("https://klasma.github.io/Logging_2080/artfynd/A 22345-2026 artfynd.xlsx", "A 22345-2026")</f>
        <v/>
      </c>
      <c r="X124">
        <f>HYPERLINK("https://klasma.github.io/Logging_2080/kartor/A 22345-2026 karta.png", "A 22345-2026")</f>
        <v/>
      </c>
      <c r="Y124">
        <f>HYPERLINK("https://klasma.github.io/Logging_2080/kartor_geotiff/A 22345-2026 georefererad karta.tif", "A 22345-2026")</f>
        <v/>
      </c>
      <c r="AA124">
        <f>HYPERLINK("https://klasma.github.io/Logging_2080/klagomål/A 22345-2026 FSC-klagomål.docx", "A 22345-2026")</f>
        <v/>
      </c>
      <c r="AB124">
        <f>HYPERLINK("https://klasma.github.io/Logging_2080/klagomålsmail/A 22345-2026 FSC-klagomål mail.docx", "A 22345-2026")</f>
        <v/>
      </c>
      <c r="AC124">
        <f>HYPERLINK("https://klasma.github.io/Logging_2080/tillsyn/A 22345-2026 tillsynsbegäran.docx", "A 22345-2026")</f>
        <v/>
      </c>
      <c r="AD124">
        <f>HYPERLINK("https://klasma.github.io/Logging_2080/tillsynsmail/A 22345-2026 tillsynsbegäran mail.docx", "A 22345-2026")</f>
        <v/>
      </c>
    </row>
    <row r="125" ht="15" customHeight="1">
      <c r="A125" t="inlineStr">
        <is>
          <t>A 1342-2026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46228</v>
      </c>
      <c r="F125" t="inlineStr">
        <is>
          <t>DALARNAS LÄN</t>
        </is>
      </c>
      <c r="G125" t="inlineStr">
        <is>
          <t>FALUN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HYPERLINK("https://klasma.github.io/Logging_2080/artfynd/A 1342-2026 artfynd.xlsx", "A 1342-2026")</f>
        <v/>
      </c>
      <c r="X125">
        <f>HYPERLINK("https://klasma.github.io/Logging_2080/kartor/A 1342-2026 karta.png", "A 1342-2026")</f>
        <v/>
      </c>
      <c r="Y125">
        <f>HYPERLINK("https://klasma.github.io/Logging_2080/kartor_geotiff/A 1342-2026 georefererad karta.tif", "A 1342-2026")</f>
        <v/>
      </c>
      <c r="AA125">
        <f>HYPERLINK("https://klasma.github.io/Logging_2080/klagomål/A 1342-2026 FSC-klagomål.docx", "A 1342-2026")</f>
        <v/>
      </c>
      <c r="AB125">
        <f>HYPERLINK("https://klasma.github.io/Logging_2080/klagomålsmail/A 1342-2026 FSC-klagomål mail.docx", "A 1342-2026")</f>
        <v/>
      </c>
      <c r="AC125">
        <f>HYPERLINK("https://klasma.github.io/Logging_2080/tillsyn/A 1342-2026 tillsynsbegäran.docx", "A 1342-2026")</f>
        <v/>
      </c>
      <c r="AD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46228</v>
      </c>
      <c r="F126" t="inlineStr">
        <is>
          <t>DALARNAS LÄN</t>
        </is>
      </c>
      <c r="G126" t="inlineStr">
        <is>
          <t>FALUN</t>
        </is>
      </c>
      <c r="I126" t="n">
        <v>27.3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 groddlummer</t>
        </is>
      </c>
      <c r="W126">
        <f>HYPERLINK("https://klasma.github.io/Logging_2080/artfynd/A 1317-2026 artfynd.xlsx", "A 1317-2026")</f>
        <v/>
      </c>
      <c r="X126">
        <f>HYPERLINK("https://klasma.github.io/Logging_2080/kartor/A 1317-2026 karta.png", "A 1317-2026")</f>
        <v/>
      </c>
      <c r="Y126">
        <f>HYPERLINK("https://klasma.github.io/Logging_2080/kartor_geotiff/A 1317-2026 georefererad karta.tif", "A 1317-2026")</f>
        <v/>
      </c>
      <c r="AA126">
        <f>HYPERLINK("https://klasma.github.io/Logging_2080/klagomål/A 1317-2026 FSC-klagomål.docx", "A 1317-2026")</f>
        <v/>
      </c>
      <c r="AB126">
        <f>HYPERLINK("https://klasma.github.io/Logging_2080/klagomålsmail/A 1317-2026 FSC-klagomål mail.docx", "A 1317-2026")</f>
        <v/>
      </c>
      <c r="AC126">
        <f>HYPERLINK("https://klasma.github.io/Logging_2080/tillsyn/A 1317-2026 tillsynsbegäran.docx", "A 1317-2026")</f>
        <v/>
      </c>
      <c r="AD126">
        <f>HYPERLINK("https://klasma.github.io/Logging_2080/tillsynsmail/A 1317-2026 tillsynsbegäran mail.docx", "A 1317-2026")</f>
        <v/>
      </c>
    </row>
    <row r="127" ht="15" customHeight="1">
      <c r="A127" t="inlineStr">
        <is>
          <t>A 29133-2026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46202</v>
      </c>
      <c r="E127" s="1" t="n">
        <v>46228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HYPERLINK("https://klasma.github.io/Logging_2080/artfynd/A 29133-2026 artfynd.xlsx", "A 29133-2026")</f>
        <v/>
      </c>
      <c r="X127">
        <f>HYPERLINK("https://klasma.github.io/Logging_2080/kartor/A 29133-2026 karta.png", "A 29133-2026")</f>
        <v/>
      </c>
      <c r="Y127">
        <f>HYPERLINK("https://klasma.github.io/Logging_2080/kartor_geotiff/A 29133-2026 georefererad karta.tif", "A 29133-2026")</f>
        <v/>
      </c>
      <c r="AA127">
        <f>HYPERLINK("https://klasma.github.io/Logging_2080/klagomål/A 29133-2026 FSC-klagomål.docx", "A 29133-2026")</f>
        <v/>
      </c>
      <c r="AB127">
        <f>HYPERLINK("https://klasma.github.io/Logging_2080/klagomålsmail/A 29133-2026 FSC-klagomål mail.docx", "A 29133-2026")</f>
        <v/>
      </c>
      <c r="AC127">
        <f>HYPERLINK("https://klasma.github.io/Logging_2080/tillsyn/A 29133-2026 tillsynsbegäran.docx", "A 29133-2026")</f>
        <v/>
      </c>
      <c r="AD127">
        <f>HYPERLINK("https://klasma.github.io/Logging_2080/tillsynsmail/A 29133-2026 tillsynsbegäran mail.docx", "A 29133-2026")</f>
        <v/>
      </c>
    </row>
    <row r="128" ht="15" customHeight="1">
      <c r="A128" t="inlineStr">
        <is>
          <t>A 4921-2026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46228</v>
      </c>
      <c r="F128" t="inlineStr">
        <is>
          <t>DALARNAS LÄN</t>
        </is>
      </c>
      <c r="G128" t="inlineStr">
        <is>
          <t>FALUN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4921-2026 artfynd.xlsx", "A 4921-2026")</f>
        <v/>
      </c>
      <c r="X128">
        <f>HYPERLINK("https://klasma.github.io/Logging_2080/kartor/A 4921-2026 karta.png", "A 4921-2026")</f>
        <v/>
      </c>
      <c r="Y128">
        <f>HYPERLINK("https://klasma.github.io/Logging_2080/kartor_geotiff/A 4921-2026 georefererad karta.tif", "A 4921-2026")</f>
        <v/>
      </c>
      <c r="AA128">
        <f>HYPERLINK("https://klasma.github.io/Logging_2080/klagomål/A 4921-2026 FSC-klagomål.docx", "A 4921-2026")</f>
        <v/>
      </c>
      <c r="AB128">
        <f>HYPERLINK("https://klasma.github.io/Logging_2080/klagomålsmail/A 4921-2026 FSC-klagomål mail.docx", "A 4921-2026")</f>
        <v/>
      </c>
      <c r="AC128">
        <f>HYPERLINK("https://klasma.github.io/Logging_2080/tillsyn/A 4921-2026 tillsynsbegäran.docx", "A 4921-2026")</f>
        <v/>
      </c>
      <c r="AD128">
        <f>HYPERLINK("https://klasma.github.io/Logging_2080/tillsynsmail/A 4921-2026 tillsynsbegäran mail.docx", "A 4921-2026")</f>
        <v/>
      </c>
    </row>
    <row r="129" ht="15" customHeight="1">
      <c r="A129" t="inlineStr">
        <is>
          <t>A 3552-2026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46228</v>
      </c>
      <c r="F129" t="inlineStr">
        <is>
          <t>DALARNAS LÄN</t>
        </is>
      </c>
      <c r="G129" t="inlineStr">
        <is>
          <t>FALUN</t>
        </is>
      </c>
      <c r="I129" t="n">
        <v>3.8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3552-2026 artfynd.xlsx", "A 3552-2026")</f>
        <v/>
      </c>
      <c r="X129">
        <f>HYPERLINK("https://klasma.github.io/Logging_2080/kartor/A 3552-2026 karta.png", "A 3552-2026")</f>
        <v/>
      </c>
      <c r="Y129">
        <f>HYPERLINK("https://klasma.github.io/Logging_2080/kartor_geotiff/A 3552-2026 georefererad karta.tif", "A 3552-2026")</f>
        <v/>
      </c>
      <c r="AA129">
        <f>HYPERLINK("https://klasma.github.io/Logging_2080/klagomål/A 3552-2026 FSC-klagomål.docx", "A 3552-2026")</f>
        <v/>
      </c>
      <c r="AB129">
        <f>HYPERLINK("https://klasma.github.io/Logging_2080/klagomålsmail/A 3552-2026 FSC-klagomål mail.docx", "A 3552-2026")</f>
        <v/>
      </c>
      <c r="AC129">
        <f>HYPERLINK("https://klasma.github.io/Logging_2080/tillsyn/A 3552-2026 tillsynsbegäran.docx", "A 3552-2026")</f>
        <v/>
      </c>
      <c r="AD129">
        <f>HYPERLINK("https://klasma.github.io/Logging_2080/tillsynsmail/A 3552-2026 tillsynsbegäran mail.docx", "A 3552-2026")</f>
        <v/>
      </c>
      <c r="AE129">
        <f>HYPERLINK("https://klasma.github.io/Logging_2080/fåglar/A 3552-2026 prioriterade fågelarter.docx", "A 3552-2026")</f>
        <v/>
      </c>
    </row>
    <row r="130" ht="15" customHeight="1">
      <c r="A130" t="inlineStr">
        <is>
          <t>A 4537-2026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46046</v>
      </c>
      <c r="E130" s="1" t="n">
        <v>46228</v>
      </c>
      <c r="F130" t="inlineStr">
        <is>
          <t>DALARNAS LÄN</t>
        </is>
      </c>
      <c r="G130" t="inlineStr">
        <is>
          <t>FALUN</t>
        </is>
      </c>
      <c r="I130" t="n">
        <v>4.8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Knärot</t>
        </is>
      </c>
      <c r="W130">
        <f>HYPERLINK("https://klasma.github.io/Logging_2080/artfynd/A 4537-2026 artfynd.xlsx", "A 4537-2026")</f>
        <v/>
      </c>
      <c r="X130">
        <f>HYPERLINK("https://klasma.github.io/Logging_2080/kartor/A 4537-2026 karta.png", "A 4537-2026")</f>
        <v/>
      </c>
      <c r="Y130">
        <f>HYPERLINK("https://klasma.github.io/Logging_2080/kartor_geotiff/A 4537-2026 georefererad karta.tif", "A 4537-2026")</f>
        <v/>
      </c>
      <c r="Z130">
        <f>HYPERLINK("https://klasma.github.io/Logging_2080/knärot/A 4537-2026 karta knärot.png", "A 4537-2026")</f>
        <v/>
      </c>
      <c r="AA130">
        <f>HYPERLINK("https://klasma.github.io/Logging_2080/klagomål/A 4537-2026 FSC-klagomål.docx", "A 4537-2026")</f>
        <v/>
      </c>
      <c r="AB130">
        <f>HYPERLINK("https://klasma.github.io/Logging_2080/klagomålsmail/A 4537-2026 FSC-klagomål mail.docx", "A 4537-2026")</f>
        <v/>
      </c>
      <c r="AC130">
        <f>HYPERLINK("https://klasma.github.io/Logging_2080/tillsyn/A 4537-2026 tillsynsbegäran.docx", "A 4537-2026")</f>
        <v/>
      </c>
      <c r="AD130">
        <f>HYPERLINK("https://klasma.github.io/Logging_2080/tillsynsmail/A 4537-2026 tillsynsbegäran mail.docx", "A 4537-2026")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46228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6962-2026 artfynd.xlsx", "A 6962-2026")</f>
        <v/>
      </c>
      <c r="X131">
        <f>HYPERLINK("https://klasma.github.io/Logging_2080/kartor/A 6962-2026 karta.png", "A 6962-2026")</f>
        <v/>
      </c>
      <c r="Y131">
        <f>HYPERLINK("https://klasma.github.io/Logging_2080/kartor_geotiff/A 6962-2026 georefererad karta.tif", "A 6962-2026")</f>
        <v/>
      </c>
      <c r="AA131">
        <f>HYPERLINK("https://klasma.github.io/Logging_2080/klagomål/A 6962-2026 FSC-klagomål.docx", "A 6962-2026")</f>
        <v/>
      </c>
      <c r="AB131">
        <f>HYPERLINK("https://klasma.github.io/Logging_2080/klagomålsmail/A 6962-2026 FSC-klagomål mail.docx", "A 6962-2026")</f>
        <v/>
      </c>
      <c r="AC131">
        <f>HYPERLINK("https://klasma.github.io/Logging_2080/tillsyn/A 6962-2026 tillsynsbegäran.docx", "A 6962-2026")</f>
        <v/>
      </c>
      <c r="AD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46228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6968-2026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46228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6968-2026 artfynd.xlsx", "A 6968-2026")</f>
        <v/>
      </c>
      <c r="X133">
        <f>HYPERLINK("https://klasma.github.io/Logging_2080/kartor/A 6968-2026 karta.png", "A 6968-2026")</f>
        <v/>
      </c>
      <c r="Y133">
        <f>HYPERLINK("https://klasma.github.io/Logging_2080/kartor_geotiff/A 6968-2026 georefererad karta.tif", "A 6968-2026")</f>
        <v/>
      </c>
      <c r="AA133">
        <f>HYPERLINK("https://klasma.github.io/Logging_2080/klagomål/A 6968-2026 FSC-klagomål.docx", "A 6968-2026")</f>
        <v/>
      </c>
      <c r="AB133">
        <f>HYPERLINK("https://klasma.github.io/Logging_2080/klagomålsmail/A 6968-2026 FSC-klagomål mail.docx", "A 6968-2026")</f>
        <v/>
      </c>
      <c r="AC133">
        <f>HYPERLINK("https://klasma.github.io/Logging_2080/tillsyn/A 6968-2026 tillsynsbegäran.docx", "A 6968-2026")</f>
        <v/>
      </c>
      <c r="AD133">
        <f>HYPERLINK("https://klasma.github.io/Logging_2080/tillsynsmail/A 6968-2026 tillsynsbegäran mail.docx", "A 6968-2026")</f>
        <v/>
      </c>
    </row>
    <row r="134" ht="15" customHeight="1">
      <c r="A134" t="inlineStr">
        <is>
          <t>A 56138-2024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46228</v>
      </c>
      <c r="F134" t="inlineStr">
        <is>
          <t>DALARNAS LÄN</t>
        </is>
      </c>
      <c r="G134" t="inlineStr">
        <is>
          <t>FALUN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Citronporing</t>
        </is>
      </c>
      <c r="W134">
        <f>HYPERLINK("https://klasma.github.io/Logging_2080/artfynd/A 56138-2024 artfynd.xlsx", "A 56138-2024")</f>
        <v/>
      </c>
      <c r="X134">
        <f>HYPERLINK("https://klasma.github.io/Logging_2080/kartor/A 56138-2024 karta.png", "A 56138-2024")</f>
        <v/>
      </c>
      <c r="Y134">
        <f>HYPERLINK("https://klasma.github.io/Logging_2080/kartor_geotiff/A 56138-2024 georefererad karta.tif", "A 56138-2024")</f>
        <v/>
      </c>
      <c r="AA134">
        <f>HYPERLINK("https://klasma.github.io/Logging_2080/klagomål/A 56138-2024 FSC-klagomål.docx", "A 56138-2024")</f>
        <v/>
      </c>
      <c r="AB134">
        <f>HYPERLINK("https://klasma.github.io/Logging_2080/klagomålsmail/A 56138-2024 FSC-klagomål mail.docx", "A 56138-2024")</f>
        <v/>
      </c>
      <c r="AC134">
        <f>HYPERLINK("https://klasma.github.io/Logging_2080/tillsyn/A 56138-2024 tillsynsbegäran.docx", "A 56138-2024")</f>
        <v/>
      </c>
      <c r="AD134">
        <f>HYPERLINK("https://klasma.github.io/Logging_2080/tillsynsmail/A 56138-2024 tillsynsbegäran mail.docx", "A 56138-2024")</f>
        <v/>
      </c>
    </row>
    <row r="135" ht="15" customHeight="1">
      <c r="A135" t="inlineStr">
        <is>
          <t>A 9343-2026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46070</v>
      </c>
      <c r="E135" s="1" t="n">
        <v>46228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HYPERLINK("https://klasma.github.io/Logging_2080/artfynd/A 9343-2026 artfynd.xlsx", "A 9343-2026")</f>
        <v/>
      </c>
      <c r="X135">
        <f>HYPERLINK("https://klasma.github.io/Logging_2080/kartor/A 9343-2026 karta.png", "A 9343-2026")</f>
        <v/>
      </c>
      <c r="Y135">
        <f>HYPERLINK("https://klasma.github.io/Logging_2080/kartor_geotiff/A 9343-2026 georefererad karta.tif", "A 9343-2026")</f>
        <v/>
      </c>
      <c r="AA135">
        <f>HYPERLINK("https://klasma.github.io/Logging_2080/klagomål/A 9343-2026 FSC-klagomål.docx", "A 9343-2026")</f>
        <v/>
      </c>
      <c r="AB135">
        <f>HYPERLINK("https://klasma.github.io/Logging_2080/klagomålsmail/A 9343-2026 FSC-klagomål mail.docx", "A 9343-2026")</f>
        <v/>
      </c>
      <c r="AC135">
        <f>HYPERLINK("https://klasma.github.io/Logging_2080/tillsyn/A 9343-2026 tillsynsbegäran.docx", "A 9343-2026")</f>
        <v/>
      </c>
      <c r="AD135">
        <f>HYPERLINK("https://klasma.github.io/Logging_2080/tillsynsmail/A 9343-2026 tillsynsbegäran mail.docx", "A 9343-2026")</f>
        <v/>
      </c>
    </row>
    <row r="136" ht="15" customHeight="1">
      <c r="A136" t="inlineStr">
        <is>
          <t>A 11038-2026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46228</v>
      </c>
      <c r="F136" t="inlineStr">
        <is>
          <t>DALARNAS LÄN</t>
        </is>
      </c>
      <c r="G136" t="inlineStr">
        <is>
          <t>FALUN</t>
        </is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Utter</t>
        </is>
      </c>
      <c r="W136">
        <f>HYPERLINK("https://klasma.github.io/Logging_2080/artfynd/A 11038-2026 artfynd.xlsx", "A 11038-2026")</f>
        <v/>
      </c>
      <c r="X136">
        <f>HYPERLINK("https://klasma.github.io/Logging_2080/kartor/A 11038-2026 karta.png", "A 11038-2026")</f>
        <v/>
      </c>
      <c r="Y136">
        <f>HYPERLINK("https://klasma.github.io/Logging_2080/kartor_geotiff/A 11038-2026 georefererad karta.tif", "A 11038-2026")</f>
        <v/>
      </c>
      <c r="AA136">
        <f>HYPERLINK("https://klasma.github.io/Logging_2080/klagomål/A 11038-2026 FSC-klagomål.docx", "A 11038-2026")</f>
        <v/>
      </c>
      <c r="AB136">
        <f>HYPERLINK("https://klasma.github.io/Logging_2080/klagomålsmail/A 11038-2026 FSC-klagomål mail.docx", "A 11038-2026")</f>
        <v/>
      </c>
      <c r="AC136">
        <f>HYPERLINK("https://klasma.github.io/Logging_2080/tillsyn/A 11038-2026 tillsynsbegäran.docx", "A 11038-2026")</f>
        <v/>
      </c>
      <c r="AD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40853-2022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46228</v>
      </c>
      <c r="F137" t="inlineStr">
        <is>
          <t>DALARNAS LÄN</t>
        </is>
      </c>
      <c r="G137" t="inlineStr">
        <is>
          <t>FALUN</t>
        </is>
      </c>
      <c r="I137" t="n">
        <v>7.2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Sparvuggla</t>
        </is>
      </c>
      <c r="W137">
        <f>HYPERLINK("https://klasma.github.io/Logging_2080/artfynd/A 40853-2022 artfynd.xlsx", "A 40853-2022")</f>
        <v/>
      </c>
      <c r="X137">
        <f>HYPERLINK("https://klasma.github.io/Logging_2080/kartor/A 40853-2022 karta.png", "A 40853-2022")</f>
        <v/>
      </c>
      <c r="Y137">
        <f>HYPERLINK("https://klasma.github.io/Logging_2080/kartor_geotiff/A 40853-2022 georefererad karta.tif", "A 40853-2022")</f>
        <v/>
      </c>
      <c r="AA137">
        <f>HYPERLINK("https://klasma.github.io/Logging_2080/klagomål/A 40853-2022 FSC-klagomål.docx", "A 40853-2022")</f>
        <v/>
      </c>
      <c r="AB137">
        <f>HYPERLINK("https://klasma.github.io/Logging_2080/klagomålsmail/A 40853-2022 FSC-klagomål mail.docx", "A 40853-2022")</f>
        <v/>
      </c>
      <c r="AC137">
        <f>HYPERLINK("https://klasma.github.io/Logging_2080/tillsyn/A 40853-2022 tillsynsbegäran.docx", "A 40853-2022")</f>
        <v/>
      </c>
      <c r="AD137">
        <f>HYPERLINK("https://klasma.github.io/Logging_2080/tillsynsmail/A 40853-2022 tillsynsbegäran mail.docx", "A 40853-2022")</f>
        <v/>
      </c>
      <c r="AE137">
        <f>HYPERLINK("https://klasma.github.io/Logging_2080/fåglar/A 40853-2022 prioriterade fågelarter.docx", "A 40853-2022")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46228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46228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12257-2026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46087</v>
      </c>
      <c r="E140" s="1" t="n">
        <v>46228</v>
      </c>
      <c r="F140" t="inlineStr">
        <is>
          <t>DALARNAS LÄN</t>
        </is>
      </c>
      <c r="G140" t="inlineStr">
        <is>
          <t>FALUN</t>
        </is>
      </c>
      <c r="I140" t="n">
        <v>1.6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HYPERLINK("https://klasma.github.io/Logging_2080/artfynd/A 12257-2026 artfynd.xlsx", "A 12257-2026")</f>
        <v/>
      </c>
      <c r="X140">
        <f>HYPERLINK("https://klasma.github.io/Logging_2080/kartor/A 12257-2026 karta.png", "A 12257-2026")</f>
        <v/>
      </c>
      <c r="Y140">
        <f>HYPERLINK("https://klasma.github.io/Logging_2080/kartor_geotiff/A 12257-2026 georefererad karta.tif", "A 12257-2026")</f>
        <v/>
      </c>
      <c r="AA140">
        <f>HYPERLINK("https://klasma.github.io/Logging_2080/klagomål/A 12257-2026 FSC-klagomål.docx", "A 12257-2026")</f>
        <v/>
      </c>
      <c r="AB140">
        <f>HYPERLINK("https://klasma.github.io/Logging_2080/klagomålsmail/A 12257-2026 FSC-klagomål mail.docx", "A 12257-2026")</f>
        <v/>
      </c>
      <c r="AC140">
        <f>HYPERLINK("https://klasma.github.io/Logging_2080/tillsyn/A 12257-2026 tillsynsbegäran.docx", "A 12257-2026")</f>
        <v/>
      </c>
      <c r="AD140">
        <f>HYPERLINK("https://klasma.github.io/Logging_2080/tillsynsmail/A 12257-2026 tillsynsbegäran mail.docx", "A 12257-2026")</f>
        <v/>
      </c>
      <c r="AE140">
        <f>HYPERLINK("https://klasma.github.io/Logging_2080/fåglar/A 12257-2026 prioriterade fågelarter.docx", "A 12257-2026")</f>
        <v/>
      </c>
    </row>
    <row r="141" ht="15" customHeight="1">
      <c r="A141" t="inlineStr">
        <is>
          <t>A 22069-2023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46228</v>
      </c>
      <c r="F141" t="inlineStr">
        <is>
          <t>DALARNAS LÄN</t>
        </is>
      </c>
      <c r="G141" t="inlineStr">
        <is>
          <t>FALUN</t>
        </is>
      </c>
      <c r="I141" t="n">
        <v>3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t="n">
        <v>0</v>
      </c>
      <c r="V141" s="2" t="inlineStr">
        <is>
          <t>Brun gräsfjäril</t>
        </is>
      </c>
      <c r="W141">
        <f>HYPERLINK("https://klasma.github.io/Logging_2080/artfynd/A 22069-2023 artfynd.xlsx", "A 22069-2023")</f>
        <v/>
      </c>
      <c r="X141">
        <f>HYPERLINK("https://klasma.github.io/Logging_2080/kartor/A 22069-2023 karta.png", "A 22069-2023")</f>
        <v/>
      </c>
      <c r="Y141">
        <f>HYPERLINK("https://klasma.github.io/Logging_2080/kartor_geotiff/A 22069-2023 georefererad karta.tif", "A 22069-2023")</f>
        <v/>
      </c>
      <c r="AA141">
        <f>HYPERLINK("https://klasma.github.io/Logging_2080/klagomål/A 22069-2023 FSC-klagomål.docx", "A 22069-2023")</f>
        <v/>
      </c>
      <c r="AB141">
        <f>HYPERLINK("https://klasma.github.io/Logging_2080/klagomålsmail/A 22069-2023 FSC-klagomål mail.docx", "A 22069-2023")</f>
        <v/>
      </c>
      <c r="AC141">
        <f>HYPERLINK("https://klasma.github.io/Logging_2080/tillsyn/A 22069-2023 tillsynsbegäran.docx", "A 22069-2023")</f>
        <v/>
      </c>
      <c r="AD141">
        <f>HYPERLINK("https://klasma.github.io/Logging_2080/tillsynsmail/A 22069-2023 tillsynsbegäran mail.docx", "A 22069-2023")</f>
        <v/>
      </c>
    </row>
    <row r="142" ht="15" customHeight="1">
      <c r="A142" t="inlineStr">
        <is>
          <t>A 13205-2026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46228</v>
      </c>
      <c r="F142" t="inlineStr">
        <is>
          <t>DALARNAS LÄN</t>
        </is>
      </c>
      <c r="G142" t="inlineStr">
        <is>
          <t>FALUN</t>
        </is>
      </c>
      <c r="I142" t="n">
        <v>4.6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Sotriska</t>
        </is>
      </c>
      <c r="W142">
        <f>HYPERLINK("https://klasma.github.io/Logging_2080/artfynd/A 13205-2026 artfynd.xlsx", "A 13205-2026")</f>
        <v/>
      </c>
      <c r="X142">
        <f>HYPERLINK("https://klasma.github.io/Logging_2080/kartor/A 13205-2026 karta.png", "A 13205-2026")</f>
        <v/>
      </c>
      <c r="Y142">
        <f>HYPERLINK("https://klasma.github.io/Logging_2080/kartor_geotiff/A 13205-2026 georefererad karta.tif", "A 13205-2026")</f>
        <v/>
      </c>
      <c r="AA142">
        <f>HYPERLINK("https://klasma.github.io/Logging_2080/klagomål/A 13205-2026 FSC-klagomål.docx", "A 13205-2026")</f>
        <v/>
      </c>
      <c r="AB142">
        <f>HYPERLINK("https://klasma.github.io/Logging_2080/klagomålsmail/A 13205-2026 FSC-klagomål mail.docx", "A 13205-2026")</f>
        <v/>
      </c>
      <c r="AC142">
        <f>HYPERLINK("https://klasma.github.io/Logging_2080/tillsyn/A 13205-2026 tillsynsbegäran.docx", "A 13205-2026")</f>
        <v/>
      </c>
      <c r="AD142">
        <f>HYPERLINK("https://klasma.github.io/Logging_2080/tillsynsmail/A 13205-2026 tillsynsbegäran mail.docx", "A 13205-2026")</f>
        <v/>
      </c>
    </row>
    <row r="143" ht="15" customHeight="1">
      <c r="A143" t="inlineStr">
        <is>
          <t>A 18067-2023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46228</v>
      </c>
      <c r="F143" t="inlineStr">
        <is>
          <t>DALARNAS LÄN</t>
        </is>
      </c>
      <c r="G143" t="inlineStr">
        <is>
          <t>FALUN</t>
        </is>
      </c>
      <c r="I143" t="n">
        <v>7.7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Ögonpyrola</t>
        </is>
      </c>
      <c r="W143">
        <f>HYPERLINK("https://klasma.github.io/Logging_2080/artfynd/A 18067-2023 artfynd.xlsx", "A 18067-2023")</f>
        <v/>
      </c>
      <c r="X143">
        <f>HYPERLINK("https://klasma.github.io/Logging_2080/kartor/A 18067-2023 karta.png", "A 18067-2023")</f>
        <v/>
      </c>
      <c r="Y143">
        <f>HYPERLINK("https://klasma.github.io/Logging_2080/kartor_geotiff/A 18067-2023 georefererad karta.tif", "A 18067-2023")</f>
        <v/>
      </c>
      <c r="AA143">
        <f>HYPERLINK("https://klasma.github.io/Logging_2080/klagomål/A 18067-2023 FSC-klagomål.docx", "A 18067-2023")</f>
        <v/>
      </c>
      <c r="AB143">
        <f>HYPERLINK("https://klasma.github.io/Logging_2080/klagomålsmail/A 18067-2023 FSC-klagomål mail.docx", "A 18067-2023")</f>
        <v/>
      </c>
      <c r="AC143">
        <f>HYPERLINK("https://klasma.github.io/Logging_2080/tillsyn/A 18067-2023 tillsynsbegäran.docx", "A 18067-2023")</f>
        <v/>
      </c>
      <c r="AD143">
        <f>HYPERLINK("https://klasma.github.io/Logging_2080/tillsynsmail/A 18067-2023 tillsynsbegäran mail.docx", "A 18067-2023")</f>
        <v/>
      </c>
    </row>
    <row r="144" ht="15" customHeight="1">
      <c r="A144" t="inlineStr">
        <is>
          <t>A 15178-2026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46228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17.1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Stjärntagging</t>
        </is>
      </c>
      <c r="W144">
        <f>HYPERLINK("https://klasma.github.io/Logging_2080/artfynd/A 15178-2026 artfynd.xlsx", "A 15178-2026")</f>
        <v/>
      </c>
      <c r="X144">
        <f>HYPERLINK("https://klasma.github.io/Logging_2080/kartor/A 15178-2026 karta.png", "A 15178-2026")</f>
        <v/>
      </c>
      <c r="Y144">
        <f>HYPERLINK("https://klasma.github.io/Logging_2080/kartor_geotiff/A 15178-2026 georefererad karta.tif", "A 15178-2026")</f>
        <v/>
      </c>
      <c r="AA144">
        <f>HYPERLINK("https://klasma.github.io/Logging_2080/klagomål/A 15178-2026 FSC-klagomål.docx", "A 15178-2026")</f>
        <v/>
      </c>
      <c r="AB144">
        <f>HYPERLINK("https://klasma.github.io/Logging_2080/klagomålsmail/A 15178-2026 FSC-klagomål mail.docx", "A 15178-2026")</f>
        <v/>
      </c>
      <c r="AC144">
        <f>HYPERLINK("https://klasma.github.io/Logging_2080/tillsyn/A 15178-2026 tillsynsbegäran.docx", "A 15178-2026")</f>
        <v/>
      </c>
      <c r="AD144">
        <f>HYPERLINK("https://klasma.github.io/Logging_2080/tillsynsmail/A 15178-2026 tillsynsbegäran mail.docx", "A 15178-2026")</f>
        <v/>
      </c>
    </row>
    <row r="145" ht="15" customHeight="1">
      <c r="A145" t="inlineStr">
        <is>
          <t>A 16084-2026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46228</v>
      </c>
      <c r="F145" t="inlineStr">
        <is>
          <t>DALARNAS LÄN</t>
        </is>
      </c>
      <c r="G145" t="inlineStr">
        <is>
          <t>FALUN</t>
        </is>
      </c>
      <c r="H145" t="inlineStr">
        <is>
          <t>Allmännings- och besparingsskogar</t>
        </is>
      </c>
      <c r="I145" t="n">
        <v>10.4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Älg</t>
        </is>
      </c>
      <c r="W145">
        <f>HYPERLINK("https://klasma.github.io/Logging_2080/artfynd/A 16084-2026 artfynd.xlsx", "A 16084-2026")</f>
        <v/>
      </c>
      <c r="X145">
        <f>HYPERLINK("https://klasma.github.io/Logging_2080/kartor/A 16084-2026 karta.png", "A 16084-2026")</f>
        <v/>
      </c>
      <c r="Y145">
        <f>HYPERLINK("https://klasma.github.io/Logging_2080/kartor_geotiff/A 16084-2026 georefererad karta.tif", "A 16084-2026")</f>
        <v/>
      </c>
      <c r="AA145">
        <f>HYPERLINK("https://klasma.github.io/Logging_2080/klagomål/A 16084-2026 FSC-klagomål.docx", "A 16084-2026")</f>
        <v/>
      </c>
      <c r="AB145">
        <f>HYPERLINK("https://klasma.github.io/Logging_2080/klagomålsmail/A 16084-2026 FSC-klagomål mail.docx", "A 16084-2026")</f>
        <v/>
      </c>
      <c r="AC145">
        <f>HYPERLINK("https://klasma.github.io/Logging_2080/tillsyn/A 16084-2026 tillsynsbegäran.docx", "A 16084-2026")</f>
        <v/>
      </c>
      <c r="AD145">
        <f>HYPERLINK("https://klasma.github.io/Logging_2080/tillsynsmail/A 16084-2026 tillsynsbegäran mail.docx", "A 16084-2026")</f>
        <v/>
      </c>
    </row>
    <row r="146" ht="15" customHeight="1">
      <c r="A146" t="inlineStr">
        <is>
          <t>A 11941-2026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46228</v>
      </c>
      <c r="F146" t="inlineStr">
        <is>
          <t>DALARNAS LÄN</t>
        </is>
      </c>
      <c r="G146" t="inlineStr">
        <is>
          <t>FALUN</t>
        </is>
      </c>
      <c r="I146" t="n">
        <v>8.1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Skogsödla</t>
        </is>
      </c>
      <c r="W146">
        <f>HYPERLINK("https://klasma.github.io/Logging_2080/artfynd/A 11941-2026 artfynd.xlsx", "A 11941-2026")</f>
        <v/>
      </c>
      <c r="X146">
        <f>HYPERLINK("https://klasma.github.io/Logging_2080/kartor/A 11941-2026 karta.png", "A 11941-2026")</f>
        <v/>
      </c>
      <c r="Y146">
        <f>HYPERLINK("https://klasma.github.io/Logging_2080/kartor_geotiff/A 11941-2026 georefererad karta.tif", "A 11941-2026")</f>
        <v/>
      </c>
      <c r="AA146">
        <f>HYPERLINK("https://klasma.github.io/Logging_2080/klagomål/A 11941-2026 FSC-klagomål.docx", "A 11941-2026")</f>
        <v/>
      </c>
      <c r="AB146">
        <f>HYPERLINK("https://klasma.github.io/Logging_2080/klagomålsmail/A 11941-2026 FSC-klagomål mail.docx", "A 11941-2026")</f>
        <v/>
      </c>
      <c r="AC146">
        <f>HYPERLINK("https://klasma.github.io/Logging_2080/tillsyn/A 11941-2026 tillsynsbegäran.docx", "A 11941-2026")</f>
        <v/>
      </c>
      <c r="AD146">
        <f>HYPERLINK("https://klasma.github.io/Logging_2080/tillsynsmail/A 11941-2026 tillsynsbegäran mail.docx", "A 11941-2026")</f>
        <v/>
      </c>
    </row>
    <row r="147" ht="15" customHeight="1">
      <c r="A147" t="inlineStr">
        <is>
          <t>A 17252-2026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46228</v>
      </c>
      <c r="F147" t="inlineStr">
        <is>
          <t>DALARNAS LÄN</t>
        </is>
      </c>
      <c r="G147" t="inlineStr">
        <is>
          <t>FALUN</t>
        </is>
      </c>
      <c r="I147" t="n">
        <v>88.90000000000001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HYPERLINK("https://klasma.github.io/Logging_2080/artfynd/A 17252-2026 artfynd.xlsx", "A 17252-2026")</f>
        <v/>
      </c>
      <c r="X147">
        <f>HYPERLINK("https://klasma.github.io/Logging_2080/kartor/A 17252-2026 karta.png", "A 17252-2026")</f>
        <v/>
      </c>
      <c r="Y147">
        <f>HYPERLINK("https://klasma.github.io/Logging_2080/kartor_geotiff/A 17252-2026 georefererad karta.tif", "A 17252-2026")</f>
        <v/>
      </c>
      <c r="AA147">
        <f>HYPERLINK("https://klasma.github.io/Logging_2080/klagomål/A 17252-2026 FSC-klagomål.docx", "A 17252-2026")</f>
        <v/>
      </c>
      <c r="AB147">
        <f>HYPERLINK("https://klasma.github.io/Logging_2080/klagomålsmail/A 17252-2026 FSC-klagomål mail.docx", "A 17252-2026")</f>
        <v/>
      </c>
      <c r="AC147">
        <f>HYPERLINK("https://klasma.github.io/Logging_2080/tillsyn/A 17252-2026 tillsynsbegäran.docx", "A 17252-2026")</f>
        <v/>
      </c>
      <c r="AD147">
        <f>HYPERLINK("https://klasma.github.io/Logging_2080/tillsynsmail/A 17252-2026 tillsynsbegäran mail.docx", "A 17252-2026")</f>
        <v/>
      </c>
    </row>
    <row r="148" ht="15" customHeight="1">
      <c r="A148" t="inlineStr">
        <is>
          <t>A 25540-2026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46177</v>
      </c>
      <c r="E148" s="1" t="n">
        <v>46228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HYPERLINK("https://klasma.github.io/Logging_2080/artfynd/A 25540-2026 artfynd.xlsx", "A 25540-2026")</f>
        <v/>
      </c>
      <c r="X148">
        <f>HYPERLINK("https://klasma.github.io/Logging_2080/kartor/A 25540-2026 karta.png", "A 25540-2026")</f>
        <v/>
      </c>
      <c r="Y148">
        <f>HYPERLINK("https://klasma.github.io/Logging_2080/kartor_geotiff/A 25540-2026 georefererad karta.tif", "A 25540-2026")</f>
        <v/>
      </c>
      <c r="AA148">
        <f>HYPERLINK("https://klasma.github.io/Logging_2080/klagomål/A 25540-2026 FSC-klagomål.docx", "A 25540-2026")</f>
        <v/>
      </c>
      <c r="AB148">
        <f>HYPERLINK("https://klasma.github.io/Logging_2080/klagomålsmail/A 25540-2026 FSC-klagomål mail.docx", "A 25540-2026")</f>
        <v/>
      </c>
      <c r="AC148">
        <f>HYPERLINK("https://klasma.github.io/Logging_2080/tillsyn/A 25540-2026 tillsynsbegäran.docx", "A 25540-2026")</f>
        <v/>
      </c>
      <c r="AD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18707-2026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46128</v>
      </c>
      <c r="E149" s="1" t="n">
        <v>46228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Blanksvart spiklav</t>
        </is>
      </c>
      <c r="W149">
        <f>HYPERLINK("https://klasma.github.io/Logging_2080/artfynd/A 18707-2026 artfynd.xlsx", "A 18707-2026")</f>
        <v/>
      </c>
      <c r="X149">
        <f>HYPERLINK("https://klasma.github.io/Logging_2080/kartor/A 18707-2026 karta.png", "A 18707-2026")</f>
        <v/>
      </c>
      <c r="Y149">
        <f>HYPERLINK("https://klasma.github.io/Logging_2080/kartor_geotiff/A 18707-2026 georefererad karta.tif", "A 18707-2026")</f>
        <v/>
      </c>
      <c r="AA149">
        <f>HYPERLINK("https://klasma.github.io/Logging_2080/klagomål/A 18707-2026 FSC-klagomål.docx", "A 18707-2026")</f>
        <v/>
      </c>
      <c r="AB149">
        <f>HYPERLINK("https://klasma.github.io/Logging_2080/klagomålsmail/A 18707-2026 FSC-klagomål mail.docx", "A 18707-2026")</f>
        <v/>
      </c>
      <c r="AC149">
        <f>HYPERLINK("https://klasma.github.io/Logging_2080/tillsyn/A 18707-2026 tillsynsbegäran.docx", "A 18707-2026")</f>
        <v/>
      </c>
      <c r="AD149">
        <f>HYPERLINK("https://klasma.github.io/Logging_2080/tillsynsmail/A 18707-2026 tillsynsbegäran mail.docx", "A 18707-2026")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46228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15598-2026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46228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18.2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Sparvuggla</t>
        </is>
      </c>
      <c r="W151">
        <f>HYPERLINK("https://klasma.github.io/Logging_2080/artfynd/A 15598-2026 artfynd.xlsx", "A 15598-2026")</f>
        <v/>
      </c>
      <c r="X151">
        <f>HYPERLINK("https://klasma.github.io/Logging_2080/kartor/A 15598-2026 karta.png", "A 15598-2026")</f>
        <v/>
      </c>
      <c r="Y151">
        <f>HYPERLINK("https://klasma.github.io/Logging_2080/kartor_geotiff/A 15598-2026 georefererad karta.tif", "A 15598-2026")</f>
        <v/>
      </c>
      <c r="AA151">
        <f>HYPERLINK("https://klasma.github.io/Logging_2080/klagomål/A 15598-2026 FSC-klagomål.docx", "A 15598-2026")</f>
        <v/>
      </c>
      <c r="AB151">
        <f>HYPERLINK("https://klasma.github.io/Logging_2080/klagomålsmail/A 15598-2026 FSC-klagomål mail.docx", "A 15598-2026")</f>
        <v/>
      </c>
      <c r="AC151">
        <f>HYPERLINK("https://klasma.github.io/Logging_2080/tillsyn/A 15598-2026 tillsynsbegäran.docx", "A 15598-2026")</f>
        <v/>
      </c>
      <c r="AD151">
        <f>HYPERLINK("https://klasma.github.io/Logging_2080/tillsynsmail/A 15598-2026 tillsynsbegäran mail.docx", "A 15598-2026")</f>
        <v/>
      </c>
      <c r="AE151">
        <f>HYPERLINK("https://klasma.github.io/Logging_2080/fåglar/A 15598-2026 prioriterade fågelarter.docx", "A 15598-2026")</f>
        <v/>
      </c>
    </row>
    <row r="152" ht="15" customHeight="1">
      <c r="A152" t="inlineStr">
        <is>
          <t>A 15601-2026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46228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35.5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HYPERLINK("https://klasma.github.io/Logging_2080/artfynd/A 15601-2026 artfynd.xlsx", "A 15601-2026")</f>
        <v/>
      </c>
      <c r="X152">
        <f>HYPERLINK("https://klasma.github.io/Logging_2080/kartor/A 15601-2026 karta.png", "A 15601-2026")</f>
        <v/>
      </c>
      <c r="Y152">
        <f>HYPERLINK("https://klasma.github.io/Logging_2080/kartor_geotiff/A 15601-2026 georefererad karta.tif", "A 15601-2026")</f>
        <v/>
      </c>
      <c r="AA152">
        <f>HYPERLINK("https://klasma.github.io/Logging_2080/klagomål/A 15601-2026 FSC-klagomål.docx", "A 15601-2026")</f>
        <v/>
      </c>
      <c r="AB152">
        <f>HYPERLINK("https://klasma.github.io/Logging_2080/klagomålsmail/A 15601-2026 FSC-klagomål mail.docx", "A 15601-2026")</f>
        <v/>
      </c>
      <c r="AC152">
        <f>HYPERLINK("https://klasma.github.io/Logging_2080/tillsyn/A 15601-2026 tillsynsbegäran.docx", "A 15601-2026")</f>
        <v/>
      </c>
      <c r="AD152">
        <f>HYPERLINK("https://klasma.github.io/Logging_2080/tillsynsmail/A 15601-2026 tillsynsbegäran mail.docx", "A 15601-2026")</f>
        <v/>
      </c>
    </row>
    <row r="153" ht="15" customHeight="1">
      <c r="A153" t="inlineStr">
        <is>
          <t>A 19727-2026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46135</v>
      </c>
      <c r="E153" s="1" t="n">
        <v>46228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24.3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Flodpärlmussla</t>
        </is>
      </c>
      <c r="W153">
        <f>HYPERLINK("https://klasma.github.io/Logging_2080/artfynd/A 19727-2026 artfynd.xlsx", "A 19727-2026")</f>
        <v/>
      </c>
      <c r="X153">
        <f>HYPERLINK("https://klasma.github.io/Logging_2080/kartor/A 19727-2026 karta.png", "A 19727-2026")</f>
        <v/>
      </c>
      <c r="Y153">
        <f>HYPERLINK("https://klasma.github.io/Logging_2080/kartor_geotiff/A 19727-2026 georefererad karta.tif", "A 19727-2026")</f>
        <v/>
      </c>
      <c r="AA153">
        <f>HYPERLINK("https://klasma.github.io/Logging_2080/klagomål/A 19727-2026 FSC-klagomål.docx", "A 19727-2026")</f>
        <v/>
      </c>
      <c r="AB153">
        <f>HYPERLINK("https://klasma.github.io/Logging_2080/klagomålsmail/A 19727-2026 FSC-klagomål mail.docx", "A 19727-2026")</f>
        <v/>
      </c>
      <c r="AC153">
        <f>HYPERLINK("https://klasma.github.io/Logging_2080/tillsyn/A 19727-2026 tillsynsbegäran.docx", "A 19727-2026")</f>
        <v/>
      </c>
      <c r="AD153">
        <f>HYPERLINK("https://klasma.github.io/Logging_2080/tillsynsmail/A 19727-2026 tillsynsbegäran mail.docx", "A 19727-2026")</f>
        <v/>
      </c>
    </row>
    <row r="154" ht="15" customHeight="1">
      <c r="A154" t="inlineStr">
        <is>
          <t>A 48693-2023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46228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4.1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Revlummer</t>
        </is>
      </c>
      <c r="W154">
        <f>HYPERLINK("https://klasma.github.io/Logging_2080/artfynd/A 48693-2023 artfynd.xlsx", "A 48693-2023")</f>
        <v/>
      </c>
      <c r="X154">
        <f>HYPERLINK("https://klasma.github.io/Logging_2080/kartor/A 48693-2023 karta.png", "A 48693-2023")</f>
        <v/>
      </c>
      <c r="Y154">
        <f>HYPERLINK("https://klasma.github.io/Logging_2080/kartor_geotiff/A 48693-2023 georefererad karta.tif", "A 48693-2023")</f>
        <v/>
      </c>
      <c r="AA154">
        <f>HYPERLINK("https://klasma.github.io/Logging_2080/klagomål/A 48693-2023 FSC-klagomål.docx", "A 48693-2023")</f>
        <v/>
      </c>
      <c r="AB154">
        <f>HYPERLINK("https://klasma.github.io/Logging_2080/klagomålsmail/A 48693-2023 FSC-klagomål mail.docx", "A 48693-2023")</f>
        <v/>
      </c>
      <c r="AC154">
        <f>HYPERLINK("https://klasma.github.io/Logging_2080/tillsyn/A 48693-2023 tillsynsbegäran.docx", "A 48693-2023")</f>
        <v/>
      </c>
      <c r="AD154">
        <f>HYPERLINK("https://klasma.github.io/Logging_2080/tillsynsmail/A 48693-2023 tillsynsbegäran mail.docx", "A 48693-2023")</f>
        <v/>
      </c>
    </row>
    <row r="155" ht="15" customHeight="1">
      <c r="A155" t="inlineStr">
        <is>
          <t>A 1010-2023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46228</v>
      </c>
      <c r="F155" t="inlineStr">
        <is>
          <t>DALARNAS LÄN</t>
        </is>
      </c>
      <c r="G155" t="inlineStr">
        <is>
          <t>FALUN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HYPERLINK("https://klasma.github.io/Logging_2080/artfynd/A 1010-2023 artfynd.xlsx", "A 1010-2023")</f>
        <v/>
      </c>
      <c r="X155">
        <f>HYPERLINK("https://klasma.github.io/Logging_2080/kartor/A 1010-2023 karta.png", "A 1010-2023")</f>
        <v/>
      </c>
      <c r="Y155">
        <f>HYPERLINK("https://klasma.github.io/Logging_2080/kartor_geotiff/A 1010-2023 georefererad karta.tif", "A 1010-2023")</f>
        <v/>
      </c>
      <c r="AA155">
        <f>HYPERLINK("https://klasma.github.io/Logging_2080/klagomål/A 1010-2023 FSC-klagomål.docx", "A 1010-2023")</f>
        <v/>
      </c>
      <c r="AB155">
        <f>HYPERLINK("https://klasma.github.io/Logging_2080/klagomålsmail/A 1010-2023 FSC-klagomål mail.docx", "A 1010-2023")</f>
        <v/>
      </c>
      <c r="AC155">
        <f>HYPERLINK("https://klasma.github.io/Logging_2080/tillsyn/A 1010-2023 tillsynsbegäran.docx", "A 1010-2023")</f>
        <v/>
      </c>
      <c r="AD155">
        <f>HYPERLINK("https://klasma.github.io/Logging_2080/tillsynsmail/A 1010-2023 tillsynsbegäran mail.docx", "A 1010-2023")</f>
        <v/>
      </c>
    </row>
    <row r="156" ht="15" customHeight="1">
      <c r="A156" t="inlineStr">
        <is>
          <t>A 6936-2024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46228</v>
      </c>
      <c r="F156" t="inlineStr">
        <is>
          <t>DALARNAS LÄN</t>
        </is>
      </c>
      <c r="G156" t="inlineStr">
        <is>
          <t>FALUN</t>
        </is>
      </c>
      <c r="I156" t="n">
        <v>2.1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Talltita</t>
        </is>
      </c>
      <c r="W156">
        <f>HYPERLINK("https://klasma.github.io/Logging_2080/artfynd/A 6936-2024 artfynd.xlsx", "A 6936-2024")</f>
        <v/>
      </c>
      <c r="X156">
        <f>HYPERLINK("https://klasma.github.io/Logging_2080/kartor/A 6936-2024 karta.png", "A 6936-2024")</f>
        <v/>
      </c>
      <c r="Y156">
        <f>HYPERLINK("https://klasma.github.io/Logging_2080/kartor_geotiff/A 6936-2024 georefererad karta.tif", "A 6936-2024")</f>
        <v/>
      </c>
      <c r="AA156">
        <f>HYPERLINK("https://klasma.github.io/Logging_2080/klagomål/A 6936-2024 FSC-klagomål.docx", "A 6936-2024")</f>
        <v/>
      </c>
      <c r="AB156">
        <f>HYPERLINK("https://klasma.github.io/Logging_2080/klagomålsmail/A 6936-2024 FSC-klagomål mail.docx", "A 6936-2024")</f>
        <v/>
      </c>
      <c r="AC156">
        <f>HYPERLINK("https://klasma.github.io/Logging_2080/tillsyn/A 6936-2024 tillsynsbegäran.docx", "A 6936-2024")</f>
        <v/>
      </c>
      <c r="AD156">
        <f>HYPERLINK("https://klasma.github.io/Logging_2080/tillsynsmail/A 6936-2024 tillsynsbegäran mail.docx", "A 6936-2024")</f>
        <v/>
      </c>
      <c r="AE156">
        <f>HYPERLINK("https://klasma.github.io/Logging_2080/fåglar/A 6936-2024 prioriterade fågelarter.docx", "A 6936-2024")</f>
        <v/>
      </c>
    </row>
    <row r="157" ht="15" customHeight="1">
      <c r="A157" t="inlineStr">
        <is>
          <t>A 26721-2025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46228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Doftskinn</t>
        </is>
      </c>
      <c r="W157">
        <f>HYPERLINK("https://klasma.github.io/Logging_2080/artfynd/A 26721-2025 artfynd.xlsx", "A 26721-2025")</f>
        <v/>
      </c>
      <c r="X157">
        <f>HYPERLINK("https://klasma.github.io/Logging_2080/kartor/A 26721-2025 karta.png", "A 26721-2025")</f>
        <v/>
      </c>
      <c r="Y157">
        <f>HYPERLINK("https://klasma.github.io/Logging_2080/kartor_geotiff/A 26721-2025 georefererad karta.tif", "A 26721-2025")</f>
        <v/>
      </c>
      <c r="AA157">
        <f>HYPERLINK("https://klasma.github.io/Logging_2080/klagomål/A 26721-2025 FSC-klagomål.docx", "A 26721-2025")</f>
        <v/>
      </c>
      <c r="AB157">
        <f>HYPERLINK("https://klasma.github.io/Logging_2080/klagomålsmail/A 26721-2025 FSC-klagomål mail.docx", "A 26721-2025")</f>
        <v/>
      </c>
      <c r="AC157">
        <f>HYPERLINK("https://klasma.github.io/Logging_2080/tillsyn/A 26721-2025 tillsynsbegäran.docx", "A 26721-2025")</f>
        <v/>
      </c>
      <c r="AD157">
        <f>HYPERLINK("https://klasma.github.io/Logging_2080/tillsynsmail/A 26721-2025 tillsynsbegäran mail.docx", "A 26721-2025")</f>
        <v/>
      </c>
    </row>
    <row r="158" ht="15" customHeight="1">
      <c r="A158" t="inlineStr">
        <is>
          <t>A 26776-2025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46228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Skör kvastmossa</t>
        </is>
      </c>
      <c r="W158">
        <f>HYPERLINK("https://klasma.github.io/Logging_2080/artfynd/A 26776-2025 artfynd.xlsx", "A 26776-2025")</f>
        <v/>
      </c>
      <c r="X158">
        <f>HYPERLINK("https://klasma.github.io/Logging_2080/kartor/A 26776-2025 karta.png", "A 26776-2025")</f>
        <v/>
      </c>
      <c r="Y158">
        <f>HYPERLINK("https://klasma.github.io/Logging_2080/kartor_geotiff/A 26776-2025 georefererad karta.tif", "A 26776-2025")</f>
        <v/>
      </c>
      <c r="AA158">
        <f>HYPERLINK("https://klasma.github.io/Logging_2080/klagomål/A 26776-2025 FSC-klagomål.docx", "A 26776-2025")</f>
        <v/>
      </c>
      <c r="AB158">
        <f>HYPERLINK("https://klasma.github.io/Logging_2080/klagomålsmail/A 26776-2025 FSC-klagomål mail.docx", "A 26776-2025")</f>
        <v/>
      </c>
      <c r="AC158">
        <f>HYPERLINK("https://klasma.github.io/Logging_2080/tillsyn/A 26776-2025 tillsynsbegäran.docx", "A 26776-2025")</f>
        <v/>
      </c>
      <c r="AD158">
        <f>HYPERLINK("https://klasma.github.io/Logging_2080/tillsynsmail/A 26776-2025 tillsynsbegäran mail.docx", "A 26776-2025")</f>
        <v/>
      </c>
    </row>
    <row r="159" ht="15" customHeight="1">
      <c r="A159" t="inlineStr">
        <is>
          <t>A 28679-2025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46228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HYPERLINK("https://klasma.github.io/Logging_2080/artfynd/A 28679-2025 artfynd.xlsx", "A 28679-2025")</f>
        <v/>
      </c>
      <c r="X159">
        <f>HYPERLINK("https://klasma.github.io/Logging_2080/kartor/A 28679-2025 karta.png", "A 28679-2025")</f>
        <v/>
      </c>
      <c r="Y159">
        <f>HYPERLINK("https://klasma.github.io/Logging_2080/kartor_geotiff/A 28679-2025 georefererad karta.tif", "A 28679-2025")</f>
        <v/>
      </c>
      <c r="AA159">
        <f>HYPERLINK("https://klasma.github.io/Logging_2080/klagomål/A 28679-2025 FSC-klagomål.docx", "A 28679-2025")</f>
        <v/>
      </c>
      <c r="AB159">
        <f>HYPERLINK("https://klasma.github.io/Logging_2080/klagomålsmail/A 28679-2025 FSC-klagomål mail.docx", "A 28679-2025")</f>
        <v/>
      </c>
      <c r="AC159">
        <f>HYPERLINK("https://klasma.github.io/Logging_2080/tillsyn/A 28679-2025 tillsynsbegäran.docx", "A 28679-2025")</f>
        <v/>
      </c>
      <c r="AD159">
        <f>HYPERLINK("https://klasma.github.io/Logging_2080/tillsynsmail/A 28679-2025 tillsynsbegäran mail.docx", "A 28679-2025")</f>
        <v/>
      </c>
    </row>
    <row r="160" ht="15" customHeight="1">
      <c r="A160" t="inlineStr">
        <is>
          <t>A 36199-2025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45867</v>
      </c>
      <c r="E160" s="1" t="n">
        <v>46228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Rynkskinn</t>
        </is>
      </c>
      <c r="W160">
        <f>HYPERLINK("https://klasma.github.io/Logging_2080/artfynd/A 36199-2025 artfynd.xlsx", "A 36199-2025")</f>
        <v/>
      </c>
      <c r="X160">
        <f>HYPERLINK("https://klasma.github.io/Logging_2080/kartor/A 36199-2025 karta.png", "A 36199-2025")</f>
        <v/>
      </c>
      <c r="Y160">
        <f>HYPERLINK("https://klasma.github.io/Logging_2080/kartor_geotiff/A 36199-2025 georefererad karta.tif", "A 36199-2025")</f>
        <v/>
      </c>
      <c r="AA160">
        <f>HYPERLINK("https://klasma.github.io/Logging_2080/klagomål/A 36199-2025 FSC-klagomål.docx", "A 36199-2025")</f>
        <v/>
      </c>
      <c r="AB160">
        <f>HYPERLINK("https://klasma.github.io/Logging_2080/klagomålsmail/A 36199-2025 FSC-klagomål mail.docx", "A 36199-2025")</f>
        <v/>
      </c>
      <c r="AC160">
        <f>HYPERLINK("https://klasma.github.io/Logging_2080/tillsyn/A 36199-2025 tillsynsbegäran.docx", "A 36199-2025")</f>
        <v/>
      </c>
      <c r="AD160">
        <f>HYPERLINK("https://klasma.github.io/Logging_2080/tillsynsmail/A 36199-2025 tillsynsbegäran mail.docx", "A 36199-2025")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46228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46228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46228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46228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46228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46228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46228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46228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46228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46228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46228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46228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46228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46228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46228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46228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44636</v>
      </c>
      <c r="E177" s="1" t="n">
        <v>46228</v>
      </c>
      <c r="F177" t="inlineStr">
        <is>
          <t>DALARNAS LÄN</t>
        </is>
      </c>
      <c r="G177" t="inlineStr">
        <is>
          <t>FALUN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46228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46228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46228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46228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46228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46228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46228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46228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46228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46228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46228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46228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46228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46228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46228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46228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46228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46228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46228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46228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46228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46228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46228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46228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46228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46228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46228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46228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46228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46228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46228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46228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46228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46228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46228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46228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46228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46228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46228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46228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46228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46228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46228</v>
      </c>
      <c r="F220" t="inlineStr">
        <is>
          <t>DALARNAS LÄN</t>
        </is>
      </c>
      <c r="G220" t="inlineStr">
        <is>
          <t>FALUN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46228</v>
      </c>
      <c r="F221" t="inlineStr">
        <is>
          <t>DALARNAS LÄN</t>
        </is>
      </c>
      <c r="G221" t="inlineStr">
        <is>
          <t>FALUN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45634</v>
      </c>
      <c r="E222" s="1" t="n">
        <v>46228</v>
      </c>
      <c r="F222" t="inlineStr">
        <is>
          <t>DALARNAS LÄN</t>
        </is>
      </c>
      <c r="G222" t="inlineStr">
        <is>
          <t>FALUN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45389</v>
      </c>
      <c r="E223" s="1" t="n">
        <v>46228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46228</v>
      </c>
      <c r="F224" t="inlineStr">
        <is>
          <t>DALARNAS LÄN</t>
        </is>
      </c>
      <c r="G224" t="inlineStr">
        <is>
          <t>FALUN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46228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46228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46228</v>
      </c>
      <c r="F227" t="inlineStr">
        <is>
          <t>DALARNAS LÄN</t>
        </is>
      </c>
      <c r="G227" t="inlineStr">
        <is>
          <t>FALUN</t>
        </is>
      </c>
      <c r="I227" t="n">
        <v>18.2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46228</v>
      </c>
      <c r="F228" t="inlineStr">
        <is>
          <t>DALARNAS LÄN</t>
        </is>
      </c>
      <c r="G228" t="inlineStr">
        <is>
          <t>FALUN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44755</v>
      </c>
      <c r="E229" s="1" t="n">
        <v>46228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44412</v>
      </c>
      <c r="E230" s="1" t="n">
        <v>46228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46228</v>
      </c>
      <c r="F231" t="inlineStr">
        <is>
          <t>DALARNAS LÄN</t>
        </is>
      </c>
      <c r="G231" t="inlineStr">
        <is>
          <t>FALUN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46228</v>
      </c>
      <c r="F232" t="inlineStr">
        <is>
          <t>DALARNAS LÄN</t>
        </is>
      </c>
      <c r="G232" t="inlineStr">
        <is>
          <t>FALUN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46228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45523</v>
      </c>
      <c r="E234" s="1" t="n">
        <v>46228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46228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46228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46228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46228</v>
      </c>
      <c r="F238" t="inlineStr">
        <is>
          <t>DALARNAS LÄN</t>
        </is>
      </c>
      <c r="G238" t="inlineStr">
        <is>
          <t>FALUN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45386</v>
      </c>
      <c r="E239" s="1" t="n">
        <v>46228</v>
      </c>
      <c r="F239" t="inlineStr">
        <is>
          <t>DALARNAS LÄN</t>
        </is>
      </c>
      <c r="G239" t="inlineStr">
        <is>
          <t>FALUN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46228</v>
      </c>
      <c r="F240" t="inlineStr">
        <is>
          <t>DALARNAS LÄN</t>
        </is>
      </c>
      <c r="G240" t="inlineStr">
        <is>
          <t>FALUN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46228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44847</v>
      </c>
      <c r="E242" s="1" t="n">
        <v>46228</v>
      </c>
      <c r="F242" t="inlineStr">
        <is>
          <t>DALARNAS LÄN</t>
        </is>
      </c>
      <c r="G242" t="inlineStr">
        <is>
          <t>FALUN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45118</v>
      </c>
      <c r="E243" s="1" t="n">
        <v>46228</v>
      </c>
      <c r="F243" t="inlineStr">
        <is>
          <t>DALARNAS LÄN</t>
        </is>
      </c>
      <c r="G243" t="inlineStr">
        <is>
          <t>FALUN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46228</v>
      </c>
      <c r="F244" t="inlineStr">
        <is>
          <t>DALARNAS LÄN</t>
        </is>
      </c>
      <c r="G244" t="inlineStr">
        <is>
          <t>FALUN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46228</v>
      </c>
      <c r="F245" t="inlineStr">
        <is>
          <t>DALARNAS LÄN</t>
        </is>
      </c>
      <c r="G245" t="inlineStr">
        <is>
          <t>FALUN</t>
        </is>
      </c>
      <c r="H245" t="inlineStr">
        <is>
          <t>Kyrkan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74258-2021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46228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46228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46228</v>
      </c>
      <c r="F248" t="inlineStr">
        <is>
          <t>DALARNAS LÄN</t>
        </is>
      </c>
      <c r="G248" t="inlineStr">
        <is>
          <t>FALUN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28275-2023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45099</v>
      </c>
      <c r="E249" s="1" t="n">
        <v>46228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46228</v>
      </c>
      <c r="F250" t="inlineStr">
        <is>
          <t>DALARNAS LÄN</t>
        </is>
      </c>
      <c r="G250" t="inlineStr">
        <is>
          <t>FALUN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46228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44834</v>
      </c>
      <c r="E252" s="1" t="n">
        <v>46228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46228</v>
      </c>
      <c r="F253" t="inlineStr">
        <is>
          <t>DALARNAS LÄN</t>
        </is>
      </c>
      <c r="G253" t="inlineStr">
        <is>
          <t>FALUN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46228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46228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46228</v>
      </c>
      <c r="F256" t="inlineStr">
        <is>
          <t>DALARNAS LÄN</t>
        </is>
      </c>
      <c r="G256" t="inlineStr">
        <is>
          <t>FALUN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46228</v>
      </c>
      <c r="F257" t="inlineStr">
        <is>
          <t>DALARNAS LÄN</t>
        </is>
      </c>
      <c r="G257" t="inlineStr">
        <is>
          <t>FALUN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46228</v>
      </c>
      <c r="F258" t="inlineStr">
        <is>
          <t>DALARNAS LÄN</t>
        </is>
      </c>
      <c r="G258" t="inlineStr">
        <is>
          <t>FALUN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46228</v>
      </c>
      <c r="F259" t="inlineStr">
        <is>
          <t>DALARNAS LÄN</t>
        </is>
      </c>
      <c r="G259" t="inlineStr">
        <is>
          <t>FALUN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44658</v>
      </c>
      <c r="E260" s="1" t="n">
        <v>46228</v>
      </c>
      <c r="F260" t="inlineStr">
        <is>
          <t>DALARNAS LÄN</t>
        </is>
      </c>
      <c r="G260" t="inlineStr">
        <is>
          <t>FALUN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46228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46228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62156-2023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45267</v>
      </c>
      <c r="E263" s="1" t="n">
        <v>46228</v>
      </c>
      <c r="F263" t="inlineStr">
        <is>
          <t>DALARNAS LÄN</t>
        </is>
      </c>
      <c r="G263" t="inlineStr">
        <is>
          <t>FALUN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49986-2024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46228</v>
      </c>
      <c r="F264" t="inlineStr">
        <is>
          <t>DALARNAS LÄN</t>
        </is>
      </c>
      <c r="G264" t="inlineStr">
        <is>
          <t>FALUN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46228</v>
      </c>
      <c r="F265" t="inlineStr">
        <is>
          <t>DALARNAS LÄN</t>
        </is>
      </c>
      <c r="G265" t="inlineStr">
        <is>
          <t>FALUN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44972</v>
      </c>
      <c r="E266" s="1" t="n">
        <v>46228</v>
      </c>
      <c r="F266" t="inlineStr">
        <is>
          <t>DALARNAS LÄN</t>
        </is>
      </c>
      <c r="G266" t="inlineStr">
        <is>
          <t>FALUN</t>
        </is>
      </c>
      <c r="I266" t="n">
        <v>26.1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45156</v>
      </c>
      <c r="E267" s="1" t="n">
        <v>46228</v>
      </c>
      <c r="F267" t="inlineStr">
        <is>
          <t>DALARNAS LÄN</t>
        </is>
      </c>
      <c r="G267" t="inlineStr">
        <is>
          <t>FALUN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46228</v>
      </c>
      <c r="F268" t="inlineStr">
        <is>
          <t>DALARNAS LÄN</t>
        </is>
      </c>
      <c r="G268" t="inlineStr">
        <is>
          <t>FALUN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44833</v>
      </c>
      <c r="E269" s="1" t="n">
        <v>46228</v>
      </c>
      <c r="F269" t="inlineStr">
        <is>
          <t>DALARNAS LÄN</t>
        </is>
      </c>
      <c r="G269" t="inlineStr">
        <is>
          <t>FALUN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46228</v>
      </c>
      <c r="F270" t="inlineStr">
        <is>
          <t>DALARNAS LÄN</t>
        </is>
      </c>
      <c r="G270" t="inlineStr">
        <is>
          <t>FALUN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46228</v>
      </c>
      <c r="F271" t="inlineStr">
        <is>
          <t>DALARNAS LÄN</t>
        </is>
      </c>
      <c r="G271" t="inlineStr">
        <is>
          <t>FALUN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45531</v>
      </c>
      <c r="E272" s="1" t="n">
        <v>46228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46228</v>
      </c>
      <c r="F273" t="inlineStr">
        <is>
          <t>DALARNAS LÄN</t>
        </is>
      </c>
      <c r="G273" t="inlineStr">
        <is>
          <t>FALUN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46228</v>
      </c>
      <c r="F274" t="inlineStr">
        <is>
          <t>DALARNAS LÄN</t>
        </is>
      </c>
      <c r="G274" t="inlineStr">
        <is>
          <t>FALUN</t>
        </is>
      </c>
      <c r="I274" t="n">
        <v>20.2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46228</v>
      </c>
      <c r="F275" t="inlineStr">
        <is>
          <t>DALARNAS LÄN</t>
        </is>
      </c>
      <c r="G275" t="inlineStr">
        <is>
          <t>FALUN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45306</v>
      </c>
      <c r="E276" s="1" t="n">
        <v>46228</v>
      </c>
      <c r="F276" t="inlineStr">
        <is>
          <t>DALARNAS LÄN</t>
        </is>
      </c>
      <c r="G276" t="inlineStr">
        <is>
          <t>FALUN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2906-2022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44581</v>
      </c>
      <c r="E277" s="1" t="n">
        <v>46228</v>
      </c>
      <c r="F277" t="inlineStr">
        <is>
          <t>DALARNAS LÄN</t>
        </is>
      </c>
      <c r="G277" t="inlineStr">
        <is>
          <t>FALUN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35941-2023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45148</v>
      </c>
      <c r="E278" s="1" t="n">
        <v>46228</v>
      </c>
      <c r="F278" t="inlineStr">
        <is>
          <t>DALARNAS LÄN</t>
        </is>
      </c>
      <c r="G278" t="inlineStr">
        <is>
          <t>FALUN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46228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46228</v>
      </c>
      <c r="F280" t="inlineStr">
        <is>
          <t>DALARNAS LÄN</t>
        </is>
      </c>
      <c r="G280" t="inlineStr">
        <is>
          <t>FALUN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46228</v>
      </c>
      <c r="F281" t="inlineStr">
        <is>
          <t>DALARNAS LÄN</t>
        </is>
      </c>
      <c r="G281" t="inlineStr">
        <is>
          <t>FALUN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46228</v>
      </c>
      <c r="F282" t="inlineStr">
        <is>
          <t>DALARNAS LÄN</t>
        </is>
      </c>
      <c r="G282" t="inlineStr">
        <is>
          <t>FALUN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45541</v>
      </c>
      <c r="E283" s="1" t="n">
        <v>46228</v>
      </c>
      <c r="F283" t="inlineStr">
        <is>
          <t>DALARNAS LÄN</t>
        </is>
      </c>
      <c r="G283" t="inlineStr">
        <is>
          <t>FALUN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46228</v>
      </c>
      <c r="F284" t="inlineStr">
        <is>
          <t>DALARNAS LÄN</t>
        </is>
      </c>
      <c r="G284" t="inlineStr">
        <is>
          <t>FALUN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44655</v>
      </c>
      <c r="E285" s="1" t="n">
        <v>46228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45223</v>
      </c>
      <c r="E286" s="1" t="n">
        <v>46228</v>
      </c>
      <c r="F286" t="inlineStr">
        <is>
          <t>DALARNAS LÄN</t>
        </is>
      </c>
      <c r="G286" t="inlineStr">
        <is>
          <t>FALUN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46228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45677</v>
      </c>
      <c r="E288" s="1" t="n">
        <v>46228</v>
      </c>
      <c r="F288" t="inlineStr">
        <is>
          <t>DALARNAS LÄN</t>
        </is>
      </c>
      <c r="G288" t="inlineStr">
        <is>
          <t>FALUN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45671</v>
      </c>
      <c r="E289" s="1" t="n">
        <v>46228</v>
      </c>
      <c r="F289" t="inlineStr">
        <is>
          <t>DALARNAS LÄN</t>
        </is>
      </c>
      <c r="G289" t="inlineStr">
        <is>
          <t>FALUN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45454</v>
      </c>
      <c r="E290" s="1" t="n">
        <v>46228</v>
      </c>
      <c r="F290" t="inlineStr">
        <is>
          <t>DALARNAS LÄN</t>
        </is>
      </c>
      <c r="G290" t="inlineStr">
        <is>
          <t>FALUN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46228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46228</v>
      </c>
      <c r="F292" t="inlineStr">
        <is>
          <t>DALARNAS LÄN</t>
        </is>
      </c>
      <c r="G292" t="inlineStr">
        <is>
          <t>FALUN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46228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46228</v>
      </c>
      <c r="F294" t="inlineStr">
        <is>
          <t>DALARNAS LÄN</t>
        </is>
      </c>
      <c r="G294" t="inlineStr">
        <is>
          <t>FALUN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45189</v>
      </c>
      <c r="E295" s="1" t="n">
        <v>46228</v>
      </c>
      <c r="F295" t="inlineStr">
        <is>
          <t>DALARNAS LÄN</t>
        </is>
      </c>
      <c r="G295" t="inlineStr">
        <is>
          <t>FALUN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46228</v>
      </c>
      <c r="F296" t="inlineStr">
        <is>
          <t>DALARNAS LÄN</t>
        </is>
      </c>
      <c r="G296" t="inlineStr">
        <is>
          <t>FALUN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46228</v>
      </c>
      <c r="F297" t="inlineStr">
        <is>
          <t>DALARNAS LÄN</t>
        </is>
      </c>
      <c r="G297" t="inlineStr">
        <is>
          <t>FALUN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46228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46228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46228</v>
      </c>
      <c r="F300" t="inlineStr">
        <is>
          <t>DALARNAS LÄN</t>
        </is>
      </c>
      <c r="G300" t="inlineStr">
        <is>
          <t>FALUN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46228</v>
      </c>
      <c r="F301" t="inlineStr">
        <is>
          <t>DALARNAS LÄN</t>
        </is>
      </c>
      <c r="G301" t="inlineStr">
        <is>
          <t>FALUN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46228</v>
      </c>
      <c r="F302" t="inlineStr">
        <is>
          <t>DALARNAS LÄN</t>
        </is>
      </c>
      <c r="G302" t="inlineStr">
        <is>
          <t>FALUN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46228</v>
      </c>
      <c r="F303" t="inlineStr">
        <is>
          <t>DALARNAS LÄN</t>
        </is>
      </c>
      <c r="G303" t="inlineStr">
        <is>
          <t>FALUN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46228</v>
      </c>
      <c r="F304" t="inlineStr">
        <is>
          <t>DALARNAS LÄN</t>
        </is>
      </c>
      <c r="G304" t="inlineStr">
        <is>
          <t>FALUN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46228</v>
      </c>
      <c r="F305" t="inlineStr">
        <is>
          <t>DALARNAS LÄN</t>
        </is>
      </c>
      <c r="G305" t="inlineStr">
        <is>
          <t>FALUN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44714</v>
      </c>
      <c r="E306" s="1" t="n">
        <v>46228</v>
      </c>
      <c r="F306" t="inlineStr">
        <is>
          <t>DALARNAS LÄN</t>
        </is>
      </c>
      <c r="G306" t="inlineStr">
        <is>
          <t>FALUN</t>
        </is>
      </c>
      <c r="H306" t="inlineStr">
        <is>
          <t>Kyrkan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46228</v>
      </c>
      <c r="F307" t="inlineStr">
        <is>
          <t>DALARNAS LÄN</t>
        </is>
      </c>
      <c r="G307" t="inlineStr">
        <is>
          <t>FALUN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46228</v>
      </c>
      <c r="F308" t="inlineStr">
        <is>
          <t>DALARNAS LÄN</t>
        </is>
      </c>
      <c r="G308" t="inlineStr">
        <is>
          <t>FALUN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46228</v>
      </c>
      <c r="F309" t="inlineStr">
        <is>
          <t>DALARNAS LÄN</t>
        </is>
      </c>
      <c r="G309" t="inlineStr">
        <is>
          <t>FALUN</t>
        </is>
      </c>
      <c r="I309" t="n">
        <v>23.3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45877</v>
      </c>
      <c r="E310" s="1" t="n">
        <v>46228</v>
      </c>
      <c r="F310" t="inlineStr">
        <is>
          <t>DALARNAS LÄN</t>
        </is>
      </c>
      <c r="G310" t="inlineStr">
        <is>
          <t>FALUN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46228</v>
      </c>
      <c r="F311" t="inlineStr">
        <is>
          <t>DALARNAS LÄN</t>
        </is>
      </c>
      <c r="G311" t="inlineStr">
        <is>
          <t>FALUN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46228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46228</v>
      </c>
      <c r="F313" t="inlineStr">
        <is>
          <t>DALARNAS LÄN</t>
        </is>
      </c>
      <c r="G313" t="inlineStr">
        <is>
          <t>FALUN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46228</v>
      </c>
      <c r="F314" t="inlineStr">
        <is>
          <t>DALARNAS LÄN</t>
        </is>
      </c>
      <c r="G314" t="inlineStr">
        <is>
          <t>FALUN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46134</v>
      </c>
      <c r="E315" s="1" t="n">
        <v>46228</v>
      </c>
      <c r="F315" t="inlineStr">
        <is>
          <t>DALARNAS LÄN</t>
        </is>
      </c>
      <c r="G315" t="inlineStr">
        <is>
          <t>FALUN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46228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46228</v>
      </c>
      <c r="F317" t="inlineStr">
        <is>
          <t>DALARNAS LÄN</t>
        </is>
      </c>
      <c r="G317" t="inlineStr">
        <is>
          <t>FALUN</t>
        </is>
      </c>
      <c r="H317" t="inlineStr">
        <is>
          <t>Övriga statliga verk och myndigheter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46228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45881</v>
      </c>
      <c r="E319" s="1" t="n">
        <v>46228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52506-2021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44466</v>
      </c>
      <c r="E320" s="1" t="n">
        <v>46228</v>
      </c>
      <c r="F320" t="inlineStr">
        <is>
          <t>DALARNAS LÄN</t>
        </is>
      </c>
      <c r="G320" t="inlineStr">
        <is>
          <t>FALUN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46228</v>
      </c>
      <c r="F321" t="inlineStr">
        <is>
          <t>DALARNAS LÄN</t>
        </is>
      </c>
      <c r="G321" t="inlineStr">
        <is>
          <t>FALUN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45634</v>
      </c>
      <c r="E322" s="1" t="n">
        <v>46228</v>
      </c>
      <c r="F322" t="inlineStr">
        <is>
          <t>DALARNAS LÄN</t>
        </is>
      </c>
      <c r="G322" t="inlineStr">
        <is>
          <t>FALUN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53643-2024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46228</v>
      </c>
      <c r="F323" t="inlineStr">
        <is>
          <t>DALARNAS LÄN</t>
        </is>
      </c>
      <c r="G323" t="inlineStr">
        <is>
          <t>FALUN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46228</v>
      </c>
      <c r="F324" t="inlineStr">
        <is>
          <t>DALARNAS LÄN</t>
        </is>
      </c>
      <c r="G324" t="inlineStr">
        <is>
          <t>FALUN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46228</v>
      </c>
      <c r="F325" t="inlineStr">
        <is>
          <t>DALARNAS LÄN</t>
        </is>
      </c>
      <c r="G325" t="inlineStr">
        <is>
          <t>FALUN</t>
        </is>
      </c>
      <c r="H325" t="inlineStr">
        <is>
          <t>Allmännings- och besparingsskogar</t>
        </is>
      </c>
      <c r="I325" t="n">
        <v>22.5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46025</v>
      </c>
      <c r="E326" s="1" t="n">
        <v>46228</v>
      </c>
      <c r="F326" t="inlineStr">
        <is>
          <t>DALARNAS LÄN</t>
        </is>
      </c>
      <c r="G326" t="inlineStr">
        <is>
          <t>FALUN</t>
        </is>
      </c>
      <c r="I326" t="n">
        <v>13.4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46228</v>
      </c>
      <c r="F327" t="inlineStr">
        <is>
          <t>DALARNAS LÄN</t>
        </is>
      </c>
      <c r="G327" t="inlineStr">
        <is>
          <t>FALUN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46228</v>
      </c>
      <c r="F328" t="inlineStr">
        <is>
          <t>DALARNAS LÄN</t>
        </is>
      </c>
      <c r="G328" t="inlineStr">
        <is>
          <t>FALUN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45040-2025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46228</v>
      </c>
      <c r="F329" t="inlineStr">
        <is>
          <t>DALARNAS LÄN</t>
        </is>
      </c>
      <c r="G329" t="inlineStr">
        <is>
          <t>FALUN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46228</v>
      </c>
      <c r="F330" t="inlineStr">
        <is>
          <t>DALARNAS LÄN</t>
        </is>
      </c>
      <c r="G330" t="inlineStr">
        <is>
          <t>FALUN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46228</v>
      </c>
      <c r="F331" t="inlineStr">
        <is>
          <t>DALARNAS LÄN</t>
        </is>
      </c>
      <c r="G331" t="inlineStr">
        <is>
          <t>FALUN</t>
        </is>
      </c>
      <c r="H331" t="inlineStr">
        <is>
          <t>Allmännings- och besparingsskogar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46228</v>
      </c>
      <c r="F332" t="inlineStr">
        <is>
          <t>DALARNAS LÄN</t>
        </is>
      </c>
      <c r="G332" t="inlineStr">
        <is>
          <t>FALUN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46228</v>
      </c>
      <c r="F333" t="inlineStr">
        <is>
          <t>DALARNAS LÄN</t>
        </is>
      </c>
      <c r="G333" t="inlineStr">
        <is>
          <t>FALUN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46228</v>
      </c>
      <c r="F334" t="inlineStr">
        <is>
          <t>DALARNAS LÄN</t>
        </is>
      </c>
      <c r="G334" t="inlineStr">
        <is>
          <t>FALUN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46228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46228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46228</v>
      </c>
      <c r="F337" t="inlineStr">
        <is>
          <t>DALARNAS LÄN</t>
        </is>
      </c>
      <c r="G337" t="inlineStr">
        <is>
          <t>FALUN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45673</v>
      </c>
      <c r="E338" s="1" t="n">
        <v>46228</v>
      </c>
      <c r="F338" t="inlineStr">
        <is>
          <t>DALARNAS LÄN</t>
        </is>
      </c>
      <c r="G338" t="inlineStr">
        <is>
          <t>FALUN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46228</v>
      </c>
      <c r="F339" t="inlineStr">
        <is>
          <t>DALARNAS LÄN</t>
        </is>
      </c>
      <c r="G339" t="inlineStr">
        <is>
          <t>FALUN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46128</v>
      </c>
      <c r="E340" s="1" t="n">
        <v>46228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46228</v>
      </c>
      <c r="F341" t="inlineStr">
        <is>
          <t>DALARNAS LÄN</t>
        </is>
      </c>
      <c r="G341" t="inlineStr">
        <is>
          <t>FALUN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46228</v>
      </c>
      <c r="F342" t="inlineStr">
        <is>
          <t>DALARNAS LÄN</t>
        </is>
      </c>
      <c r="G342" t="inlineStr">
        <is>
          <t>FALUN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45625</v>
      </c>
      <c r="E343" s="1" t="n">
        <v>46228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46228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45596</v>
      </c>
      <c r="E345" s="1" t="n">
        <v>46228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46228</v>
      </c>
      <c r="F346" t="inlineStr">
        <is>
          <t>DALARNAS LÄN</t>
        </is>
      </c>
      <c r="G346" t="inlineStr">
        <is>
          <t>FALUN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46228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46228</v>
      </c>
      <c r="F348" t="inlineStr">
        <is>
          <t>DALARNAS LÄN</t>
        </is>
      </c>
      <c r="G348" t="inlineStr">
        <is>
          <t>FALUN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46228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46228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46228</v>
      </c>
      <c r="F351" t="inlineStr">
        <is>
          <t>DALARNAS LÄN</t>
        </is>
      </c>
      <c r="G351" t="inlineStr">
        <is>
          <t>FALUN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44792</v>
      </c>
      <c r="E352" s="1" t="n">
        <v>46228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46228</v>
      </c>
      <c r="F353" t="inlineStr">
        <is>
          <t>DALARNAS LÄN</t>
        </is>
      </c>
      <c r="G353" t="inlineStr">
        <is>
          <t>FALUN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46031</v>
      </c>
      <c r="E354" s="1" t="n">
        <v>46228</v>
      </c>
      <c r="F354" t="inlineStr">
        <is>
          <t>DALARNAS LÄN</t>
        </is>
      </c>
      <c r="G354" t="inlineStr">
        <is>
          <t>FALUN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46228</v>
      </c>
      <c r="F355" t="inlineStr">
        <is>
          <t>DALARNAS LÄN</t>
        </is>
      </c>
      <c r="G355" t="inlineStr">
        <is>
          <t>FALUN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46228</v>
      </c>
      <c r="F356" t="inlineStr">
        <is>
          <t>DALARNAS LÄN</t>
        </is>
      </c>
      <c r="G356" t="inlineStr">
        <is>
          <t>FALUN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46228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45678</v>
      </c>
      <c r="E358" s="1" t="n">
        <v>46228</v>
      </c>
      <c r="F358" t="inlineStr">
        <is>
          <t>DALARNAS LÄN</t>
        </is>
      </c>
      <c r="G358" t="inlineStr">
        <is>
          <t>FALUN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46228</v>
      </c>
      <c r="F359" t="inlineStr">
        <is>
          <t>DALARNAS LÄN</t>
        </is>
      </c>
      <c r="G359" t="inlineStr">
        <is>
          <t>FALUN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46228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46228</v>
      </c>
      <c r="F361" t="inlineStr">
        <is>
          <t>DALARNAS LÄN</t>
        </is>
      </c>
      <c r="G361" t="inlineStr">
        <is>
          <t>FALUN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46228</v>
      </c>
      <c r="F362" t="inlineStr">
        <is>
          <t>DALARNAS LÄN</t>
        </is>
      </c>
      <c r="G362" t="inlineStr">
        <is>
          <t>FALUN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45897</v>
      </c>
      <c r="E363" s="1" t="n">
        <v>46228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28.2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46228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46228</v>
      </c>
      <c r="F365" t="inlineStr">
        <is>
          <t>DALARNAS LÄN</t>
        </is>
      </c>
      <c r="G365" t="inlineStr">
        <is>
          <t>FALUN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45896</v>
      </c>
      <c r="E366" s="1" t="n">
        <v>46228</v>
      </c>
      <c r="F366" t="inlineStr">
        <is>
          <t>DALARNAS LÄN</t>
        </is>
      </c>
      <c r="G366" t="inlineStr">
        <is>
          <t>FALUN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7916-2023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44973</v>
      </c>
      <c r="E367" s="1" t="n">
        <v>46228</v>
      </c>
      <c r="F367" t="inlineStr">
        <is>
          <t>DALARNAS LÄN</t>
        </is>
      </c>
      <c r="G367" t="inlineStr">
        <is>
          <t>FALUN</t>
        </is>
      </c>
      <c r="I367" t="n">
        <v>22.8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46228</v>
      </c>
      <c r="F368" t="inlineStr">
        <is>
          <t>DALARNAS LÄN</t>
        </is>
      </c>
      <c r="G368" t="inlineStr">
        <is>
          <t>FALUN</t>
        </is>
      </c>
      <c r="I368" t="n">
        <v>13.5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46228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46024</v>
      </c>
      <c r="E370" s="1" t="n">
        <v>46228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46228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45900</v>
      </c>
      <c r="E372" s="1" t="n">
        <v>46228</v>
      </c>
      <c r="F372" t="inlineStr">
        <is>
          <t>DALARNAS LÄN</t>
        </is>
      </c>
      <c r="G372" t="inlineStr">
        <is>
          <t>FALUN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46228</v>
      </c>
      <c r="F373" t="inlineStr">
        <is>
          <t>DALARNAS LÄN</t>
        </is>
      </c>
      <c r="G373" t="inlineStr">
        <is>
          <t>FALUN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46228</v>
      </c>
      <c r="F374" t="inlineStr">
        <is>
          <t>DALARNAS LÄN</t>
        </is>
      </c>
      <c r="G374" t="inlineStr">
        <is>
          <t>FALUN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46228</v>
      </c>
      <c r="F375" t="inlineStr">
        <is>
          <t>DALARNAS LÄN</t>
        </is>
      </c>
      <c r="G375" t="inlineStr">
        <is>
          <t>FALUN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46228</v>
      </c>
      <c r="F376" t="inlineStr">
        <is>
          <t>DALARNAS LÄN</t>
        </is>
      </c>
      <c r="G376" t="inlineStr">
        <is>
          <t>FALUN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45792</v>
      </c>
      <c r="E377" s="1" t="n">
        <v>46228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46228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46228</v>
      </c>
      <c r="F379" t="inlineStr">
        <is>
          <t>DALARNAS LÄN</t>
        </is>
      </c>
      <c r="G379" t="inlineStr">
        <is>
          <t>FALUN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45905</v>
      </c>
      <c r="E380" s="1" t="n">
        <v>46228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24.1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46228</v>
      </c>
      <c r="F381" t="inlineStr">
        <is>
          <t>DALARNAS LÄN</t>
        </is>
      </c>
      <c r="G381" t="inlineStr">
        <is>
          <t>FALUN</t>
        </is>
      </c>
      <c r="I381" t="n">
        <v>25.5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46228</v>
      </c>
      <c r="F382" t="inlineStr">
        <is>
          <t>DALARNAS LÄN</t>
        </is>
      </c>
      <c r="G382" t="inlineStr">
        <is>
          <t>FALUN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51914-2024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46228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46228</v>
      </c>
      <c r="F384" t="inlineStr">
        <is>
          <t>DALARNAS LÄN</t>
        </is>
      </c>
      <c r="G384" t="inlineStr">
        <is>
          <t>FALUN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46228</v>
      </c>
      <c r="F385" t="inlineStr">
        <is>
          <t>DALARNAS LÄN</t>
        </is>
      </c>
      <c r="G385" t="inlineStr">
        <is>
          <t>FALUN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46228</v>
      </c>
      <c r="F386" t="inlineStr">
        <is>
          <t>DALARNAS LÄN</t>
        </is>
      </c>
      <c r="G386" t="inlineStr">
        <is>
          <t>FALUN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46228</v>
      </c>
      <c r="F387" t="inlineStr">
        <is>
          <t>DALARNAS LÄN</t>
        </is>
      </c>
      <c r="G387" t="inlineStr">
        <is>
          <t>FALUN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46228</v>
      </c>
      <c r="F388" t="inlineStr">
        <is>
          <t>DALARNAS LÄN</t>
        </is>
      </c>
      <c r="G388" t="inlineStr">
        <is>
          <t>FALUN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46228</v>
      </c>
      <c r="F389" t="inlineStr">
        <is>
          <t>DALARNAS LÄN</t>
        </is>
      </c>
      <c r="G389" t="inlineStr">
        <is>
          <t>FALUN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46228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46228</v>
      </c>
      <c r="F391" t="inlineStr">
        <is>
          <t>DALARNAS LÄN</t>
        </is>
      </c>
      <c r="G391" t="inlineStr">
        <is>
          <t>FALUN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46228</v>
      </c>
      <c r="F392" t="inlineStr">
        <is>
          <t>DALARNAS LÄN</t>
        </is>
      </c>
      <c r="G392" t="inlineStr">
        <is>
          <t>FALUN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46228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46228</v>
      </c>
      <c r="F394" t="inlineStr">
        <is>
          <t>DALARNAS LÄN</t>
        </is>
      </c>
      <c r="G394" t="inlineStr">
        <is>
          <t>FALUN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46228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46228</v>
      </c>
      <c r="F396" t="inlineStr">
        <is>
          <t>DALARNAS LÄN</t>
        </is>
      </c>
      <c r="G396" t="inlineStr">
        <is>
          <t>FALUN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46228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46228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45910</v>
      </c>
      <c r="E399" s="1" t="n">
        <v>46228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46228</v>
      </c>
      <c r="F400" t="inlineStr">
        <is>
          <t>DALARNAS LÄN</t>
        </is>
      </c>
      <c r="G400" t="inlineStr">
        <is>
          <t>FALUN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43202-2025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45910</v>
      </c>
      <c r="E401" s="1" t="n">
        <v>46228</v>
      </c>
      <c r="F401" t="inlineStr">
        <is>
          <t>DALARNAS LÄN</t>
        </is>
      </c>
      <c r="G401" t="inlineStr">
        <is>
          <t>FALUN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45567</v>
      </c>
      <c r="E402" s="1" t="n">
        <v>46228</v>
      </c>
      <c r="F402" t="inlineStr">
        <is>
          <t>DALARNAS LÄN</t>
        </is>
      </c>
      <c r="G402" t="inlineStr">
        <is>
          <t>FALUN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46228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43856-2025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46228</v>
      </c>
      <c r="F404" t="inlineStr">
        <is>
          <t>DALARNAS LÄN</t>
        </is>
      </c>
      <c r="G404" t="inlineStr">
        <is>
          <t>FALUN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46228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46228</v>
      </c>
      <c r="F406" t="inlineStr">
        <is>
          <t>DALARNAS LÄN</t>
        </is>
      </c>
      <c r="G406" t="inlineStr">
        <is>
          <t>FALUN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40308-2025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46228</v>
      </c>
      <c r="F407" t="inlineStr">
        <is>
          <t>DALARNAS LÄN</t>
        </is>
      </c>
      <c r="G407" t="inlineStr">
        <is>
          <t>FALUN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46228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45914</v>
      </c>
      <c r="E409" s="1" t="n">
        <v>46228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46228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9439-2026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46228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46228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40585-2025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45896</v>
      </c>
      <c r="E413" s="1" t="n">
        <v>46228</v>
      </c>
      <c r="F413" t="inlineStr">
        <is>
          <t>DALARNAS LÄN</t>
        </is>
      </c>
      <c r="G413" t="inlineStr">
        <is>
          <t>FALUN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46228</v>
      </c>
      <c r="F414" t="inlineStr">
        <is>
          <t>DALARNAS LÄN</t>
        </is>
      </c>
      <c r="G414" t="inlineStr">
        <is>
          <t>FALUN</t>
        </is>
      </c>
      <c r="I414" t="n">
        <v>40.2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46131</v>
      </c>
      <c r="E415" s="1" t="n">
        <v>46228</v>
      </c>
      <c r="F415" t="inlineStr">
        <is>
          <t>DALARNAS LÄN</t>
        </is>
      </c>
      <c r="G415" t="inlineStr">
        <is>
          <t>FALUN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42436-2024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45565</v>
      </c>
      <c r="E416" s="1" t="n">
        <v>46228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46136</v>
      </c>
      <c r="E417" s="1" t="n">
        <v>46228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46228</v>
      </c>
      <c r="F418" t="inlineStr">
        <is>
          <t>DALARNAS LÄN</t>
        </is>
      </c>
      <c r="G418" t="inlineStr">
        <is>
          <t>FALUN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4834-2024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45329</v>
      </c>
      <c r="E419" s="1" t="n">
        <v>46228</v>
      </c>
      <c r="F419" t="inlineStr">
        <is>
          <t>DALARNAS LÄN</t>
        </is>
      </c>
      <c r="G419" t="inlineStr">
        <is>
          <t>FALUN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46024</v>
      </c>
      <c r="E420" s="1" t="n">
        <v>46228</v>
      </c>
      <c r="F420" t="inlineStr">
        <is>
          <t>DALARNAS LÄN</t>
        </is>
      </c>
      <c r="G420" t="inlineStr">
        <is>
          <t>FALUN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46228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23.6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46228</v>
      </c>
      <c r="F422" t="inlineStr">
        <is>
          <t>DALARNAS LÄN</t>
        </is>
      </c>
      <c r="G422" t="inlineStr">
        <is>
          <t>FALUN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45276</v>
      </c>
      <c r="E423" s="1" t="n">
        <v>46228</v>
      </c>
      <c r="F423" t="inlineStr">
        <is>
          <t>DALARNAS LÄN</t>
        </is>
      </c>
      <c r="G423" t="inlineStr">
        <is>
          <t>FALUN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51135-2024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46228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19916-2026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46228</v>
      </c>
      <c r="F425" t="inlineStr">
        <is>
          <t>DALARNAS LÄN</t>
        </is>
      </c>
      <c r="G425" t="inlineStr">
        <is>
          <t>FALUN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46228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46228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45584-2025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45922</v>
      </c>
      <c r="E428" s="1" t="n">
        <v>46228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45569</v>
      </c>
      <c r="E429" s="1" t="n">
        <v>46228</v>
      </c>
      <c r="F429" t="inlineStr">
        <is>
          <t>DALARNAS LÄN</t>
        </is>
      </c>
      <c r="G429" t="inlineStr">
        <is>
          <t>FALUN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24131-2022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46228</v>
      </c>
      <c r="F430" t="inlineStr">
        <is>
          <t>DALARNAS LÄN</t>
        </is>
      </c>
      <c r="G430" t="inlineStr">
        <is>
          <t>FALUN</t>
        </is>
      </c>
      <c r="H430" t="inlineStr">
        <is>
          <t>Kyrkan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46228</v>
      </c>
      <c r="F431" t="inlineStr">
        <is>
          <t>DALARNAS LÄN</t>
        </is>
      </c>
      <c r="G431" t="inlineStr">
        <is>
          <t>FALUN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45520</v>
      </c>
      <c r="E432" s="1" t="n">
        <v>46228</v>
      </c>
      <c r="F432" t="inlineStr">
        <is>
          <t>DALARNAS LÄN</t>
        </is>
      </c>
      <c r="G432" t="inlineStr">
        <is>
          <t>FALUN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46228</v>
      </c>
      <c r="F433" t="inlineStr">
        <is>
          <t>DALARNAS LÄN</t>
        </is>
      </c>
      <c r="G433" t="inlineStr">
        <is>
          <t>FALUN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46014</v>
      </c>
      <c r="E434" s="1" t="n">
        <v>46228</v>
      </c>
      <c r="F434" t="inlineStr">
        <is>
          <t>DALARNAS LÄN</t>
        </is>
      </c>
      <c r="G434" t="inlineStr">
        <is>
          <t>FALUN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46228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46228</v>
      </c>
      <c r="F436" t="inlineStr">
        <is>
          <t>DALARNAS LÄN</t>
        </is>
      </c>
      <c r="G436" t="inlineStr">
        <is>
          <t>FALUN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45241</v>
      </c>
      <c r="E437" s="1" t="n">
        <v>46228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58819-2023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46228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46111</v>
      </c>
      <c r="E439" s="1" t="n">
        <v>46228</v>
      </c>
      <c r="F439" t="inlineStr">
        <is>
          <t>DALARNAS LÄN</t>
        </is>
      </c>
      <c r="G439" t="inlineStr">
        <is>
          <t>FALUN</t>
        </is>
      </c>
      <c r="I439" t="n">
        <v>14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46228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46228</v>
      </c>
      <c r="F441" t="inlineStr">
        <is>
          <t>DALARNAS LÄN</t>
        </is>
      </c>
      <c r="G441" t="inlineStr">
        <is>
          <t>FALUN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46228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46228</v>
      </c>
      <c r="F443" t="inlineStr">
        <is>
          <t>DALARNAS LÄN</t>
        </is>
      </c>
      <c r="G443" t="inlineStr">
        <is>
          <t>FALUN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45925</v>
      </c>
      <c r="E444" s="1" t="n">
        <v>46228</v>
      </c>
      <c r="F444" t="inlineStr">
        <is>
          <t>DALARNAS LÄN</t>
        </is>
      </c>
      <c r="G444" t="inlineStr">
        <is>
          <t>FALUN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46134</v>
      </c>
      <c r="E445" s="1" t="n">
        <v>46228</v>
      </c>
      <c r="F445" t="inlineStr">
        <is>
          <t>DALARNAS LÄN</t>
        </is>
      </c>
      <c r="G445" t="inlineStr">
        <is>
          <t>FALUN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46089</v>
      </c>
      <c r="E446" s="1" t="n">
        <v>46228</v>
      </c>
      <c r="F446" t="inlineStr">
        <is>
          <t>DALARNAS LÄN</t>
        </is>
      </c>
      <c r="G446" t="inlineStr">
        <is>
          <t>FALUN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46228</v>
      </c>
      <c r="F447" t="inlineStr">
        <is>
          <t>DALARNAS LÄN</t>
        </is>
      </c>
      <c r="G447" t="inlineStr">
        <is>
          <t>FALUN</t>
        </is>
      </c>
      <c r="I447" t="n">
        <v>11.8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45838</v>
      </c>
      <c r="E448" s="1" t="n">
        <v>46228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46228</v>
      </c>
      <c r="F449" t="inlineStr">
        <is>
          <t>DALARNAS LÄN</t>
        </is>
      </c>
      <c r="G449" t="inlineStr">
        <is>
          <t>FALUN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46228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46228</v>
      </c>
      <c r="F451" t="inlineStr">
        <is>
          <t>DALARNAS LÄN</t>
        </is>
      </c>
      <c r="G451" t="inlineStr">
        <is>
          <t>FALUN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46228</v>
      </c>
      <c r="F452" t="inlineStr">
        <is>
          <t>DALARNAS LÄN</t>
        </is>
      </c>
      <c r="G452" t="inlineStr">
        <is>
          <t>FALUN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46228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46228</v>
      </c>
      <c r="F454" t="inlineStr">
        <is>
          <t>DALARNAS LÄN</t>
        </is>
      </c>
      <c r="G454" t="inlineStr">
        <is>
          <t>FALUN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46228</v>
      </c>
      <c r="F455" t="inlineStr">
        <is>
          <t>DALARNAS LÄN</t>
        </is>
      </c>
      <c r="G455" t="inlineStr">
        <is>
          <t>FALUN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41664-2022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44827</v>
      </c>
      <c r="E456" s="1" t="n">
        <v>46228</v>
      </c>
      <c r="F456" t="inlineStr">
        <is>
          <t>DALARNAS LÄN</t>
        </is>
      </c>
      <c r="G456" t="inlineStr">
        <is>
          <t>FALUN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46228</v>
      </c>
      <c r="F457" t="inlineStr">
        <is>
          <t>DALARNAS LÄN</t>
        </is>
      </c>
      <c r="G457" t="inlineStr">
        <is>
          <t>FALUN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46228</v>
      </c>
      <c r="F458" t="inlineStr">
        <is>
          <t>DALARNAS LÄN</t>
        </is>
      </c>
      <c r="G458" t="inlineStr">
        <is>
          <t>FALUN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46228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45888</v>
      </c>
      <c r="E460" s="1" t="n">
        <v>46228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39710-2021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44417</v>
      </c>
      <c r="E461" s="1" t="n">
        <v>46228</v>
      </c>
      <c r="F461" t="inlineStr">
        <is>
          <t>DALARNAS LÄN</t>
        </is>
      </c>
      <c r="G461" t="inlineStr">
        <is>
          <t>FALUN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46228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8590-2026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46065</v>
      </c>
      <c r="E463" s="1" t="n">
        <v>46228</v>
      </c>
      <c r="F463" t="inlineStr">
        <is>
          <t>DALARNAS LÄN</t>
        </is>
      </c>
      <c r="G463" t="inlineStr">
        <is>
          <t>FALUN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46228</v>
      </c>
      <c r="F464" t="inlineStr">
        <is>
          <t>DALARNAS LÄN</t>
        </is>
      </c>
      <c r="G464" t="inlineStr">
        <is>
          <t>FALUN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45020</v>
      </c>
      <c r="E465" s="1" t="n">
        <v>46228</v>
      </c>
      <c r="F465" t="inlineStr">
        <is>
          <t>DALARNAS LÄN</t>
        </is>
      </c>
      <c r="G465" t="inlineStr">
        <is>
          <t>FALUN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46078</v>
      </c>
      <c r="E466" s="1" t="n">
        <v>46228</v>
      </c>
      <c r="F466" t="inlineStr">
        <is>
          <t>DALARNAS LÄN</t>
        </is>
      </c>
      <c r="G466" t="inlineStr">
        <is>
          <t>FALUN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43005-2022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44833</v>
      </c>
      <c r="E467" s="1" t="n">
        <v>46228</v>
      </c>
      <c r="F467" t="inlineStr">
        <is>
          <t>DALARNAS LÄN</t>
        </is>
      </c>
      <c r="G467" t="inlineStr">
        <is>
          <t>FALUN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46228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46228</v>
      </c>
      <c r="F469" t="inlineStr">
        <is>
          <t>DALARNAS LÄN</t>
        </is>
      </c>
      <c r="G469" t="inlineStr">
        <is>
          <t>FALUN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46228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12232-2026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46087</v>
      </c>
      <c r="E471" s="1" t="n">
        <v>46228</v>
      </c>
      <c r="F471" t="inlineStr">
        <is>
          <t>DALARNAS LÄN</t>
        </is>
      </c>
      <c r="G471" t="inlineStr">
        <is>
          <t>FALUN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46228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46228</v>
      </c>
      <c r="F473" t="inlineStr">
        <is>
          <t>DALARNAS LÄN</t>
        </is>
      </c>
      <c r="G473" t="inlineStr">
        <is>
          <t>FALUN</t>
        </is>
      </c>
      <c r="H473" t="inlineStr">
        <is>
          <t>Allmännings- och besparingsskogar</t>
        </is>
      </c>
      <c r="I473" t="n">
        <v>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46228</v>
      </c>
      <c r="F474" t="inlineStr">
        <is>
          <t>DALARNAS LÄN</t>
        </is>
      </c>
      <c r="G474" t="inlineStr">
        <is>
          <t>FALUN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15816-2025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46228</v>
      </c>
      <c r="F475" t="inlineStr">
        <is>
          <t>DALARNAS LÄN</t>
        </is>
      </c>
      <c r="G475" t="inlineStr">
        <is>
          <t>FALUN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46228</v>
      </c>
      <c r="F476" t="inlineStr">
        <is>
          <t>DALARNAS LÄN</t>
        </is>
      </c>
      <c r="G476" t="inlineStr">
        <is>
          <t>FALUN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46228</v>
      </c>
      <c r="F477" t="inlineStr">
        <is>
          <t>DALARNAS LÄN</t>
        </is>
      </c>
      <c r="G477" t="inlineStr">
        <is>
          <t>FALUN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13103-2026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46228</v>
      </c>
      <c r="F478" t="inlineStr">
        <is>
          <t>DALARNAS LÄN</t>
        </is>
      </c>
      <c r="G478" t="inlineStr">
        <is>
          <t>FALUN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46228</v>
      </c>
      <c r="F479" t="inlineStr">
        <is>
          <t>DALARNAS LÄN</t>
        </is>
      </c>
      <c r="G479" t="inlineStr">
        <is>
          <t>FALUN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45709</v>
      </c>
      <c r="E480" s="1" t="n">
        <v>46228</v>
      </c>
      <c r="F480" t="inlineStr">
        <is>
          <t>DALARNAS LÄN</t>
        </is>
      </c>
      <c r="G480" t="inlineStr">
        <is>
          <t>FALUN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46021</v>
      </c>
      <c r="E481" s="1" t="n">
        <v>46228</v>
      </c>
      <c r="F481" t="inlineStr">
        <is>
          <t>DALARNAS LÄN</t>
        </is>
      </c>
      <c r="G481" t="inlineStr">
        <is>
          <t>FALUN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46228</v>
      </c>
      <c r="F482" t="inlineStr">
        <is>
          <t>DALARNAS LÄN</t>
        </is>
      </c>
      <c r="G482" t="inlineStr">
        <is>
          <t>FALUN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46228</v>
      </c>
      <c r="F483" t="inlineStr">
        <is>
          <t>DALARNAS LÄN</t>
        </is>
      </c>
      <c r="G483" t="inlineStr">
        <is>
          <t>FALUN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14009-2026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46228</v>
      </c>
      <c r="F484" t="inlineStr">
        <is>
          <t>DALARNAS LÄN</t>
        </is>
      </c>
      <c r="G484" t="inlineStr">
        <is>
          <t>FALUN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46228</v>
      </c>
      <c r="F485" t="inlineStr">
        <is>
          <t>DALARNAS LÄN</t>
        </is>
      </c>
      <c r="G485" t="inlineStr">
        <is>
          <t>FALUN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46228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46228</v>
      </c>
      <c r="F487" t="inlineStr">
        <is>
          <t>DALARNAS LÄN</t>
        </is>
      </c>
      <c r="G487" t="inlineStr">
        <is>
          <t>FALUN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46128</v>
      </c>
      <c r="E488" s="1" t="n">
        <v>46228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47910-2025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46228</v>
      </c>
      <c r="F489" t="inlineStr">
        <is>
          <t>DALARNAS LÄN</t>
        </is>
      </c>
      <c r="G489" t="inlineStr">
        <is>
          <t>FALUN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45523</v>
      </c>
      <c r="E490" s="1" t="n">
        <v>46228</v>
      </c>
      <c r="F490" t="inlineStr">
        <is>
          <t>DALARNAS LÄN</t>
        </is>
      </c>
      <c r="G490" t="inlineStr">
        <is>
          <t>FALUN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46119</v>
      </c>
      <c r="E491" s="1" t="n">
        <v>46228</v>
      </c>
      <c r="F491" t="inlineStr">
        <is>
          <t>DALARNAS LÄN</t>
        </is>
      </c>
      <c r="G491" t="inlineStr">
        <is>
          <t>FALUN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46228</v>
      </c>
      <c r="F492" t="inlineStr">
        <is>
          <t>DALARNAS LÄN</t>
        </is>
      </c>
      <c r="G492" t="inlineStr">
        <is>
          <t>FALUN</t>
        </is>
      </c>
      <c r="I492" t="n">
        <v>11.6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46228</v>
      </c>
      <c r="F493" t="inlineStr">
        <is>
          <t>DALARNAS LÄN</t>
        </is>
      </c>
      <c r="G493" t="inlineStr">
        <is>
          <t>FALUN</t>
        </is>
      </c>
      <c r="I493" t="n">
        <v>11.6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46037</v>
      </c>
      <c r="E494" s="1" t="n">
        <v>46228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26.2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46228</v>
      </c>
      <c r="F495" t="inlineStr">
        <is>
          <t>DALARNAS LÄN</t>
        </is>
      </c>
      <c r="G495" t="inlineStr">
        <is>
          <t>FALUN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46228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46228</v>
      </c>
      <c r="F497" t="inlineStr">
        <is>
          <t>DALARNAS LÄN</t>
        </is>
      </c>
      <c r="G497" t="inlineStr">
        <is>
          <t>FALUN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63383-2023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45274</v>
      </c>
      <c r="E498" s="1" t="n">
        <v>46228</v>
      </c>
      <c r="F498" t="inlineStr">
        <is>
          <t>DALARNAS LÄN</t>
        </is>
      </c>
      <c r="G498" t="inlineStr">
        <is>
          <t>FALUN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46228</v>
      </c>
      <c r="F499" t="inlineStr">
        <is>
          <t>DALARNAS LÄN</t>
        </is>
      </c>
      <c r="G499" t="inlineStr">
        <is>
          <t>FALUN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46228</v>
      </c>
      <c r="F500" t="inlineStr">
        <is>
          <t>DALARNAS LÄN</t>
        </is>
      </c>
      <c r="G500" t="inlineStr">
        <is>
          <t>FALUN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46228</v>
      </c>
      <c r="F501" t="inlineStr">
        <is>
          <t>DALARNAS LÄN</t>
        </is>
      </c>
      <c r="G501" t="inlineStr">
        <is>
          <t>FALUN</t>
        </is>
      </c>
      <c r="I501" t="n">
        <v>17.4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46228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46228</v>
      </c>
      <c r="F503" t="inlineStr">
        <is>
          <t>DALARNAS LÄN</t>
        </is>
      </c>
      <c r="G503" t="inlineStr">
        <is>
          <t>FALUN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45287</v>
      </c>
      <c r="E504" s="1" t="n">
        <v>46228</v>
      </c>
      <c r="F504" t="inlineStr">
        <is>
          <t>DALARNAS LÄN</t>
        </is>
      </c>
      <c r="G504" t="inlineStr">
        <is>
          <t>FALUN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46228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49134-2025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45937</v>
      </c>
      <c r="E506" s="1" t="n">
        <v>46228</v>
      </c>
      <c r="F506" t="inlineStr">
        <is>
          <t>DALARNAS LÄN</t>
        </is>
      </c>
      <c r="G506" t="inlineStr">
        <is>
          <t>FALUN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49150-2025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45938</v>
      </c>
      <c r="E507" s="1" t="n">
        <v>46228</v>
      </c>
      <c r="F507" t="inlineStr">
        <is>
          <t>DALARNAS LÄN</t>
        </is>
      </c>
      <c r="G507" t="inlineStr">
        <is>
          <t>FALUN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45553</v>
      </c>
      <c r="E508" s="1" t="n">
        <v>46228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20223-2026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46228</v>
      </c>
      <c r="F509" t="inlineStr">
        <is>
          <t>DALARNAS LÄN</t>
        </is>
      </c>
      <c r="G509" t="inlineStr">
        <is>
          <t>FALUN</t>
        </is>
      </c>
      <c r="I509" t="n">
        <v>58.1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46228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46228</v>
      </c>
      <c r="F511" t="inlineStr">
        <is>
          <t>DALARNAS LÄN</t>
        </is>
      </c>
      <c r="G511" t="inlineStr">
        <is>
          <t>FALUN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46228</v>
      </c>
      <c r="F512" t="inlineStr">
        <is>
          <t>DALARNAS LÄN</t>
        </is>
      </c>
      <c r="G512" t="inlineStr">
        <is>
          <t>FALUN</t>
        </is>
      </c>
      <c r="I512" t="n">
        <v>7.7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44964</v>
      </c>
      <c r="E513" s="1" t="n">
        <v>46228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46228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25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46228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46228</v>
      </c>
      <c r="F516" t="inlineStr">
        <is>
          <t>DALARNAS LÄN</t>
        </is>
      </c>
      <c r="G516" t="inlineStr">
        <is>
          <t>FALUN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46093</v>
      </c>
      <c r="E517" s="1" t="n">
        <v>46228</v>
      </c>
      <c r="F517" t="inlineStr">
        <is>
          <t>DALARNAS LÄN</t>
        </is>
      </c>
      <c r="G517" t="inlineStr">
        <is>
          <t>FALUN</t>
        </is>
      </c>
      <c r="H517" t="inlineStr">
        <is>
          <t>Allmännings- och besparingsskogar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46228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27.8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46069</v>
      </c>
      <c r="E519" s="1" t="n">
        <v>46228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46228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46228</v>
      </c>
      <c r="F521" t="inlineStr">
        <is>
          <t>DALARNAS LÄN</t>
        </is>
      </c>
      <c r="G521" t="inlineStr">
        <is>
          <t>FALUN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46228</v>
      </c>
      <c r="F522" t="inlineStr">
        <is>
          <t>DALARNAS LÄN</t>
        </is>
      </c>
      <c r="G522" t="inlineStr">
        <is>
          <t>FALUN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19967-2025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45771</v>
      </c>
      <c r="E523" s="1" t="n">
        <v>46228</v>
      </c>
      <c r="F523" t="inlineStr">
        <is>
          <t>DALARNAS LÄN</t>
        </is>
      </c>
      <c r="G523" t="inlineStr">
        <is>
          <t>FALUN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46228</v>
      </c>
      <c r="F524" t="inlineStr">
        <is>
          <t>DALARNAS LÄN</t>
        </is>
      </c>
      <c r="G524" t="inlineStr">
        <is>
          <t>FALUN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46032</v>
      </c>
      <c r="E525" s="1" t="n">
        <v>46228</v>
      </c>
      <c r="F525" t="inlineStr">
        <is>
          <t>DALARNAS LÄN</t>
        </is>
      </c>
      <c r="G525" t="inlineStr">
        <is>
          <t>FALUN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45910</v>
      </c>
      <c r="E526" s="1" t="n">
        <v>46228</v>
      </c>
      <c r="F526" t="inlineStr">
        <is>
          <t>DALARNAS LÄN</t>
        </is>
      </c>
      <c r="G526" t="inlineStr">
        <is>
          <t>FALUN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49891-2025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45940</v>
      </c>
      <c r="E527" s="1" t="n">
        <v>46228</v>
      </c>
      <c r="F527" t="inlineStr">
        <is>
          <t>DALARNAS LÄN</t>
        </is>
      </c>
      <c r="G527" t="inlineStr">
        <is>
          <t>FALUN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49905-2025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45940</v>
      </c>
      <c r="E528" s="1" t="n">
        <v>46228</v>
      </c>
      <c r="F528" t="inlineStr">
        <is>
          <t>DALARNAS LÄN</t>
        </is>
      </c>
      <c r="G528" t="inlineStr">
        <is>
          <t>FALUN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46228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49877-2025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45940</v>
      </c>
      <c r="E530" s="1" t="n">
        <v>46228</v>
      </c>
      <c r="F530" t="inlineStr">
        <is>
          <t>DALARNAS LÄN</t>
        </is>
      </c>
      <c r="G530" t="inlineStr">
        <is>
          <t>FALUN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46228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20215-2026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46139</v>
      </c>
      <c r="E532" s="1" t="n">
        <v>46228</v>
      </c>
      <c r="F532" t="inlineStr">
        <is>
          <t>DALARNAS LÄN</t>
        </is>
      </c>
      <c r="G532" t="inlineStr">
        <is>
          <t>FALUN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46228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11681-2026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46228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46228</v>
      </c>
      <c r="F535" t="inlineStr">
        <is>
          <t>DALARNAS LÄN</t>
        </is>
      </c>
      <c r="G535" t="inlineStr">
        <is>
          <t>FALUN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46228</v>
      </c>
      <c r="F536" t="inlineStr">
        <is>
          <t>DALARNAS LÄN</t>
        </is>
      </c>
      <c r="G536" t="inlineStr">
        <is>
          <t>FALUN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46228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46228</v>
      </c>
      <c r="F538" t="inlineStr">
        <is>
          <t>DALARNAS LÄN</t>
        </is>
      </c>
      <c r="G538" t="inlineStr">
        <is>
          <t>FALUN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46228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47.3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46228</v>
      </c>
      <c r="F540" t="inlineStr">
        <is>
          <t>DALARNAS LÄN</t>
        </is>
      </c>
      <c r="G540" t="inlineStr">
        <is>
          <t>FALUN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46228</v>
      </c>
      <c r="F541" t="inlineStr">
        <is>
          <t>DALARNAS LÄN</t>
        </is>
      </c>
      <c r="G541" t="inlineStr">
        <is>
          <t>FALUN</t>
        </is>
      </c>
      <c r="I541" t="n">
        <v>12.2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46228</v>
      </c>
      <c r="F542" t="inlineStr">
        <is>
          <t>DALARNAS LÄN</t>
        </is>
      </c>
      <c r="G542" t="inlineStr">
        <is>
          <t>FALUN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46228</v>
      </c>
      <c r="F543" t="inlineStr">
        <is>
          <t>DALARNAS LÄN</t>
        </is>
      </c>
      <c r="G543" t="inlineStr">
        <is>
          <t>FALUN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46027</v>
      </c>
      <c r="E544" s="1" t="n">
        <v>46228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46228</v>
      </c>
      <c r="F545" t="inlineStr">
        <is>
          <t>DALARNAS LÄN</t>
        </is>
      </c>
      <c r="G545" t="inlineStr">
        <is>
          <t>FALUN</t>
        </is>
      </c>
      <c r="I545" t="n">
        <v>11.8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46228</v>
      </c>
      <c r="F546" t="inlineStr">
        <is>
          <t>DALARNAS LÄN</t>
        </is>
      </c>
      <c r="G546" t="inlineStr">
        <is>
          <t>FALUN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46142</v>
      </c>
      <c r="E547" s="1" t="n">
        <v>46228</v>
      </c>
      <c r="F547" t="inlineStr">
        <is>
          <t>DALARNAS LÄN</t>
        </is>
      </c>
      <c r="G547" t="inlineStr">
        <is>
          <t>FALUN</t>
        </is>
      </c>
      <c r="I547" t="n">
        <v>45.9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44742</v>
      </c>
      <c r="E548" s="1" t="n">
        <v>46228</v>
      </c>
      <c r="F548" t="inlineStr">
        <is>
          <t>DALARNAS LÄN</t>
        </is>
      </c>
      <c r="G548" t="inlineStr">
        <is>
          <t>FALUN</t>
        </is>
      </c>
      <c r="H548" t="inlineStr">
        <is>
          <t>Kyrkan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46228</v>
      </c>
      <c r="F549" t="inlineStr">
        <is>
          <t>DALARNAS LÄN</t>
        </is>
      </c>
      <c r="G549" t="inlineStr">
        <is>
          <t>FALUN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26615-2022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44739</v>
      </c>
      <c r="E550" s="1" t="n">
        <v>46228</v>
      </c>
      <c r="F550" t="inlineStr">
        <is>
          <t>DALARNAS LÄN</t>
        </is>
      </c>
      <c r="G550" t="inlineStr">
        <is>
          <t>FALUN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46228</v>
      </c>
      <c r="F551" t="inlineStr">
        <is>
          <t>DALARNAS LÄN</t>
        </is>
      </c>
      <c r="G551" t="inlineStr">
        <is>
          <t>FALUN</t>
        </is>
      </c>
      <c r="I551" t="n">
        <v>15.7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46228</v>
      </c>
      <c r="F552" t="inlineStr">
        <is>
          <t>DALARNAS LÄN</t>
        </is>
      </c>
      <c r="G552" t="inlineStr">
        <is>
          <t>FALUN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46228</v>
      </c>
      <c r="F553" t="inlineStr">
        <is>
          <t>DALARNAS LÄN</t>
        </is>
      </c>
      <c r="G553" t="inlineStr">
        <is>
          <t>FALUN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46228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46228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46228</v>
      </c>
      <c r="F556" t="inlineStr">
        <is>
          <t>DALARNAS LÄN</t>
        </is>
      </c>
      <c r="G556" t="inlineStr">
        <is>
          <t>FALUN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46228</v>
      </c>
      <c r="F557" t="inlineStr">
        <is>
          <t>DALARNAS LÄN</t>
        </is>
      </c>
      <c r="G557" t="inlineStr">
        <is>
          <t>FALUN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33998-2024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46228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46228</v>
      </c>
      <c r="F559" t="inlineStr">
        <is>
          <t>DALARNAS LÄN</t>
        </is>
      </c>
      <c r="G559" t="inlineStr">
        <is>
          <t>FALUN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46228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46228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46228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46228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57.6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46228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46228</v>
      </c>
      <c r="F565" t="inlineStr">
        <is>
          <t>DALARNAS LÄN</t>
        </is>
      </c>
      <c r="G565" t="inlineStr">
        <is>
          <t>FALUN</t>
        </is>
      </c>
      <c r="I565" t="n">
        <v>11.6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46228</v>
      </c>
      <c r="F566" t="inlineStr">
        <is>
          <t>DALARNAS LÄN</t>
        </is>
      </c>
      <c r="G566" t="inlineStr">
        <is>
          <t>FALUN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46228</v>
      </c>
      <c r="F567" t="inlineStr">
        <is>
          <t>DALARNAS LÄN</t>
        </is>
      </c>
      <c r="G567" t="inlineStr">
        <is>
          <t>FALUN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21174-2026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46146</v>
      </c>
      <c r="E568" s="1" t="n">
        <v>46228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46228</v>
      </c>
      <c r="F569" t="inlineStr">
        <is>
          <t>DALARNAS LÄN</t>
        </is>
      </c>
      <c r="G569" t="inlineStr">
        <is>
          <t>FALUN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46228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52460-2025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45954</v>
      </c>
      <c r="E571" s="1" t="n">
        <v>46228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46228</v>
      </c>
      <c r="F572" t="inlineStr">
        <is>
          <t>DALARNAS LÄN</t>
        </is>
      </c>
      <c r="G572" t="inlineStr">
        <is>
          <t>FALUN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8212-2026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46064</v>
      </c>
      <c r="E573" s="1" t="n">
        <v>46228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52752-2025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45957</v>
      </c>
      <c r="E574" s="1" t="n">
        <v>46228</v>
      </c>
      <c r="F574" t="inlineStr">
        <is>
          <t>DALARNAS LÄN</t>
        </is>
      </c>
      <c r="G574" t="inlineStr">
        <is>
          <t>FALUN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52836-2025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45957</v>
      </c>
      <c r="E575" s="1" t="n">
        <v>46228</v>
      </c>
      <c r="F575" t="inlineStr">
        <is>
          <t>DALARNAS LÄN</t>
        </is>
      </c>
      <c r="G575" t="inlineStr">
        <is>
          <t>FALUN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46090</v>
      </c>
      <c r="E576" s="1" t="n">
        <v>46228</v>
      </c>
      <c r="F576" t="inlineStr">
        <is>
          <t>DALARNAS LÄN</t>
        </is>
      </c>
      <c r="G576" t="inlineStr">
        <is>
          <t>FALUN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16334-2023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45028</v>
      </c>
      <c r="E577" s="1" t="n">
        <v>46228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46146</v>
      </c>
      <c r="E578" s="1" t="n">
        <v>46228</v>
      </c>
      <c r="F578" t="inlineStr">
        <is>
          <t>DALARNAS LÄN</t>
        </is>
      </c>
      <c r="G578" t="inlineStr">
        <is>
          <t>FALUN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46228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46228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46228</v>
      </c>
      <c r="F581" t="inlineStr">
        <is>
          <t>DALARNAS LÄN</t>
        </is>
      </c>
      <c r="G581" t="inlineStr">
        <is>
          <t>FALUN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46228</v>
      </c>
      <c r="F582" t="inlineStr">
        <is>
          <t>DALARNAS LÄN</t>
        </is>
      </c>
      <c r="G582" t="inlineStr">
        <is>
          <t>FALUN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46023</v>
      </c>
      <c r="E583" s="1" t="n">
        <v>46228</v>
      </c>
      <c r="F583" t="inlineStr">
        <is>
          <t>DALARNAS LÄN</t>
        </is>
      </c>
      <c r="G583" t="inlineStr">
        <is>
          <t>FALUN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46228</v>
      </c>
      <c r="F584" t="inlineStr">
        <is>
          <t>DALARNAS LÄN</t>
        </is>
      </c>
      <c r="G584" t="inlineStr">
        <is>
          <t>FALUN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46228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46228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46228</v>
      </c>
      <c r="F587" t="inlineStr">
        <is>
          <t>DALARNAS LÄN</t>
        </is>
      </c>
      <c r="G587" t="inlineStr">
        <is>
          <t>FALUN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17507-2025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45757</v>
      </c>
      <c r="E588" s="1" t="n">
        <v>46228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46228</v>
      </c>
      <c r="F589" t="inlineStr">
        <is>
          <t>DALARNAS LÄN</t>
        </is>
      </c>
      <c r="G589" t="inlineStr">
        <is>
          <t>FALUN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46228</v>
      </c>
      <c r="F590" t="inlineStr">
        <is>
          <t>DALARNAS LÄN</t>
        </is>
      </c>
      <c r="G590" t="inlineStr">
        <is>
          <t>FALUN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46146</v>
      </c>
      <c r="E591" s="1" t="n">
        <v>46228</v>
      </c>
      <c r="F591" t="inlineStr">
        <is>
          <t>DALARNAS LÄN</t>
        </is>
      </c>
      <c r="G591" t="inlineStr">
        <is>
          <t>FALUN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17932-2026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46228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46040</v>
      </c>
      <c r="E593" s="1" t="n">
        <v>46228</v>
      </c>
      <c r="F593" t="inlineStr">
        <is>
          <t>DALARNAS LÄN</t>
        </is>
      </c>
      <c r="G593" t="inlineStr">
        <is>
          <t>FALUN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21041-2026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46228</v>
      </c>
      <c r="F594" t="inlineStr">
        <is>
          <t>DALARNAS LÄN</t>
        </is>
      </c>
      <c r="G594" t="inlineStr">
        <is>
          <t>FALUN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25894-2025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45804</v>
      </c>
      <c r="E595" s="1" t="n">
        <v>46228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46146</v>
      </c>
      <c r="E596" s="1" t="n">
        <v>46228</v>
      </c>
      <c r="F596" t="inlineStr">
        <is>
          <t>DALARNAS LÄN</t>
        </is>
      </c>
      <c r="G596" t="inlineStr">
        <is>
          <t>FALUN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46049</v>
      </c>
      <c r="E597" s="1" t="n">
        <v>46228</v>
      </c>
      <c r="F597" t="inlineStr">
        <is>
          <t>DALARNAS LÄN</t>
        </is>
      </c>
      <c r="G597" t="inlineStr">
        <is>
          <t>FALUN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58322-2023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45250</v>
      </c>
      <c r="E598" s="1" t="n">
        <v>46228</v>
      </c>
      <c r="F598" t="inlineStr">
        <is>
          <t>DALARNAS LÄN</t>
        </is>
      </c>
      <c r="G598" t="inlineStr">
        <is>
          <t>FALUN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27313-2026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46228</v>
      </c>
      <c r="F599" t="inlineStr">
        <is>
          <t>DALARNAS LÄN</t>
        </is>
      </c>
      <c r="G599" t="inlineStr">
        <is>
          <t>FALUN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19426-2025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45769</v>
      </c>
      <c r="E600" s="1" t="n">
        <v>46228</v>
      </c>
      <c r="F600" t="inlineStr">
        <is>
          <t>DALARNAS LÄN</t>
        </is>
      </c>
      <c r="G600" t="inlineStr">
        <is>
          <t>FALUN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46228</v>
      </c>
      <c r="F601" t="inlineStr">
        <is>
          <t>DALARNAS LÄN</t>
        </is>
      </c>
      <c r="G601" t="inlineStr">
        <is>
          <t>FALUN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53996-2025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45961</v>
      </c>
      <c r="E602" s="1" t="n">
        <v>46228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46228</v>
      </c>
      <c r="F603" t="inlineStr">
        <is>
          <t>DALARNAS LÄN</t>
        </is>
      </c>
      <c r="G603" t="inlineStr">
        <is>
          <t>FALUN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46228</v>
      </c>
      <c r="F604" t="inlineStr">
        <is>
          <t>DALARNAS LÄN</t>
        </is>
      </c>
      <c r="G604" t="inlineStr">
        <is>
          <t>FALUN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46228</v>
      </c>
      <c r="F605" t="inlineStr">
        <is>
          <t>DALARNAS LÄN</t>
        </is>
      </c>
      <c r="G605" t="inlineStr">
        <is>
          <t>FALUN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46228</v>
      </c>
      <c r="F606" t="inlineStr">
        <is>
          <t>DALARNAS LÄN</t>
        </is>
      </c>
      <c r="G606" t="inlineStr">
        <is>
          <t>FALUN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45965</v>
      </c>
      <c r="E607" s="1" t="n">
        <v>46228</v>
      </c>
      <c r="F607" t="inlineStr">
        <is>
          <t>DALARNAS LÄN</t>
        </is>
      </c>
      <c r="G607" t="inlineStr">
        <is>
          <t>FALUN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46228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74196-2021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44558</v>
      </c>
      <c r="E609" s="1" t="n">
        <v>46228</v>
      </c>
      <c r="F609" t="inlineStr">
        <is>
          <t>DALARNAS LÄN</t>
        </is>
      </c>
      <c r="G609" t="inlineStr">
        <is>
          <t>FALUN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40426-2022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44823</v>
      </c>
      <c r="E610" s="1" t="n">
        <v>46228</v>
      </c>
      <c r="F610" t="inlineStr">
        <is>
          <t>DALARNAS LÄN</t>
        </is>
      </c>
      <c r="G610" t="inlineStr">
        <is>
          <t>FALUN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52615-2021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44466</v>
      </c>
      <c r="E611" s="1" t="n">
        <v>46228</v>
      </c>
      <c r="F611" t="inlineStr">
        <is>
          <t>DALARNAS LÄN</t>
        </is>
      </c>
      <c r="G611" t="inlineStr">
        <is>
          <t>FALUN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46149</v>
      </c>
      <c r="E612" s="1" t="n">
        <v>46228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54566-2025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45965</v>
      </c>
      <c r="E613" s="1" t="n">
        <v>46228</v>
      </c>
      <c r="F613" t="inlineStr">
        <is>
          <t>DALARNAS LÄN</t>
        </is>
      </c>
      <c r="G613" t="inlineStr">
        <is>
          <t>FALUN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46148</v>
      </c>
      <c r="E614" s="1" t="n">
        <v>46228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46228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45665</v>
      </c>
      <c r="E616" s="1" t="n">
        <v>46228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46228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46191</v>
      </c>
      <c r="E618" s="1" t="n">
        <v>46228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46228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45180</v>
      </c>
      <c r="E620" s="1" t="n">
        <v>46228</v>
      </c>
      <c r="F620" t="inlineStr">
        <is>
          <t>DALARNAS LÄN</t>
        </is>
      </c>
      <c r="G620" t="inlineStr">
        <is>
          <t>FALUN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45967</v>
      </c>
      <c r="E621" s="1" t="n">
        <v>46228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46228</v>
      </c>
      <c r="F622" t="inlineStr">
        <is>
          <t>DALARNAS LÄN</t>
        </is>
      </c>
      <c r="G622" t="inlineStr">
        <is>
          <t>FALUN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18718-2026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46228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46228</v>
      </c>
      <c r="F624" t="inlineStr">
        <is>
          <t>DALARNAS LÄN</t>
        </is>
      </c>
      <c r="G624" t="inlineStr">
        <is>
          <t>FALUN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46228</v>
      </c>
      <c r="F625" t="inlineStr">
        <is>
          <t>DALARNAS LÄN</t>
        </is>
      </c>
      <c r="G625" t="inlineStr">
        <is>
          <t>FALUN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27822-2026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46228</v>
      </c>
      <c r="F626" t="inlineStr">
        <is>
          <t>DALARNAS LÄN</t>
        </is>
      </c>
      <c r="G626" t="inlineStr">
        <is>
          <t>FALUN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46148</v>
      </c>
      <c r="E627" s="1" t="n">
        <v>46228</v>
      </c>
      <c r="F627" t="inlineStr">
        <is>
          <t>DALARNAS LÄN</t>
        </is>
      </c>
      <c r="G627" t="inlineStr">
        <is>
          <t>FALUN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55201-2025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45968</v>
      </c>
      <c r="E628" s="1" t="n">
        <v>46228</v>
      </c>
      <c r="F628" t="inlineStr">
        <is>
          <t>DALARNAS LÄN</t>
        </is>
      </c>
      <c r="G628" t="inlineStr">
        <is>
          <t>FALUN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46228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55516-2025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46228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46228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55140-2025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45968</v>
      </c>
      <c r="E632" s="1" t="n">
        <v>46228</v>
      </c>
      <c r="F632" t="inlineStr">
        <is>
          <t>DALARNAS LÄN</t>
        </is>
      </c>
      <c r="G632" t="inlineStr">
        <is>
          <t>FALUN</t>
        </is>
      </c>
      <c r="I632" t="n">
        <v>14.8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46228</v>
      </c>
      <c r="F633" t="inlineStr">
        <is>
          <t>DALARNAS LÄN</t>
        </is>
      </c>
      <c r="G633" t="inlineStr">
        <is>
          <t>FALUN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46228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45014</v>
      </c>
      <c r="E635" s="1" t="n">
        <v>46228</v>
      </c>
      <c r="F635" t="inlineStr">
        <is>
          <t>DALARNAS LÄN</t>
        </is>
      </c>
      <c r="G635" t="inlineStr">
        <is>
          <t>FALUN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55989-2025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46228</v>
      </c>
      <c r="F636" t="inlineStr">
        <is>
          <t>DALARNAS LÄN</t>
        </is>
      </c>
      <c r="G636" t="inlineStr">
        <is>
          <t>FALUN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46148</v>
      </c>
      <c r="E637" s="1" t="n">
        <v>46228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46228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46191</v>
      </c>
      <c r="E639" s="1" t="n">
        <v>46228</v>
      </c>
      <c r="F639" t="inlineStr">
        <is>
          <t>DALARNAS LÄN</t>
        </is>
      </c>
      <c r="G639" t="inlineStr">
        <is>
          <t>FALUN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46228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46228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46228</v>
      </c>
      <c r="F642" t="inlineStr">
        <is>
          <t>DALARNAS LÄN</t>
        </is>
      </c>
      <c r="G642" t="inlineStr">
        <is>
          <t>FALUN</t>
        </is>
      </c>
      <c r="I642" t="n">
        <v>10.7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46228</v>
      </c>
      <c r="F643" t="inlineStr">
        <is>
          <t>DALARNAS LÄN</t>
        </is>
      </c>
      <c r="G643" t="inlineStr">
        <is>
          <t>FALUN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10268-2024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45365</v>
      </c>
      <c r="E644" s="1" t="n">
        <v>46228</v>
      </c>
      <c r="F644" t="inlineStr">
        <is>
          <t>DALARNAS LÄN</t>
        </is>
      </c>
      <c r="G644" t="inlineStr">
        <is>
          <t>FALUN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36411-2025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45868</v>
      </c>
      <c r="E645" s="1" t="n">
        <v>46228</v>
      </c>
      <c r="F645" t="inlineStr">
        <is>
          <t>DALARNAS LÄN</t>
        </is>
      </c>
      <c r="G645" t="inlineStr">
        <is>
          <t>FALUN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46087</v>
      </c>
      <c r="E646" s="1" t="n">
        <v>46228</v>
      </c>
      <c r="F646" t="inlineStr">
        <is>
          <t>DALARNAS LÄN</t>
        </is>
      </c>
      <c r="G646" t="inlineStr">
        <is>
          <t>FALUN</t>
        </is>
      </c>
      <c r="I646" t="n">
        <v>23.9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46228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28117-2026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46228</v>
      </c>
      <c r="F648" t="inlineStr">
        <is>
          <t>DALARNAS LÄN</t>
        </is>
      </c>
      <c r="G648" t="inlineStr">
        <is>
          <t>FALUN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56149-2022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44889</v>
      </c>
      <c r="E649" s="1" t="n">
        <v>46228</v>
      </c>
      <c r="F649" t="inlineStr">
        <is>
          <t>DALARNAS LÄN</t>
        </is>
      </c>
      <c r="G649" t="inlineStr">
        <is>
          <t>FALUN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22069-2026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46228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46228</v>
      </c>
      <c r="F651" t="inlineStr">
        <is>
          <t>DALARNAS LÄN</t>
        </is>
      </c>
      <c r="G651" t="inlineStr">
        <is>
          <t>FALUN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46228</v>
      </c>
      <c r="F652" t="inlineStr">
        <is>
          <t>DALARNAS LÄN</t>
        </is>
      </c>
      <c r="G652" t="inlineStr">
        <is>
          <t>FALUN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56913-2025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45978</v>
      </c>
      <c r="E653" s="1" t="n">
        <v>46228</v>
      </c>
      <c r="F653" t="inlineStr">
        <is>
          <t>DALARNAS LÄN</t>
        </is>
      </c>
      <c r="G653" t="inlineStr">
        <is>
          <t>FALUN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46037</v>
      </c>
      <c r="E654" s="1" t="n">
        <v>46228</v>
      </c>
      <c r="F654" t="inlineStr">
        <is>
          <t>DALARNAS LÄN</t>
        </is>
      </c>
      <c r="G654" t="inlineStr">
        <is>
          <t>FALUN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46150</v>
      </c>
      <c r="E655" s="1" t="n">
        <v>46228</v>
      </c>
      <c r="F655" t="inlineStr">
        <is>
          <t>DALARNAS LÄN</t>
        </is>
      </c>
      <c r="G655" t="inlineStr">
        <is>
          <t>FALUN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56924-2025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45978</v>
      </c>
      <c r="E656" s="1" t="n">
        <v>46228</v>
      </c>
      <c r="F656" t="inlineStr">
        <is>
          <t>DALARNAS LÄN</t>
        </is>
      </c>
      <c r="G656" t="inlineStr">
        <is>
          <t>FALUN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56931-2025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45978</v>
      </c>
      <c r="E657" s="1" t="n">
        <v>46228</v>
      </c>
      <c r="F657" t="inlineStr">
        <is>
          <t>DALARNAS LÄN</t>
        </is>
      </c>
      <c r="G657" t="inlineStr">
        <is>
          <t>FALUN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46228</v>
      </c>
      <c r="F658" t="inlineStr">
        <is>
          <t>DALARNAS LÄN</t>
        </is>
      </c>
      <c r="G658" t="inlineStr">
        <is>
          <t>FALUN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57059-2025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45979</v>
      </c>
      <c r="E659" s="1" t="n">
        <v>46228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46228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46228</v>
      </c>
      <c r="F661" t="inlineStr">
        <is>
          <t>DALARNAS LÄN</t>
        </is>
      </c>
      <c r="G661" t="inlineStr">
        <is>
          <t>FALUN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46080</v>
      </c>
      <c r="E662" s="1" t="n">
        <v>46228</v>
      </c>
      <c r="F662" t="inlineStr">
        <is>
          <t>DALARNAS LÄN</t>
        </is>
      </c>
      <c r="G662" t="inlineStr">
        <is>
          <t>FALUN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56906-2025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45978</v>
      </c>
      <c r="E663" s="1" t="n">
        <v>46228</v>
      </c>
      <c r="F663" t="inlineStr">
        <is>
          <t>DALARNAS LÄN</t>
        </is>
      </c>
      <c r="G663" t="inlineStr">
        <is>
          <t>FALUN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10864-2026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46228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46228</v>
      </c>
      <c r="F665" t="inlineStr">
        <is>
          <t>DALARNAS LÄN</t>
        </is>
      </c>
      <c r="G665" t="inlineStr">
        <is>
          <t>FALUN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46228</v>
      </c>
      <c r="F666" t="inlineStr">
        <is>
          <t>DALARNAS LÄN</t>
        </is>
      </c>
      <c r="G666" t="inlineStr">
        <is>
          <t>FALUN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45978</v>
      </c>
      <c r="E667" s="1" t="n">
        <v>46228</v>
      </c>
      <c r="F667" t="inlineStr">
        <is>
          <t>DALARNAS LÄN</t>
        </is>
      </c>
      <c r="G667" t="inlineStr">
        <is>
          <t>FALUN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46228</v>
      </c>
      <c r="F668" t="inlineStr">
        <is>
          <t>DALARNAS LÄN</t>
        </is>
      </c>
      <c r="G668" t="inlineStr">
        <is>
          <t>FALUN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46228</v>
      </c>
      <c r="F669" t="inlineStr">
        <is>
          <t>DALARNAS LÄN</t>
        </is>
      </c>
      <c r="G669" t="inlineStr">
        <is>
          <t>FALUN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56962-2025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45978</v>
      </c>
      <c r="E670" s="1" t="n">
        <v>46228</v>
      </c>
      <c r="F670" t="inlineStr">
        <is>
          <t>DALARNAS LÄN</t>
        </is>
      </c>
      <c r="G670" t="inlineStr">
        <is>
          <t>FALUN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46228</v>
      </c>
      <c r="F671" t="inlineStr">
        <is>
          <t>DALARNAS LÄN</t>
        </is>
      </c>
      <c r="G671" t="inlineStr">
        <is>
          <t>FALUN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45979</v>
      </c>
      <c r="E672" s="1" t="n">
        <v>46228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46228</v>
      </c>
      <c r="F673" t="inlineStr">
        <is>
          <t>DALARNAS LÄN</t>
        </is>
      </c>
      <c r="G673" t="inlineStr">
        <is>
          <t>FALUN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21831-2026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46150</v>
      </c>
      <c r="E674" s="1" t="n">
        <v>46228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57544-2025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45980</v>
      </c>
      <c r="E675" s="1" t="n">
        <v>46228</v>
      </c>
      <c r="F675" t="inlineStr">
        <is>
          <t>DALARNAS LÄN</t>
        </is>
      </c>
      <c r="G675" t="inlineStr">
        <is>
          <t>FALUN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46037</v>
      </c>
      <c r="E676" s="1" t="n">
        <v>46228</v>
      </c>
      <c r="F676" t="inlineStr">
        <is>
          <t>DALARNAS LÄN</t>
        </is>
      </c>
      <c r="G676" t="inlineStr">
        <is>
          <t>FALUN</t>
        </is>
      </c>
      <c r="I676" t="n">
        <v>23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45302</v>
      </c>
      <c r="E677" s="1" t="n">
        <v>46228</v>
      </c>
      <c r="F677" t="inlineStr">
        <is>
          <t>DALARNAS LÄN</t>
        </is>
      </c>
      <c r="G677" t="inlineStr">
        <is>
          <t>FALUN</t>
        </is>
      </c>
      <c r="I677" t="n">
        <v>9.699999999999999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46228</v>
      </c>
      <c r="F678" t="inlineStr">
        <is>
          <t>DALARNAS LÄN</t>
        </is>
      </c>
      <c r="G678" t="inlineStr">
        <is>
          <t>FALUN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46228</v>
      </c>
      <c r="F679" t="inlineStr">
        <is>
          <t>DALARNAS LÄN</t>
        </is>
      </c>
      <c r="G679" t="inlineStr">
        <is>
          <t>FALUN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46228</v>
      </c>
      <c r="F680" t="inlineStr">
        <is>
          <t>DALARNAS LÄN</t>
        </is>
      </c>
      <c r="G680" t="inlineStr">
        <is>
          <t>FALUN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22204-2026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46228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46228</v>
      </c>
      <c r="F682" t="inlineStr">
        <is>
          <t>DALARNAS LÄN</t>
        </is>
      </c>
      <c r="G682" t="inlineStr">
        <is>
          <t>FALUN</t>
        </is>
      </c>
      <c r="H682" t="inlineStr">
        <is>
          <t>Allmännings- och besparingsskogar</t>
        </is>
      </c>
      <c r="I682" t="n">
        <v>17.4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46228</v>
      </c>
      <c r="F683" t="inlineStr">
        <is>
          <t>DALARNAS LÄN</t>
        </is>
      </c>
      <c r="G683" t="inlineStr">
        <is>
          <t>FALUN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45980</v>
      </c>
      <c r="E684" s="1" t="n">
        <v>46228</v>
      </c>
      <c r="F684" t="inlineStr">
        <is>
          <t>DALARNAS LÄN</t>
        </is>
      </c>
      <c r="G684" t="inlineStr">
        <is>
          <t>FALUN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46150</v>
      </c>
      <c r="E685" s="1" t="n">
        <v>46228</v>
      </c>
      <c r="F685" t="inlineStr">
        <is>
          <t>DALARNAS LÄN</t>
        </is>
      </c>
      <c r="G685" t="inlineStr">
        <is>
          <t>FALUN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46150</v>
      </c>
      <c r="E686" s="1" t="n">
        <v>46228</v>
      </c>
      <c r="F686" t="inlineStr">
        <is>
          <t>DALARNAS LÄN</t>
        </is>
      </c>
      <c r="G686" t="inlineStr">
        <is>
          <t>FALUN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45597</v>
      </c>
      <c r="E687" s="1" t="n">
        <v>46228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22174-2026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46153</v>
      </c>
      <c r="E688" s="1" t="n">
        <v>46228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46228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6.8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44798</v>
      </c>
      <c r="E690" s="1" t="n">
        <v>46228</v>
      </c>
      <c r="F690" t="inlineStr">
        <is>
          <t>DALARNAS LÄN</t>
        </is>
      </c>
      <c r="G690" t="inlineStr">
        <is>
          <t>FALUN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46228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22056-2026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46153</v>
      </c>
      <c r="E692" s="1" t="n">
        <v>46228</v>
      </c>
      <c r="F692" t="inlineStr">
        <is>
          <t>DALARNAS LÄN</t>
        </is>
      </c>
      <c r="G692" t="inlineStr">
        <is>
          <t>FALUN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46153</v>
      </c>
      <c r="E693" s="1" t="n">
        <v>46228</v>
      </c>
      <c r="F693" t="inlineStr">
        <is>
          <t>DALARNAS LÄN</t>
        </is>
      </c>
      <c r="G693" t="inlineStr">
        <is>
          <t>FALUN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53703-2023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45224</v>
      </c>
      <c r="E694" s="1" t="n">
        <v>46228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6953-2026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46228</v>
      </c>
      <c r="F695" t="inlineStr">
        <is>
          <t>DALARNAS LÄN</t>
        </is>
      </c>
      <c r="G695" t="inlineStr">
        <is>
          <t>FALUN</t>
        </is>
      </c>
      <c r="H695" t="inlineStr">
        <is>
          <t>Allmännings- och besparingsskogar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16655-2026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46228</v>
      </c>
      <c r="F696" t="inlineStr">
        <is>
          <t>DALARNAS LÄN</t>
        </is>
      </c>
      <c r="G696" t="inlineStr">
        <is>
          <t>FALUN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46027</v>
      </c>
      <c r="E697" s="1" t="n">
        <v>46228</v>
      </c>
      <c r="F697" t="inlineStr">
        <is>
          <t>DALARNAS LÄN</t>
        </is>
      </c>
      <c r="G697" t="inlineStr">
        <is>
          <t>FALUN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46032</v>
      </c>
      <c r="E698" s="1" t="n">
        <v>46228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46042</v>
      </c>
      <c r="E699" s="1" t="n">
        <v>46228</v>
      </c>
      <c r="F699" t="inlineStr">
        <is>
          <t>DALARNAS LÄN</t>
        </is>
      </c>
      <c r="G699" t="inlineStr">
        <is>
          <t>FALUN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46228</v>
      </c>
      <c r="F700" t="inlineStr">
        <is>
          <t>DALARNAS LÄN</t>
        </is>
      </c>
      <c r="G700" t="inlineStr">
        <is>
          <t>FALUN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46150</v>
      </c>
      <c r="E701" s="1" t="n">
        <v>46228</v>
      </c>
      <c r="F701" t="inlineStr">
        <is>
          <t>DALARNAS LÄN</t>
        </is>
      </c>
      <c r="G701" t="inlineStr">
        <is>
          <t>FALUN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46150</v>
      </c>
      <c r="E702" s="1" t="n">
        <v>46228</v>
      </c>
      <c r="F702" t="inlineStr">
        <is>
          <t>DALARNAS LÄN</t>
        </is>
      </c>
      <c r="G702" t="inlineStr">
        <is>
          <t>FALUN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43193-2024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45567</v>
      </c>
      <c r="E703" s="1" t="n">
        <v>46228</v>
      </c>
      <c r="F703" t="inlineStr">
        <is>
          <t>DALARNAS LÄN</t>
        </is>
      </c>
      <c r="G703" t="inlineStr">
        <is>
          <t>FALUN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46228</v>
      </c>
      <c r="F704" t="inlineStr">
        <is>
          <t>DALARNAS LÄN</t>
        </is>
      </c>
      <c r="G704" t="inlineStr">
        <is>
          <t>FALUN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46072</v>
      </c>
      <c r="E705" s="1" t="n">
        <v>46228</v>
      </c>
      <c r="F705" t="inlineStr">
        <is>
          <t>DALARNAS LÄN</t>
        </is>
      </c>
      <c r="G705" t="inlineStr">
        <is>
          <t>FALUN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47343-2024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45587</v>
      </c>
      <c r="E706" s="1" t="n">
        <v>46228</v>
      </c>
      <c r="F706" t="inlineStr">
        <is>
          <t>DALARNAS LÄN</t>
        </is>
      </c>
      <c r="G706" t="inlineStr">
        <is>
          <t>FALUN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46228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13812-2026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46228</v>
      </c>
      <c r="F708" t="inlineStr">
        <is>
          <t>DALARNAS LÄN</t>
        </is>
      </c>
      <c r="G708" t="inlineStr">
        <is>
          <t>FALUN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45677</v>
      </c>
      <c r="E709" s="1" t="n">
        <v>46228</v>
      </c>
      <c r="F709" t="inlineStr">
        <is>
          <t>DALARNAS LÄN</t>
        </is>
      </c>
      <c r="G709" t="inlineStr">
        <is>
          <t>FALUN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13237-2026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46228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21837-2026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46228</v>
      </c>
      <c r="F711" t="inlineStr">
        <is>
          <t>DALARNAS LÄN</t>
        </is>
      </c>
      <c r="G711" t="inlineStr">
        <is>
          <t>FALUN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28173-2026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46195</v>
      </c>
      <c r="E712" s="1" t="n">
        <v>46228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58914-2025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45987</v>
      </c>
      <c r="E713" s="1" t="n">
        <v>46228</v>
      </c>
      <c r="F713" t="inlineStr">
        <is>
          <t>DALARNAS LÄN</t>
        </is>
      </c>
      <c r="G713" t="inlineStr">
        <is>
          <t>FALUN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46228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46150</v>
      </c>
      <c r="E715" s="1" t="n">
        <v>46228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29844-2022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44755</v>
      </c>
      <c r="E716" s="1" t="n">
        <v>46228</v>
      </c>
      <c r="F716" t="inlineStr">
        <is>
          <t>DALARNAS LÄN</t>
        </is>
      </c>
      <c r="G716" t="inlineStr">
        <is>
          <t>FALUN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59190-2025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45988</v>
      </c>
      <c r="E717" s="1" t="n">
        <v>46228</v>
      </c>
      <c r="F717" t="inlineStr">
        <is>
          <t>DALARNAS LÄN</t>
        </is>
      </c>
      <c r="G717" t="inlineStr">
        <is>
          <t>FALUN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59223-2025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46228</v>
      </c>
      <c r="F718" t="inlineStr">
        <is>
          <t>DALARNAS LÄN</t>
        </is>
      </c>
      <c r="G718" t="inlineStr">
        <is>
          <t>FALUN</t>
        </is>
      </c>
      <c r="I718" t="n">
        <v>8.800000000000001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46228</v>
      </c>
      <c r="F719" t="inlineStr">
        <is>
          <t>DALARNAS LÄN</t>
        </is>
      </c>
      <c r="G719" t="inlineStr">
        <is>
          <t>FALUN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45453</v>
      </c>
      <c r="E720" s="1" t="n">
        <v>46228</v>
      </c>
      <c r="F720" t="inlineStr">
        <is>
          <t>DALARNAS LÄN</t>
        </is>
      </c>
      <c r="G720" t="inlineStr">
        <is>
          <t>FALUN</t>
        </is>
      </c>
      <c r="H720" t="inlineStr">
        <is>
          <t>Övriga statliga verk och myndigheter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45989</v>
      </c>
      <c r="E721" s="1" t="n">
        <v>46228</v>
      </c>
      <c r="F721" t="inlineStr">
        <is>
          <t>DALARNAS LÄN</t>
        </is>
      </c>
      <c r="G721" t="inlineStr">
        <is>
          <t>FALUN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46200-2023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45196</v>
      </c>
      <c r="E722" s="1" t="n">
        <v>46228</v>
      </c>
      <c r="F722" t="inlineStr">
        <is>
          <t>DALARNAS LÄN</t>
        </is>
      </c>
      <c r="G722" t="inlineStr">
        <is>
          <t>FALUN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59229-2025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46228</v>
      </c>
      <c r="F723" t="inlineStr">
        <is>
          <t>DALARNAS LÄN</t>
        </is>
      </c>
      <c r="G723" t="inlineStr">
        <is>
          <t>FALUN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54609-2025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45966</v>
      </c>
      <c r="E724" s="1" t="n">
        <v>46228</v>
      </c>
      <c r="F724" t="inlineStr">
        <is>
          <t>DALARNAS LÄN</t>
        </is>
      </c>
      <c r="G724" t="inlineStr">
        <is>
          <t>FALUN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3689-2022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44586</v>
      </c>
      <c r="E725" s="1" t="n">
        <v>46228</v>
      </c>
      <c r="F725" t="inlineStr">
        <is>
          <t>DALARNAS LÄN</t>
        </is>
      </c>
      <c r="G725" t="inlineStr">
        <is>
          <t>FALUN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46228</v>
      </c>
      <c r="F726" t="inlineStr">
        <is>
          <t>DALARNAS LÄN</t>
        </is>
      </c>
      <c r="G726" t="inlineStr">
        <is>
          <t>FALUN</t>
        </is>
      </c>
      <c r="I726" t="n">
        <v>13.9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59748-2025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46228</v>
      </c>
      <c r="F727" t="inlineStr">
        <is>
          <t>DALARNAS LÄN</t>
        </is>
      </c>
      <c r="G727" t="inlineStr">
        <is>
          <t>FALUN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46228</v>
      </c>
      <c r="F728" t="inlineStr">
        <is>
          <t>DALARNAS LÄN</t>
        </is>
      </c>
      <c r="G728" t="inlineStr">
        <is>
          <t>FALUN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59832-2025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45992</v>
      </c>
      <c r="E729" s="1" t="n">
        <v>46228</v>
      </c>
      <c r="F729" t="inlineStr">
        <is>
          <t>DALARNAS LÄN</t>
        </is>
      </c>
      <c r="G729" t="inlineStr">
        <is>
          <t>FALUN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59571-2025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45992</v>
      </c>
      <c r="E730" s="1" t="n">
        <v>46228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45993</v>
      </c>
      <c r="E731" s="1" t="n">
        <v>46228</v>
      </c>
      <c r="F731" t="inlineStr">
        <is>
          <t>DALARNAS LÄN</t>
        </is>
      </c>
      <c r="G731" t="inlineStr">
        <is>
          <t>FALUN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60086-2025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45993</v>
      </c>
      <c r="E732" s="1" t="n">
        <v>46228</v>
      </c>
      <c r="F732" t="inlineStr">
        <is>
          <t>DALARNAS LÄN</t>
        </is>
      </c>
      <c r="G732" t="inlineStr">
        <is>
          <t>FALUN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46228</v>
      </c>
      <c r="F733" t="inlineStr">
        <is>
          <t>DALARNAS LÄN</t>
        </is>
      </c>
      <c r="G733" t="inlineStr">
        <is>
          <t>FALUN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46228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22565-2026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46228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13583-2022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44648</v>
      </c>
      <c r="E736" s="1" t="n">
        <v>46228</v>
      </c>
      <c r="F736" t="inlineStr">
        <is>
          <t>DALARNAS LÄN</t>
        </is>
      </c>
      <c r="G736" t="inlineStr">
        <is>
          <t>FALUN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32571-2024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45513</v>
      </c>
      <c r="E737" s="1" t="n">
        <v>46228</v>
      </c>
      <c r="F737" t="inlineStr">
        <is>
          <t>DALARNAS LÄN</t>
        </is>
      </c>
      <c r="G737" t="inlineStr">
        <is>
          <t>FALUN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60562-2025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45994</v>
      </c>
      <c r="E738" s="1" t="n">
        <v>46228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46154</v>
      </c>
      <c r="E739" s="1" t="n">
        <v>46228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22374-2026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46154</v>
      </c>
      <c r="E740" s="1" t="n">
        <v>46228</v>
      </c>
      <c r="F740" t="inlineStr">
        <is>
          <t>DALARNAS LÄN</t>
        </is>
      </c>
      <c r="G740" t="inlineStr">
        <is>
          <t>FALUN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46228</v>
      </c>
      <c r="F741" t="inlineStr">
        <is>
          <t>DALARNAS LÄN</t>
        </is>
      </c>
      <c r="G741" t="inlineStr">
        <is>
          <t>FALUN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60683-2025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45996</v>
      </c>
      <c r="E742" s="1" t="n">
        <v>46228</v>
      </c>
      <c r="F742" t="inlineStr">
        <is>
          <t>DALARNAS LÄN</t>
        </is>
      </c>
      <c r="G742" t="inlineStr">
        <is>
          <t>FALUN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47633-2022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44854</v>
      </c>
      <c r="E743" s="1" t="n">
        <v>46228</v>
      </c>
      <c r="F743" t="inlineStr">
        <is>
          <t>DALARNAS LÄN</t>
        </is>
      </c>
      <c r="G743" t="inlineStr">
        <is>
          <t>FALUN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60676-2025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46228</v>
      </c>
      <c r="F744" t="inlineStr">
        <is>
          <t>DALARNAS LÄN</t>
        </is>
      </c>
      <c r="G744" t="inlineStr">
        <is>
          <t>FALUN</t>
        </is>
      </c>
      <c r="I744" t="n">
        <v>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17132-2026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46114</v>
      </c>
      <c r="E745" s="1" t="n">
        <v>46228</v>
      </c>
      <c r="F745" t="inlineStr">
        <is>
          <t>DALARNAS LÄN</t>
        </is>
      </c>
      <c r="G745" t="inlineStr">
        <is>
          <t>FALUN</t>
        </is>
      </c>
      <c r="I745" t="n">
        <v>20.1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46228</v>
      </c>
      <c r="F746" t="inlineStr">
        <is>
          <t>DALARNAS LÄN</t>
        </is>
      </c>
      <c r="G746" t="inlineStr">
        <is>
          <t>FALUN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45727</v>
      </c>
      <c r="E747" s="1" t="n">
        <v>46228</v>
      </c>
      <c r="F747" t="inlineStr">
        <is>
          <t>DALARNAS LÄN</t>
        </is>
      </c>
      <c r="G747" t="inlineStr">
        <is>
          <t>FALUN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61064-2025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46000</v>
      </c>
      <c r="E748" s="1" t="n">
        <v>46228</v>
      </c>
      <c r="F748" t="inlineStr">
        <is>
          <t>DALARNAS LÄN</t>
        </is>
      </c>
      <c r="G748" t="inlineStr">
        <is>
          <t>FALUN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46228</v>
      </c>
      <c r="F749" t="inlineStr">
        <is>
          <t>DALARNAS LÄN</t>
        </is>
      </c>
      <c r="G749" t="inlineStr">
        <is>
          <t>FALUN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27885-2023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45098</v>
      </c>
      <c r="E750" s="1" t="n">
        <v>46228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46155</v>
      </c>
      <c r="E751" s="1" t="n">
        <v>46228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6.7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22331-2026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46154</v>
      </c>
      <c r="E752" s="1" t="n">
        <v>46228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56642-2024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45625</v>
      </c>
      <c r="E753" s="1" t="n">
        <v>46228</v>
      </c>
      <c r="F753" t="inlineStr">
        <is>
          <t>DALARNAS LÄN</t>
        </is>
      </c>
      <c r="G753" t="inlineStr">
        <is>
          <t>FALUN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61059-2025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46000</v>
      </c>
      <c r="E754" s="1" t="n">
        <v>46228</v>
      </c>
      <c r="F754" t="inlineStr">
        <is>
          <t>DALARNAS LÄN</t>
        </is>
      </c>
      <c r="G754" t="inlineStr">
        <is>
          <t>FALUN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22382-2026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46228</v>
      </c>
      <c r="F755" t="inlineStr">
        <is>
          <t>DALARNAS LÄN</t>
        </is>
      </c>
      <c r="G755" t="inlineStr">
        <is>
          <t>FALUN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46228</v>
      </c>
      <c r="F756" t="inlineStr">
        <is>
          <t>DALARNAS LÄN</t>
        </is>
      </c>
      <c r="G756" t="inlineStr">
        <is>
          <t>FALUN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22658-2026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46228</v>
      </c>
      <c r="F757" t="inlineStr">
        <is>
          <t>DALARNAS LÄN</t>
        </is>
      </c>
      <c r="G757" t="inlineStr">
        <is>
          <t>FALUN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46228</v>
      </c>
      <c r="F758" t="inlineStr">
        <is>
          <t>DALARNAS LÄN</t>
        </is>
      </c>
      <c r="G758" t="inlineStr">
        <is>
          <t>FALUN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3078-2026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46040</v>
      </c>
      <c r="E759" s="1" t="n">
        <v>46228</v>
      </c>
      <c r="F759" t="inlineStr">
        <is>
          <t>DALARNAS LÄN</t>
        </is>
      </c>
      <c r="G759" t="inlineStr">
        <is>
          <t>FALUN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46228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46033</v>
      </c>
      <c r="E761" s="1" t="n">
        <v>46228</v>
      </c>
      <c r="F761" t="inlineStr">
        <is>
          <t>DALARNAS LÄN</t>
        </is>
      </c>
      <c r="G761" t="inlineStr">
        <is>
          <t>FALUN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22397-2026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46154</v>
      </c>
      <c r="E762" s="1" t="n">
        <v>46228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22614-2026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46228</v>
      </c>
      <c r="F763" t="inlineStr">
        <is>
          <t>DALARNAS LÄN</t>
        </is>
      </c>
      <c r="G763" t="inlineStr">
        <is>
          <t>FALUN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46228</v>
      </c>
      <c r="F764" t="inlineStr">
        <is>
          <t>DALARNAS LÄN</t>
        </is>
      </c>
      <c r="G764" t="inlineStr">
        <is>
          <t>FALUN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46228</v>
      </c>
      <c r="F765" t="inlineStr">
        <is>
          <t>DALARNAS LÄN</t>
        </is>
      </c>
      <c r="G765" t="inlineStr">
        <is>
          <t>FALUN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46154</v>
      </c>
      <c r="E766" s="1" t="n">
        <v>46228</v>
      </c>
      <c r="F766" t="inlineStr">
        <is>
          <t>DALARNAS LÄN</t>
        </is>
      </c>
      <c r="G766" t="inlineStr">
        <is>
          <t>FALUN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36652-2024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45537</v>
      </c>
      <c r="E767" s="1" t="n">
        <v>46228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62358-2025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46007</v>
      </c>
      <c r="E768" s="1" t="n">
        <v>46228</v>
      </c>
      <c r="F768" t="inlineStr">
        <is>
          <t>DALARNAS LÄN</t>
        </is>
      </c>
      <c r="G768" t="inlineStr">
        <is>
          <t>FALUN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46228</v>
      </c>
      <c r="F769" t="inlineStr">
        <is>
          <t>DALARNAS LÄN</t>
        </is>
      </c>
      <c r="G769" t="inlineStr">
        <is>
          <t>FALUN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42952-2023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46228</v>
      </c>
      <c r="F770" t="inlineStr">
        <is>
          <t>DALARNAS LÄN</t>
        </is>
      </c>
      <c r="G770" t="inlineStr">
        <is>
          <t>FALUN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33534-2023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45131</v>
      </c>
      <c r="E771" s="1" t="n">
        <v>46228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45131</v>
      </c>
      <c r="E772" s="1" t="n">
        <v>46228</v>
      </c>
      <c r="F772" t="inlineStr">
        <is>
          <t>DALARNAS LÄN</t>
        </is>
      </c>
      <c r="G772" t="inlineStr">
        <is>
          <t>FALUN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45131</v>
      </c>
      <c r="E773" s="1" t="n">
        <v>46228</v>
      </c>
      <c r="F773" t="inlineStr">
        <is>
          <t>DALARNAS LÄN</t>
        </is>
      </c>
      <c r="G773" t="inlineStr">
        <is>
          <t>FALUN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62362-2025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46007</v>
      </c>
      <c r="E774" s="1" t="n">
        <v>46228</v>
      </c>
      <c r="F774" t="inlineStr">
        <is>
          <t>DALARNAS LÄN</t>
        </is>
      </c>
      <c r="G774" t="inlineStr">
        <is>
          <t>FALUN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45690-2025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45923</v>
      </c>
      <c r="E775" s="1" t="n">
        <v>46228</v>
      </c>
      <c r="F775" t="inlineStr">
        <is>
          <t>DALARNAS LÄN</t>
        </is>
      </c>
      <c r="G775" t="inlineStr">
        <is>
          <t>FALUN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22368-2026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46154</v>
      </c>
      <c r="E776" s="1" t="n">
        <v>46228</v>
      </c>
      <c r="F776" t="inlineStr">
        <is>
          <t>DALARNAS LÄN</t>
        </is>
      </c>
      <c r="G776" t="inlineStr">
        <is>
          <t>FALUN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46228</v>
      </c>
      <c r="F777" t="inlineStr">
        <is>
          <t>DALARNAS LÄN</t>
        </is>
      </c>
      <c r="G777" t="inlineStr">
        <is>
          <t>FALUN</t>
        </is>
      </c>
      <c r="I777" t="n">
        <v>3.7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46154</v>
      </c>
      <c r="E778" s="1" t="n">
        <v>46228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21288-2024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45440</v>
      </c>
      <c r="E779" s="1" t="n">
        <v>46228</v>
      </c>
      <c r="F779" t="inlineStr">
        <is>
          <t>DALARNAS LÄN</t>
        </is>
      </c>
      <c r="G779" t="inlineStr">
        <is>
          <t>FALUN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61387-2024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45646</v>
      </c>
      <c r="E780" s="1" t="n">
        <v>46228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46154</v>
      </c>
      <c r="E781" s="1" t="n">
        <v>46228</v>
      </c>
      <c r="F781" t="inlineStr">
        <is>
          <t>DALARNAS LÄN</t>
        </is>
      </c>
      <c r="G781" t="inlineStr">
        <is>
          <t>FALUN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46228</v>
      </c>
      <c r="F782" t="inlineStr">
        <is>
          <t>DALARNAS LÄN</t>
        </is>
      </c>
      <c r="G782" t="inlineStr">
        <is>
          <t>FALUN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15610-2024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45401</v>
      </c>
      <c r="E783" s="1" t="n">
        <v>46228</v>
      </c>
      <c r="F783" t="inlineStr">
        <is>
          <t>DALARNAS LÄN</t>
        </is>
      </c>
      <c r="G783" t="inlineStr">
        <is>
          <t>FALUN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17888-2026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46122</v>
      </c>
      <c r="E784" s="1" t="n">
        <v>46228</v>
      </c>
      <c r="F784" t="inlineStr">
        <is>
          <t>DALARNAS LÄN</t>
        </is>
      </c>
      <c r="G784" t="inlineStr">
        <is>
          <t>FALUN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14658-2026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46101</v>
      </c>
      <c r="E785" s="1" t="n">
        <v>46228</v>
      </c>
      <c r="F785" t="inlineStr">
        <is>
          <t>DALARNAS LÄN</t>
        </is>
      </c>
      <c r="G785" t="inlineStr">
        <is>
          <t>FALUN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46228</v>
      </c>
      <c r="F786" t="inlineStr">
        <is>
          <t>DALARNAS LÄN</t>
        </is>
      </c>
      <c r="G786" t="inlineStr">
        <is>
          <t>FALUN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16454-2026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46228</v>
      </c>
      <c r="F787" t="inlineStr">
        <is>
          <t>DALARNAS LÄN</t>
        </is>
      </c>
      <c r="G787" t="inlineStr">
        <is>
          <t>FALUN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46228</v>
      </c>
      <c r="F788" t="inlineStr">
        <is>
          <t>DALARNAS LÄN</t>
        </is>
      </c>
      <c r="G788" t="inlineStr">
        <is>
          <t>FALUN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22299-2026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46228</v>
      </c>
      <c r="F789" t="inlineStr">
        <is>
          <t>DALARNAS LÄN</t>
        </is>
      </c>
      <c r="G789" t="inlineStr">
        <is>
          <t>FALUN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46228</v>
      </c>
      <c r="F790" t="inlineStr">
        <is>
          <t>DALARNAS LÄN</t>
        </is>
      </c>
      <c r="G790" t="inlineStr">
        <is>
          <t>FALUN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46228</v>
      </c>
      <c r="F791" t="inlineStr">
        <is>
          <t>DALARNAS LÄN</t>
        </is>
      </c>
      <c r="G791" t="inlineStr">
        <is>
          <t>FALUN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28252-2026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46228</v>
      </c>
      <c r="F792" t="inlineStr">
        <is>
          <t>DALARNAS LÄN</t>
        </is>
      </c>
      <c r="G792" t="inlineStr">
        <is>
          <t>FALUN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46228</v>
      </c>
      <c r="F793" t="inlineStr">
        <is>
          <t>DALARNAS LÄN</t>
        </is>
      </c>
      <c r="G793" t="inlineStr">
        <is>
          <t>FALUN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63307-2025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46228</v>
      </c>
      <c r="F794" t="inlineStr">
        <is>
          <t>DALARNAS LÄN</t>
        </is>
      </c>
      <c r="G794" t="inlineStr">
        <is>
          <t>FALUN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63291-2025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46010</v>
      </c>
      <c r="E795" s="1" t="n">
        <v>46228</v>
      </c>
      <c r="F795" t="inlineStr">
        <is>
          <t>DALARNAS LÄN</t>
        </is>
      </c>
      <c r="G795" t="inlineStr">
        <is>
          <t>FALUN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15714-2026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46107</v>
      </c>
      <c r="E796" s="1" t="n">
        <v>46228</v>
      </c>
      <c r="F796" t="inlineStr">
        <is>
          <t>DALARNAS LÄN</t>
        </is>
      </c>
      <c r="G796" t="inlineStr">
        <is>
          <t>FALUN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63178-2025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46228</v>
      </c>
      <c r="F797" t="inlineStr">
        <is>
          <t>DALARNAS LÄN</t>
        </is>
      </c>
      <c r="G797" t="inlineStr">
        <is>
          <t>FALUN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46228</v>
      </c>
      <c r="F798" t="inlineStr">
        <is>
          <t>DALARNAS LÄN</t>
        </is>
      </c>
      <c r="G798" t="inlineStr">
        <is>
          <t>FALUN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28663-2026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46228</v>
      </c>
      <c r="F799" t="inlineStr">
        <is>
          <t>DALARNAS LÄN</t>
        </is>
      </c>
      <c r="G799" t="inlineStr">
        <is>
          <t>FALUN</t>
        </is>
      </c>
      <c r="I799" t="n">
        <v>7.5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53029-2024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46228</v>
      </c>
      <c r="F800" t="inlineStr">
        <is>
          <t>DALARNAS LÄN</t>
        </is>
      </c>
      <c r="G800" t="inlineStr">
        <is>
          <t>FALUN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46871-2023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45200</v>
      </c>
      <c r="E801" s="1" t="n">
        <v>46228</v>
      </c>
      <c r="F801" t="inlineStr">
        <is>
          <t>DALARNAS LÄN</t>
        </is>
      </c>
      <c r="G801" t="inlineStr">
        <is>
          <t>FALUN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63960-2025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46020</v>
      </c>
      <c r="E802" s="1" t="n">
        <v>46228</v>
      </c>
      <c r="F802" t="inlineStr">
        <is>
          <t>DALARNAS LÄN</t>
        </is>
      </c>
      <c r="G802" t="inlineStr">
        <is>
          <t>FALUN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63974-2025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46021</v>
      </c>
      <c r="E803" s="1" t="n">
        <v>46228</v>
      </c>
      <c r="F803" t="inlineStr">
        <is>
          <t>DALARNAS LÄN</t>
        </is>
      </c>
      <c r="G803" t="inlineStr">
        <is>
          <t>FALUN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28884-2026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46199</v>
      </c>
      <c r="E804" s="1" t="n">
        <v>46228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46128</v>
      </c>
      <c r="E805" s="1" t="n">
        <v>46228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22694-2026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46156</v>
      </c>
      <c r="E806" s="1" t="n">
        <v>46228</v>
      </c>
      <c r="F806" t="inlineStr">
        <is>
          <t>DALARNAS LÄN</t>
        </is>
      </c>
      <c r="G806" t="inlineStr">
        <is>
          <t>FALUN</t>
        </is>
      </c>
      <c r="I806" t="n">
        <v>10.2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22715-2026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46156</v>
      </c>
      <c r="E807" s="1" t="n">
        <v>46228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46026</v>
      </c>
      <c r="E808" s="1" t="n">
        <v>46228</v>
      </c>
      <c r="F808" t="inlineStr">
        <is>
          <t>DALARNAS LÄN</t>
        </is>
      </c>
      <c r="G808" t="inlineStr">
        <is>
          <t>FALUN</t>
        </is>
      </c>
      <c r="I808" t="n">
        <v>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28685-2026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46198</v>
      </c>
      <c r="E809" s="1" t="n">
        <v>46228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22696-2026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46156</v>
      </c>
      <c r="E810" s="1" t="n">
        <v>46228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46024</v>
      </c>
      <c r="E811" s="1" t="n">
        <v>46228</v>
      </c>
      <c r="F811" t="inlineStr">
        <is>
          <t>DALARNAS LÄN</t>
        </is>
      </c>
      <c r="G811" t="inlineStr">
        <is>
          <t>FALUN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46027</v>
      </c>
      <c r="E812" s="1" t="n">
        <v>46228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63499-2023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45274</v>
      </c>
      <c r="E813" s="1" t="n">
        <v>46228</v>
      </c>
      <c r="F813" t="inlineStr">
        <is>
          <t>DALARNAS LÄN</t>
        </is>
      </c>
      <c r="G813" t="inlineStr">
        <is>
          <t>FALUN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45535</v>
      </c>
      <c r="E814" s="1" t="n">
        <v>46228</v>
      </c>
      <c r="F814" t="inlineStr">
        <is>
          <t>DALARNAS LÄN</t>
        </is>
      </c>
      <c r="G814" t="inlineStr">
        <is>
          <t>FALUN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46025</v>
      </c>
      <c r="E815" s="1" t="n">
        <v>46228</v>
      </c>
      <c r="F815" t="inlineStr">
        <is>
          <t>DALARNAS LÄN</t>
        </is>
      </c>
      <c r="G815" t="inlineStr">
        <is>
          <t>FALUN</t>
        </is>
      </c>
      <c r="I815" t="n">
        <v>46.9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46024</v>
      </c>
      <c r="E816" s="1" t="n">
        <v>46228</v>
      </c>
      <c r="F816" t="inlineStr">
        <is>
          <t>DALARNAS LÄN</t>
        </is>
      </c>
      <c r="G816" t="inlineStr">
        <is>
          <t>FALUN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46027</v>
      </c>
      <c r="E817" s="1" t="n">
        <v>46228</v>
      </c>
      <c r="F817" t="inlineStr">
        <is>
          <t>DALARNAS LÄN</t>
        </is>
      </c>
      <c r="G817" t="inlineStr">
        <is>
          <t>FALUN</t>
        </is>
      </c>
      <c r="I817" t="n">
        <v>13.7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46027</v>
      </c>
      <c r="E818" s="1" t="n">
        <v>46228</v>
      </c>
      <c r="F818" t="inlineStr">
        <is>
          <t>DALARNAS LÄN</t>
        </is>
      </c>
      <c r="G818" t="inlineStr">
        <is>
          <t>FALUN</t>
        </is>
      </c>
      <c r="I818" t="n">
        <v>7.8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46025</v>
      </c>
      <c r="E819" s="1" t="n">
        <v>46228</v>
      </c>
      <c r="F819" t="inlineStr">
        <is>
          <t>DALARNAS LÄN</t>
        </is>
      </c>
      <c r="G819" t="inlineStr">
        <is>
          <t>FALUN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28911-2026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46199</v>
      </c>
      <c r="E820" s="1" t="n">
        <v>46228</v>
      </c>
      <c r="F820" t="inlineStr">
        <is>
          <t>DALARNAS LÄN</t>
        </is>
      </c>
      <c r="G820" t="inlineStr">
        <is>
          <t>FALUN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46228</v>
      </c>
      <c r="F821" t="inlineStr">
        <is>
          <t>DALARNAS LÄN</t>
        </is>
      </c>
      <c r="G821" t="inlineStr">
        <is>
          <t>FALUN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46029</v>
      </c>
      <c r="E822" s="1" t="n">
        <v>46228</v>
      </c>
      <c r="F822" t="inlineStr">
        <is>
          <t>DALARNAS LÄN</t>
        </is>
      </c>
      <c r="G822" t="inlineStr">
        <is>
          <t>FALUN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29218-2026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46202</v>
      </c>
      <c r="E823" s="1" t="n">
        <v>46228</v>
      </c>
      <c r="F823" t="inlineStr">
        <is>
          <t>DALARNAS LÄN</t>
        </is>
      </c>
      <c r="G823" t="inlineStr">
        <is>
          <t>FALUN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46028</v>
      </c>
      <c r="E824" s="1" t="n">
        <v>46228</v>
      </c>
      <c r="F824" t="inlineStr">
        <is>
          <t>DALARNAS LÄN</t>
        </is>
      </c>
      <c r="G824" t="inlineStr">
        <is>
          <t>FALUN</t>
        </is>
      </c>
      <c r="I824" t="n">
        <v>34.8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46028</v>
      </c>
      <c r="E825" s="1" t="n">
        <v>46228</v>
      </c>
      <c r="F825" t="inlineStr">
        <is>
          <t>DALARNAS LÄN</t>
        </is>
      </c>
      <c r="G825" t="inlineStr">
        <is>
          <t>FALUN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46228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22907-2026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46160</v>
      </c>
      <c r="E827" s="1" t="n">
        <v>46228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46027</v>
      </c>
      <c r="E828" s="1" t="n">
        <v>46228</v>
      </c>
      <c r="F828" t="inlineStr">
        <is>
          <t>DALARNAS LÄN</t>
        </is>
      </c>
      <c r="G828" t="inlineStr">
        <is>
          <t>FALUN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46031</v>
      </c>
      <c r="E829" s="1" t="n">
        <v>46228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46228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46031</v>
      </c>
      <c r="E831" s="1" t="n">
        <v>46228</v>
      </c>
      <c r="F831" t="inlineStr">
        <is>
          <t>DALARNAS LÄN</t>
        </is>
      </c>
      <c r="G831" t="inlineStr">
        <is>
          <t>FALUN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46228</v>
      </c>
      <c r="F832" t="inlineStr">
        <is>
          <t>DALARNAS LÄN</t>
        </is>
      </c>
      <c r="G832" t="inlineStr">
        <is>
          <t>FALUN</t>
        </is>
      </c>
      <c r="I832" t="n">
        <v>4.6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46228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29210-2026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46202</v>
      </c>
      <c r="E834" s="1" t="n">
        <v>46228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7754-2024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45349</v>
      </c>
      <c r="E835" s="1" t="n">
        <v>46228</v>
      </c>
      <c r="F835" t="inlineStr">
        <is>
          <t>DALARNAS LÄN</t>
        </is>
      </c>
      <c r="G835" t="inlineStr">
        <is>
          <t>FALUN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46031</v>
      </c>
      <c r="E836" s="1" t="n">
        <v>46228</v>
      </c>
      <c r="F836" t="inlineStr">
        <is>
          <t>DALARNAS LÄN</t>
        </is>
      </c>
      <c r="G836" t="inlineStr">
        <is>
          <t>FALUN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46030</v>
      </c>
      <c r="E837" s="1" t="n">
        <v>46228</v>
      </c>
      <c r="F837" t="inlineStr">
        <is>
          <t>DALARNAS LÄN</t>
        </is>
      </c>
      <c r="G837" t="inlineStr">
        <is>
          <t>FALUN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46228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6747-2026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46228</v>
      </c>
      <c r="F839" t="inlineStr">
        <is>
          <t>DALARNAS LÄN</t>
        </is>
      </c>
      <c r="G839" t="inlineStr">
        <is>
          <t>FALUN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11712-2026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46084</v>
      </c>
      <c r="E840" s="1" t="n">
        <v>46228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5.9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905-2026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46030</v>
      </c>
      <c r="E841" s="1" t="n">
        <v>46228</v>
      </c>
      <c r="F841" t="inlineStr">
        <is>
          <t>DALARNAS LÄN</t>
        </is>
      </c>
      <c r="G841" t="inlineStr">
        <is>
          <t>FALUN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46228</v>
      </c>
      <c r="F842" t="inlineStr">
        <is>
          <t>DALARNAS LÄN</t>
        </is>
      </c>
      <c r="G842" t="inlineStr">
        <is>
          <t>FALUN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46031</v>
      </c>
      <c r="E843" s="1" t="n">
        <v>46228</v>
      </c>
      <c r="F843" t="inlineStr">
        <is>
          <t>DALARNAS LÄN</t>
        </is>
      </c>
      <c r="G843" t="inlineStr">
        <is>
          <t>FALUN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1314-2026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46031</v>
      </c>
      <c r="E844" s="1" t="n">
        <v>46228</v>
      </c>
      <c r="F844" t="inlineStr">
        <is>
          <t>DALARNAS LÄN</t>
        </is>
      </c>
      <c r="G844" t="inlineStr">
        <is>
          <t>FALUN</t>
        </is>
      </c>
      <c r="I844" t="n">
        <v>37.9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1851-2026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46228</v>
      </c>
      <c r="F845" t="inlineStr">
        <is>
          <t>DALARNAS LÄN</t>
        </is>
      </c>
      <c r="G845" t="inlineStr">
        <is>
          <t>FALUN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46228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46228</v>
      </c>
      <c r="F847" t="inlineStr">
        <is>
          <t>DALARNAS LÄN</t>
        </is>
      </c>
      <c r="G847" t="inlineStr">
        <is>
          <t>FALUN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1791-2026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46034</v>
      </c>
      <c r="E848" s="1" t="n">
        <v>46228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29295-2026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46228</v>
      </c>
      <c r="F849" t="inlineStr">
        <is>
          <t>DALARNAS LÄN</t>
        </is>
      </c>
      <c r="G849" t="inlineStr">
        <is>
          <t>FALUN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46228</v>
      </c>
      <c r="F850" t="inlineStr">
        <is>
          <t>DALARNAS LÄN</t>
        </is>
      </c>
      <c r="G850" t="inlineStr">
        <is>
          <t>FALUN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23156-2026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46161</v>
      </c>
      <c r="E851" s="1" t="n">
        <v>46228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8.1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23158-2026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46161</v>
      </c>
      <c r="E852" s="1" t="n">
        <v>46228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23159-2026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46161</v>
      </c>
      <c r="E853" s="1" t="n">
        <v>46228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46034</v>
      </c>
      <c r="E854" s="1" t="n">
        <v>46228</v>
      </c>
      <c r="F854" t="inlineStr">
        <is>
          <t>DALARNAS LÄN</t>
        </is>
      </c>
      <c r="G854" t="inlineStr">
        <is>
          <t>FALUN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46035</v>
      </c>
      <c r="E855" s="1" t="n">
        <v>46228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46228</v>
      </c>
      <c r="F856" t="inlineStr">
        <is>
          <t>DALARNAS LÄN</t>
        </is>
      </c>
      <c r="G856" t="inlineStr">
        <is>
          <t>FALUN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46228</v>
      </c>
      <c r="F857" t="inlineStr">
        <is>
          <t>DALARNAS LÄN</t>
        </is>
      </c>
      <c r="G857" t="inlineStr">
        <is>
          <t>FALUN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1426-2026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46228</v>
      </c>
      <c r="F858" t="inlineStr">
        <is>
          <t>DALARNAS LÄN</t>
        </is>
      </c>
      <c r="G858" t="inlineStr">
        <is>
          <t>FALUN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33898-2024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45523</v>
      </c>
      <c r="E859" s="1" t="n">
        <v>46228</v>
      </c>
      <c r="F859" t="inlineStr">
        <is>
          <t>DALARNAS LÄN</t>
        </is>
      </c>
      <c r="G859" t="inlineStr">
        <is>
          <t>FALUN</t>
        </is>
      </c>
      <c r="H859" t="inlineStr">
        <is>
          <t>Allmännings- och besparingsskogar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46228</v>
      </c>
      <c r="F860" t="inlineStr">
        <is>
          <t>DALARNAS LÄN</t>
        </is>
      </c>
      <c r="G860" t="inlineStr">
        <is>
          <t>FALUN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46032</v>
      </c>
      <c r="E861" s="1" t="n">
        <v>46228</v>
      </c>
      <c r="F861" t="inlineStr">
        <is>
          <t>DALARNAS LÄN</t>
        </is>
      </c>
      <c r="G861" t="inlineStr">
        <is>
          <t>FALUN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46033</v>
      </c>
      <c r="E862" s="1" t="n">
        <v>46228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46228</v>
      </c>
      <c r="F863" t="inlineStr">
        <is>
          <t>DALARNAS LÄN</t>
        </is>
      </c>
      <c r="G863" t="inlineStr">
        <is>
          <t>FALUN</t>
        </is>
      </c>
      <c r="I863" t="n">
        <v>26.7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46032</v>
      </c>
      <c r="E864" s="1" t="n">
        <v>46228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22967-2026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46160</v>
      </c>
      <c r="E865" s="1" t="n">
        <v>46228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46035</v>
      </c>
      <c r="E866" s="1" t="n">
        <v>46228</v>
      </c>
      <c r="F866" t="inlineStr">
        <is>
          <t>DALARNAS LÄN</t>
        </is>
      </c>
      <c r="G866" t="inlineStr">
        <is>
          <t>FALUN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2013-2026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46035</v>
      </c>
      <c r="E867" s="1" t="n">
        <v>46228</v>
      </c>
      <c r="F867" t="inlineStr">
        <is>
          <t>DALARNAS LÄN</t>
        </is>
      </c>
      <c r="G867" t="inlineStr">
        <is>
          <t>FALUN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46228</v>
      </c>
      <c r="F868" t="inlineStr">
        <is>
          <t>DALARNAS LÄN</t>
        </is>
      </c>
      <c r="G868" t="inlineStr">
        <is>
          <t>FALUN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46032</v>
      </c>
      <c r="E869" s="1" t="n">
        <v>46228</v>
      </c>
      <c r="F869" t="inlineStr">
        <is>
          <t>DALARNAS LÄN</t>
        </is>
      </c>
      <c r="G869" t="inlineStr">
        <is>
          <t>FALUN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2018-2026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46228</v>
      </c>
      <c r="F870" t="inlineStr">
        <is>
          <t>DALARNAS LÄN</t>
        </is>
      </c>
      <c r="G870" t="inlineStr">
        <is>
          <t>FALUN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2020-2026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46228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46228</v>
      </c>
      <c r="F872" t="inlineStr">
        <is>
          <t>DALARNAS LÄN</t>
        </is>
      </c>
      <c r="G872" t="inlineStr">
        <is>
          <t>FALUN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1803-2026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46228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23044-2026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46161</v>
      </c>
      <c r="E874" s="1" t="n">
        <v>46228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46032</v>
      </c>
      <c r="E875" s="1" t="n">
        <v>46228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46035</v>
      </c>
      <c r="E876" s="1" t="n">
        <v>46228</v>
      </c>
      <c r="F876" t="inlineStr">
        <is>
          <t>DALARNAS LÄN</t>
        </is>
      </c>
      <c r="G876" t="inlineStr">
        <is>
          <t>FALUN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46228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HYPERLINK("https://klasma.github.io/Logging_2080/knärot/A 1702-2026 karta knärot.png", "A 1702-2026")</f>
        <v/>
      </c>
      <c r="AA877">
        <f>HYPERLINK("https://klasma.github.io/Logging_2080/klagomål/A 1702-2026 FSC-klagomål.docx", "A 1702-2026")</f>
        <v/>
      </c>
      <c r="AB877">
        <f>HYPERLINK("https://klasma.github.io/Logging_2080/klagomålsmail/A 1702-2026 FSC-klagomål mail.docx", "A 1702-2026")</f>
        <v/>
      </c>
      <c r="AC877">
        <f>HYPERLINK("https://klasma.github.io/Logging_2080/tillsyn/A 1702-2026 tillsynsbegäran.docx", "A 1702-2026")</f>
        <v/>
      </c>
      <c r="AD877">
        <f>HYPERLINK("https://klasma.github.io/Logging_2080/tillsynsmail/A 1702-2026 tillsynsbegäran mail.docx", "A 1702-2026")</f>
        <v/>
      </c>
    </row>
    <row r="878" ht="15" customHeight="1">
      <c r="A878" t="inlineStr">
        <is>
          <t>A 2554-2026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46228</v>
      </c>
      <c r="F878" t="inlineStr">
        <is>
          <t>DALARNAS LÄN</t>
        </is>
      </c>
      <c r="G878" t="inlineStr">
        <is>
          <t>FALUN</t>
        </is>
      </c>
      <c r="I878" t="n">
        <v>8.4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46228</v>
      </c>
      <c r="F879" t="inlineStr">
        <is>
          <t>DALARNAS LÄN</t>
        </is>
      </c>
      <c r="G879" t="inlineStr">
        <is>
          <t>FALUN</t>
        </is>
      </c>
      <c r="I879" t="n">
        <v>11.2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2568-2026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46228</v>
      </c>
      <c r="F880" t="inlineStr">
        <is>
          <t>DALARNAS LÄN</t>
        </is>
      </c>
      <c r="G880" t="inlineStr">
        <is>
          <t>FALUN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46036</v>
      </c>
      <c r="E881" s="1" t="n">
        <v>46228</v>
      </c>
      <c r="F881" t="inlineStr">
        <is>
          <t>DALARNAS LÄN</t>
        </is>
      </c>
      <c r="G881" t="inlineStr">
        <is>
          <t>FALUN</t>
        </is>
      </c>
      <c r="I881" t="n">
        <v>8.800000000000001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46228</v>
      </c>
      <c r="F882" t="inlineStr">
        <is>
          <t>DALARNAS LÄN</t>
        </is>
      </c>
      <c r="G882" t="inlineStr">
        <is>
          <t>FALUN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46228</v>
      </c>
      <c r="F883" t="inlineStr">
        <is>
          <t>DALARNAS LÄN</t>
        </is>
      </c>
      <c r="G883" t="inlineStr">
        <is>
          <t>FALUN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46228</v>
      </c>
      <c r="F884" t="inlineStr">
        <is>
          <t>DALARNAS LÄN</t>
        </is>
      </c>
      <c r="G884" t="inlineStr">
        <is>
          <t>FALUN</t>
        </is>
      </c>
      <c r="I884" t="n">
        <v>9.199999999999999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2262-2026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46036</v>
      </c>
      <c r="E885" s="1" t="n">
        <v>46228</v>
      </c>
      <c r="F885" t="inlineStr">
        <is>
          <t>DALARNAS LÄN</t>
        </is>
      </c>
      <c r="G885" t="inlineStr">
        <is>
          <t>FALUN</t>
        </is>
      </c>
      <c r="I885" t="n">
        <v>10.7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19917-2023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45054</v>
      </c>
      <c r="E886" s="1" t="n">
        <v>46228</v>
      </c>
      <c r="F886" t="inlineStr">
        <is>
          <t>DALARNAS LÄN</t>
        </is>
      </c>
      <c r="G886" t="inlineStr">
        <is>
          <t>FALUN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22881-2026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46160</v>
      </c>
      <c r="E887" s="1" t="n">
        <v>46228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46228</v>
      </c>
      <c r="F888" t="inlineStr">
        <is>
          <t>DALARNAS LÄN</t>
        </is>
      </c>
      <c r="G888" t="inlineStr">
        <is>
          <t>FALUN</t>
        </is>
      </c>
      <c r="I888" t="n">
        <v>4.4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46228</v>
      </c>
      <c r="F889" t="inlineStr">
        <is>
          <t>DALARNAS LÄN</t>
        </is>
      </c>
      <c r="G889" t="inlineStr">
        <is>
          <t>FALUN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2683-2026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46037</v>
      </c>
      <c r="E890" s="1" t="n">
        <v>46228</v>
      </c>
      <c r="F890" t="inlineStr">
        <is>
          <t>DALARNAS LÄN</t>
        </is>
      </c>
      <c r="G890" t="inlineStr">
        <is>
          <t>FALUN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46023</v>
      </c>
      <c r="E891" s="1" t="n">
        <v>46228</v>
      </c>
      <c r="F891" t="inlineStr">
        <is>
          <t>DALARNAS LÄN</t>
        </is>
      </c>
      <c r="G891" t="inlineStr">
        <is>
          <t>FALUN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46228</v>
      </c>
      <c r="F892" t="inlineStr">
        <is>
          <t>DALARNAS LÄN</t>
        </is>
      </c>
      <c r="G892" t="inlineStr">
        <is>
          <t>FALUN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46228</v>
      </c>
      <c r="F893" t="inlineStr">
        <is>
          <t>DALARNAS LÄN</t>
        </is>
      </c>
      <c r="G893" t="inlineStr">
        <is>
          <t>FALUN</t>
        </is>
      </c>
      <c r="I893" t="n">
        <v>11.5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2654-2026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46037</v>
      </c>
      <c r="E894" s="1" t="n">
        <v>46228</v>
      </c>
      <c r="F894" t="inlineStr">
        <is>
          <t>DALARNAS LÄN</t>
        </is>
      </c>
      <c r="G894" t="inlineStr">
        <is>
          <t>FALUN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46023</v>
      </c>
      <c r="E895" s="1" t="n">
        <v>46228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46228</v>
      </c>
      <c r="F896" t="inlineStr">
        <is>
          <t>DALARNAS LÄN</t>
        </is>
      </c>
      <c r="G896" t="inlineStr">
        <is>
          <t>FALUN</t>
        </is>
      </c>
      <c r="I896" t="n">
        <v>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46036</v>
      </c>
      <c r="E897" s="1" t="n">
        <v>46228</v>
      </c>
      <c r="F897" t="inlineStr">
        <is>
          <t>DALARNAS LÄN</t>
        </is>
      </c>
      <c r="G897" t="inlineStr">
        <is>
          <t>FALUN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46228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46228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46038</v>
      </c>
      <c r="E900" s="1" t="n">
        <v>46228</v>
      </c>
      <c r="F900" t="inlineStr">
        <is>
          <t>DALARNAS LÄN</t>
        </is>
      </c>
      <c r="G900" t="inlineStr">
        <is>
          <t>FALUN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3057-2026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46039</v>
      </c>
      <c r="E901" s="1" t="n">
        <v>46228</v>
      </c>
      <c r="F901" t="inlineStr">
        <is>
          <t>DALARNAS LÄN</t>
        </is>
      </c>
      <c r="G901" t="inlineStr">
        <is>
          <t>FALUN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3085-2026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46040</v>
      </c>
      <c r="E902" s="1" t="n">
        <v>46228</v>
      </c>
      <c r="F902" t="inlineStr">
        <is>
          <t>DALARNAS LÄN</t>
        </is>
      </c>
      <c r="G902" t="inlineStr">
        <is>
          <t>FALUN</t>
        </is>
      </c>
      <c r="I902" t="n">
        <v>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46040</v>
      </c>
      <c r="E903" s="1" t="n">
        <v>46228</v>
      </c>
      <c r="F903" t="inlineStr">
        <is>
          <t>DALARNAS LÄN</t>
        </is>
      </c>
      <c r="G903" t="inlineStr">
        <is>
          <t>FALUN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17202-2023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45034</v>
      </c>
      <c r="E904" s="1" t="n">
        <v>46228</v>
      </c>
      <c r="F904" t="inlineStr">
        <is>
          <t>DALARNAS LÄN</t>
        </is>
      </c>
      <c r="G904" t="inlineStr">
        <is>
          <t>FALUN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2722-2026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46228</v>
      </c>
      <c r="F905" t="inlineStr">
        <is>
          <t>DALARNAS LÄN</t>
        </is>
      </c>
      <c r="G905" t="inlineStr">
        <is>
          <t>FALUN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22927-2026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46160</v>
      </c>
      <c r="E906" s="1" t="n">
        <v>46228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3339-2026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46041</v>
      </c>
      <c r="E907" s="1" t="n">
        <v>46228</v>
      </c>
      <c r="F907" t="inlineStr">
        <is>
          <t>DALARNAS LÄN</t>
        </is>
      </c>
      <c r="G907" t="inlineStr">
        <is>
          <t>FALUN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56557-2024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45625</v>
      </c>
      <c r="E908" s="1" t="n">
        <v>46228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22857-2026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46160</v>
      </c>
      <c r="E909" s="1" t="n">
        <v>46228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3276-2026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46041</v>
      </c>
      <c r="E910" s="1" t="n">
        <v>46228</v>
      </c>
      <c r="F910" t="inlineStr">
        <is>
          <t>DALARNAS LÄN</t>
        </is>
      </c>
      <c r="G910" t="inlineStr">
        <is>
          <t>FALUN</t>
        </is>
      </c>
      <c r="I910" t="n">
        <v>17.3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46041</v>
      </c>
      <c r="E911" s="1" t="n">
        <v>46228</v>
      </c>
      <c r="F911" t="inlineStr">
        <is>
          <t>DALARNAS LÄN</t>
        </is>
      </c>
      <c r="G911" t="inlineStr">
        <is>
          <t>FALUN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3347-2026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46041</v>
      </c>
      <c r="E912" s="1" t="n">
        <v>46228</v>
      </c>
      <c r="F912" t="inlineStr">
        <is>
          <t>DALARNAS LÄN</t>
        </is>
      </c>
      <c r="G912" t="inlineStr">
        <is>
          <t>FALUN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46043</v>
      </c>
      <c r="E913" s="1" t="n">
        <v>46228</v>
      </c>
      <c r="F913" t="inlineStr">
        <is>
          <t>DALARNAS LÄN</t>
        </is>
      </c>
      <c r="G913" t="inlineStr">
        <is>
          <t>FALUN</t>
        </is>
      </c>
      <c r="I913" t="n">
        <v>11.8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3406-2026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46042</v>
      </c>
      <c r="E914" s="1" t="n">
        <v>46228</v>
      </c>
      <c r="F914" t="inlineStr">
        <is>
          <t>DALARNAS LÄN</t>
        </is>
      </c>
      <c r="G914" t="inlineStr">
        <is>
          <t>FALUN</t>
        </is>
      </c>
      <c r="I914" t="n">
        <v>8.4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20448-2026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46140</v>
      </c>
      <c r="E915" s="1" t="n">
        <v>46228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22820-2026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46160</v>
      </c>
      <c r="E916" s="1" t="n">
        <v>46228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46042</v>
      </c>
      <c r="E917" s="1" t="n">
        <v>46228</v>
      </c>
      <c r="F917" t="inlineStr">
        <is>
          <t>DALARNAS LÄN</t>
        </is>
      </c>
      <c r="G917" t="inlineStr">
        <is>
          <t>FALUN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3674-2026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46228</v>
      </c>
      <c r="F918" t="inlineStr">
        <is>
          <t>DALARNAS LÄN</t>
        </is>
      </c>
      <c r="G918" t="inlineStr">
        <is>
          <t>FALUN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46043</v>
      </c>
      <c r="E919" s="1" t="n">
        <v>46228</v>
      </c>
      <c r="F919" t="inlineStr">
        <is>
          <t>DALARNAS LÄN</t>
        </is>
      </c>
      <c r="G919" t="inlineStr">
        <is>
          <t>FALUN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48702-2022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44859</v>
      </c>
      <c r="E920" s="1" t="n">
        <v>46228</v>
      </c>
      <c r="F920" t="inlineStr">
        <is>
          <t>DALARNAS LÄN</t>
        </is>
      </c>
      <c r="G920" t="inlineStr">
        <is>
          <t>FALUN</t>
        </is>
      </c>
      <c r="I920" t="n">
        <v>11.6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3603-2026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46042</v>
      </c>
      <c r="E921" s="1" t="n">
        <v>46228</v>
      </c>
      <c r="F921" t="inlineStr">
        <is>
          <t>DALARNAS LÄN</t>
        </is>
      </c>
      <c r="G921" t="inlineStr">
        <is>
          <t>FALUN</t>
        </is>
      </c>
      <c r="I921" t="n">
        <v>6.7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3679-2026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46228</v>
      </c>
      <c r="F922" t="inlineStr">
        <is>
          <t>DALARNAS LÄN</t>
        </is>
      </c>
      <c r="G922" t="inlineStr">
        <is>
          <t>FALUN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46043</v>
      </c>
      <c r="E923" s="1" t="n">
        <v>46228</v>
      </c>
      <c r="F923" t="inlineStr">
        <is>
          <t>DALARNAS LÄN</t>
        </is>
      </c>
      <c r="G923" t="inlineStr">
        <is>
          <t>FALUN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46959-2023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45201</v>
      </c>
      <c r="E924" s="1" t="n">
        <v>46228</v>
      </c>
      <c r="F924" t="inlineStr">
        <is>
          <t>DALARNAS LÄN</t>
        </is>
      </c>
      <c r="G924" t="inlineStr">
        <is>
          <t>FALUN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3480-2026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46042</v>
      </c>
      <c r="E925" s="1" t="n">
        <v>46228</v>
      </c>
      <c r="F925" t="inlineStr">
        <is>
          <t>DALARNAS LÄN</t>
        </is>
      </c>
      <c r="G925" t="inlineStr">
        <is>
          <t>FALUN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46042</v>
      </c>
      <c r="E926" s="1" t="n">
        <v>46228</v>
      </c>
      <c r="F926" t="inlineStr">
        <is>
          <t>DALARNAS LÄN</t>
        </is>
      </c>
      <c r="G926" t="inlineStr">
        <is>
          <t>FALUN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22961-2026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46160</v>
      </c>
      <c r="E927" s="1" t="n">
        <v>46228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24729-2023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45084</v>
      </c>
      <c r="E928" s="1" t="n">
        <v>46228</v>
      </c>
      <c r="F928" t="inlineStr">
        <is>
          <t>DALARNAS LÄN</t>
        </is>
      </c>
      <c r="G928" t="inlineStr">
        <is>
          <t>FALUN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46042</v>
      </c>
      <c r="E929" s="1" t="n">
        <v>46228</v>
      </c>
      <c r="F929" t="inlineStr">
        <is>
          <t>DALARNAS LÄN</t>
        </is>
      </c>
      <c r="G929" t="inlineStr">
        <is>
          <t>FALUN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27679-2024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45475</v>
      </c>
      <c r="E930" s="1" t="n">
        <v>46228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46043</v>
      </c>
      <c r="E931" s="1" t="n">
        <v>46228</v>
      </c>
      <c r="F931" t="inlineStr">
        <is>
          <t>DALARNAS LÄN</t>
        </is>
      </c>
      <c r="G931" t="inlineStr">
        <is>
          <t>FALUN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46043</v>
      </c>
      <c r="E932" s="1" t="n">
        <v>46228</v>
      </c>
      <c r="F932" t="inlineStr">
        <is>
          <t>DALARNAS LÄN</t>
        </is>
      </c>
      <c r="G932" t="inlineStr">
        <is>
          <t>FALUN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23475-2026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46163</v>
      </c>
      <c r="E933" s="1" t="n">
        <v>46228</v>
      </c>
      <c r="F933" t="inlineStr">
        <is>
          <t>DALARNAS LÄN</t>
        </is>
      </c>
      <c r="G933" t="inlineStr">
        <is>
          <t>FALUN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46228</v>
      </c>
      <c r="F934" t="inlineStr">
        <is>
          <t>DALARNAS LÄN</t>
        </is>
      </c>
      <c r="G934" t="inlineStr">
        <is>
          <t>FALUN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3454-2026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46042</v>
      </c>
      <c r="E935" s="1" t="n">
        <v>46228</v>
      </c>
      <c r="F935" t="inlineStr">
        <is>
          <t>DALARNAS LÄN</t>
        </is>
      </c>
      <c r="G935" t="inlineStr">
        <is>
          <t>FALUN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46043</v>
      </c>
      <c r="E936" s="1" t="n">
        <v>46228</v>
      </c>
      <c r="F936" t="inlineStr">
        <is>
          <t>DALARNAS LÄN</t>
        </is>
      </c>
      <c r="G936" t="inlineStr">
        <is>
          <t>FALUN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4246-2026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46045</v>
      </c>
      <c r="E937" s="1" t="n">
        <v>46228</v>
      </c>
      <c r="F937" t="inlineStr">
        <is>
          <t>DALARNAS LÄN</t>
        </is>
      </c>
      <c r="G937" t="inlineStr">
        <is>
          <t>FALUN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46044</v>
      </c>
      <c r="E938" s="1" t="n">
        <v>46228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46045</v>
      </c>
      <c r="E939" s="1" t="n">
        <v>46228</v>
      </c>
      <c r="F939" t="inlineStr">
        <is>
          <t>DALARNAS LÄN</t>
        </is>
      </c>
      <c r="G939" t="inlineStr">
        <is>
          <t>FALUN</t>
        </is>
      </c>
      <c r="I939" t="n">
        <v>6.5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4509-2026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46045</v>
      </c>
      <c r="E940" s="1" t="n">
        <v>46228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46228</v>
      </c>
      <c r="F941" t="inlineStr">
        <is>
          <t>DALARNAS LÄN</t>
        </is>
      </c>
      <c r="G941" t="inlineStr">
        <is>
          <t>FALUN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4511-2026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46045</v>
      </c>
      <c r="E942" s="1" t="n">
        <v>46228</v>
      </c>
      <c r="F942" t="inlineStr">
        <is>
          <t>DALARNAS LÄN</t>
        </is>
      </c>
      <c r="G942" t="inlineStr">
        <is>
          <t>FALUN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23271-2026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46162</v>
      </c>
      <c r="E943" s="1" t="n">
        <v>46228</v>
      </c>
      <c r="F943" t="inlineStr">
        <is>
          <t>DALARNAS LÄN</t>
        </is>
      </c>
      <c r="G943" t="inlineStr">
        <is>
          <t>FALUN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23511-2026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46163</v>
      </c>
      <c r="E944" s="1" t="n">
        <v>46228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16.9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23521-2026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46163</v>
      </c>
      <c r="E945" s="1" t="n">
        <v>46228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46044</v>
      </c>
      <c r="E946" s="1" t="n">
        <v>46228</v>
      </c>
      <c r="F946" t="inlineStr">
        <is>
          <t>DALARNAS LÄN</t>
        </is>
      </c>
      <c r="G946" t="inlineStr">
        <is>
          <t>FALUN</t>
        </is>
      </c>
      <c r="I946" t="n">
        <v>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1582-2026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46031</v>
      </c>
      <c r="E947" s="1" t="n">
        <v>46228</v>
      </c>
      <c r="F947" t="inlineStr">
        <is>
          <t>DALARNAS LÄN</t>
        </is>
      </c>
      <c r="G947" t="inlineStr">
        <is>
          <t>FALUN</t>
        </is>
      </c>
      <c r="I947" t="n">
        <v>5.4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51920-2024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45607</v>
      </c>
      <c r="E948" s="1" t="n">
        <v>46228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4322-2026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46228</v>
      </c>
      <c r="F949" t="inlineStr">
        <is>
          <t>DALARNAS LÄN</t>
        </is>
      </c>
      <c r="G949" t="inlineStr">
        <is>
          <t>FALUN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46044</v>
      </c>
      <c r="E950" s="1" t="n">
        <v>46228</v>
      </c>
      <c r="F950" t="inlineStr">
        <is>
          <t>DALARNAS LÄN</t>
        </is>
      </c>
      <c r="G950" t="inlineStr">
        <is>
          <t>FALUN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1329-2026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46029</v>
      </c>
      <c r="E951" s="1" t="n">
        <v>46228</v>
      </c>
      <c r="F951" t="inlineStr">
        <is>
          <t>DALARNAS LÄN</t>
        </is>
      </c>
      <c r="G951" t="inlineStr">
        <is>
          <t>FALUN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69306-2021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44531</v>
      </c>
      <c r="E952" s="1" t="n">
        <v>46228</v>
      </c>
      <c r="F952" t="inlineStr">
        <is>
          <t>DALARNAS LÄN</t>
        </is>
      </c>
      <c r="G952" t="inlineStr">
        <is>
          <t>FALUN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46163</v>
      </c>
      <c r="E953" s="1" t="n">
        <v>46228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62334-2025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46005</v>
      </c>
      <c r="E954" s="1" t="n">
        <v>46228</v>
      </c>
      <c r="F954" t="inlineStr">
        <is>
          <t>DALARNAS LÄN</t>
        </is>
      </c>
      <c r="G954" t="inlineStr">
        <is>
          <t>FALUN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23227-2026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46228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4883-2026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46228</v>
      </c>
      <c r="F956" t="inlineStr">
        <is>
          <t>DALARNAS LÄN</t>
        </is>
      </c>
      <c r="G956" t="inlineStr">
        <is>
          <t>FALUN</t>
        </is>
      </c>
      <c r="I956" t="n">
        <v>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4894-2026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46228</v>
      </c>
      <c r="F957" t="inlineStr">
        <is>
          <t>DALARNAS LÄN</t>
        </is>
      </c>
      <c r="G957" t="inlineStr">
        <is>
          <t>FALUN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4985-2026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46228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46049</v>
      </c>
      <c r="E959" s="1" t="n">
        <v>46228</v>
      </c>
      <c r="F959" t="inlineStr">
        <is>
          <t>DALARNAS LÄN</t>
        </is>
      </c>
      <c r="G959" t="inlineStr">
        <is>
          <t>FALUN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46049</v>
      </c>
      <c r="E960" s="1" t="n">
        <v>46228</v>
      </c>
      <c r="F960" t="inlineStr">
        <is>
          <t>DALARNAS LÄN</t>
        </is>
      </c>
      <c r="G960" t="inlineStr">
        <is>
          <t>FALUN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46025</v>
      </c>
      <c r="E961" s="1" t="n">
        <v>46228</v>
      </c>
      <c r="F961" t="inlineStr">
        <is>
          <t>DALARNAS LÄN</t>
        </is>
      </c>
      <c r="G961" t="inlineStr">
        <is>
          <t>FALUN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4738-2026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46048</v>
      </c>
      <c r="E962" s="1" t="n">
        <v>46228</v>
      </c>
      <c r="F962" t="inlineStr">
        <is>
          <t>DALARNAS LÄN</t>
        </is>
      </c>
      <c r="G962" t="inlineStr">
        <is>
          <t>FALUN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46228</v>
      </c>
      <c r="F963" t="inlineStr">
        <is>
          <t>DALARNAS LÄN</t>
        </is>
      </c>
      <c r="G963" t="inlineStr">
        <is>
          <t>FALUN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4825-2026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46048</v>
      </c>
      <c r="E964" s="1" t="n">
        <v>46228</v>
      </c>
      <c r="F964" t="inlineStr">
        <is>
          <t>DALARNAS LÄN</t>
        </is>
      </c>
      <c r="G964" t="inlineStr">
        <is>
          <t>FALUN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4766-2026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46048</v>
      </c>
      <c r="E965" s="1" t="n">
        <v>46228</v>
      </c>
      <c r="F965" t="inlineStr">
        <is>
          <t>DALARNAS LÄN</t>
        </is>
      </c>
      <c r="G965" t="inlineStr">
        <is>
          <t>FALUN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46049</v>
      </c>
      <c r="E966" s="1" t="n">
        <v>46228</v>
      </c>
      <c r="F966" t="inlineStr">
        <is>
          <t>DALARNAS LÄN</t>
        </is>
      </c>
      <c r="G966" t="inlineStr">
        <is>
          <t>FALUN</t>
        </is>
      </c>
      <c r="I966" t="n">
        <v>7.7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4995-2026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46049</v>
      </c>
      <c r="E967" s="1" t="n">
        <v>46228</v>
      </c>
      <c r="F967" t="inlineStr">
        <is>
          <t>DALARNAS LÄN</t>
        </is>
      </c>
      <c r="G967" t="inlineStr">
        <is>
          <t>FALUN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46049</v>
      </c>
      <c r="E968" s="1" t="n">
        <v>46228</v>
      </c>
      <c r="F968" t="inlineStr">
        <is>
          <t>DALARNAS LÄN</t>
        </is>
      </c>
      <c r="G968" t="inlineStr">
        <is>
          <t>FALUN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46049</v>
      </c>
      <c r="E969" s="1" t="n">
        <v>46228</v>
      </c>
      <c r="F969" t="inlineStr">
        <is>
          <t>DALARNAS LÄN</t>
        </is>
      </c>
      <c r="G969" t="inlineStr">
        <is>
          <t>FALUN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46049</v>
      </c>
      <c r="E970" s="1" t="n">
        <v>46228</v>
      </c>
      <c r="F970" t="inlineStr">
        <is>
          <t>DALARNAS LÄN</t>
        </is>
      </c>
      <c r="G970" t="inlineStr">
        <is>
          <t>FALUN</t>
        </is>
      </c>
      <c r="I970" t="n">
        <v>6.8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23600-2026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46163</v>
      </c>
      <c r="E971" s="1" t="n">
        <v>46228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5071-2026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46049</v>
      </c>
      <c r="E972" s="1" t="n">
        <v>46228</v>
      </c>
      <c r="F972" t="inlineStr">
        <is>
          <t>DALARNAS LÄN</t>
        </is>
      </c>
      <c r="G972" t="inlineStr">
        <is>
          <t>FALUN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5242-2026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46049</v>
      </c>
      <c r="E973" s="1" t="n">
        <v>46228</v>
      </c>
      <c r="F973" t="inlineStr">
        <is>
          <t>DALARNAS LÄN</t>
        </is>
      </c>
      <c r="G973" t="inlineStr">
        <is>
          <t>FALUN</t>
        </is>
      </c>
      <c r="I973" t="n">
        <v>8.300000000000001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46228</v>
      </c>
      <c r="F974" t="inlineStr">
        <is>
          <t>DALARNAS LÄN</t>
        </is>
      </c>
      <c r="G974" t="inlineStr">
        <is>
          <t>FALUN</t>
        </is>
      </c>
      <c r="I974" t="n">
        <v>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9730-2026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46228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5019-2026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46228</v>
      </c>
      <c r="F976" t="inlineStr">
        <is>
          <t>DALARNAS LÄN</t>
        </is>
      </c>
      <c r="G976" t="inlineStr">
        <is>
          <t>FALUN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5244-2026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46049</v>
      </c>
      <c r="E977" s="1" t="n">
        <v>46228</v>
      </c>
      <c r="F977" t="inlineStr">
        <is>
          <t>DALARNAS LÄN</t>
        </is>
      </c>
      <c r="G977" t="inlineStr">
        <is>
          <t>FALUN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46048</v>
      </c>
      <c r="E978" s="1" t="n">
        <v>46228</v>
      </c>
      <c r="F978" t="inlineStr">
        <is>
          <t>DALARNAS LÄN</t>
        </is>
      </c>
      <c r="G978" t="inlineStr">
        <is>
          <t>FALUN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46048</v>
      </c>
      <c r="E979" s="1" t="n">
        <v>46228</v>
      </c>
      <c r="F979" t="inlineStr">
        <is>
          <t>DALARNAS LÄN</t>
        </is>
      </c>
      <c r="G979" t="inlineStr">
        <is>
          <t>FALUN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23592-2026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46163</v>
      </c>
      <c r="E980" s="1" t="n">
        <v>46228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23593-2026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46163</v>
      </c>
      <c r="E981" s="1" t="n">
        <v>46228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46228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46046</v>
      </c>
      <c r="E983" s="1" t="n">
        <v>46228</v>
      </c>
      <c r="F983" t="inlineStr">
        <is>
          <t>DALARNAS LÄN</t>
        </is>
      </c>
      <c r="G983" t="inlineStr">
        <is>
          <t>FALUN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46228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43187-2024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45567</v>
      </c>
      <c r="E985" s="1" t="n">
        <v>46228</v>
      </c>
      <c r="F985" t="inlineStr">
        <is>
          <t>DALARNAS LÄN</t>
        </is>
      </c>
      <c r="G985" t="inlineStr">
        <is>
          <t>FALUN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4792-2026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46228</v>
      </c>
      <c r="F986" t="inlineStr">
        <is>
          <t>DALARNAS LÄN</t>
        </is>
      </c>
      <c r="G986" t="inlineStr">
        <is>
          <t>FALUN</t>
        </is>
      </c>
      <c r="I986" t="n">
        <v>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4840-2026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46048</v>
      </c>
      <c r="E987" s="1" t="n">
        <v>46228</v>
      </c>
      <c r="F987" t="inlineStr">
        <is>
          <t>DALARNAS LÄN</t>
        </is>
      </c>
      <c r="G987" t="inlineStr">
        <is>
          <t>FALUN</t>
        </is>
      </c>
      <c r="I987" t="n">
        <v>4.8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46048</v>
      </c>
      <c r="E988" s="1" t="n">
        <v>46228</v>
      </c>
      <c r="F988" t="inlineStr">
        <is>
          <t>DALARNAS LÄN</t>
        </is>
      </c>
      <c r="G988" t="inlineStr">
        <is>
          <t>FALUN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4899-2026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46228</v>
      </c>
      <c r="F989" t="inlineStr">
        <is>
          <t>DALARNAS LÄN</t>
        </is>
      </c>
      <c r="G989" t="inlineStr">
        <is>
          <t>FALUN</t>
        </is>
      </c>
      <c r="I989" t="n">
        <v>10.6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23597-2026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46163</v>
      </c>
      <c r="E990" s="1" t="n">
        <v>46228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9.199999999999999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46228</v>
      </c>
      <c r="F991" t="inlineStr">
        <is>
          <t>DALARNAS LÄN</t>
        </is>
      </c>
      <c r="G991" t="inlineStr">
        <is>
          <t>FALUN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5770-2026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46051</v>
      </c>
      <c r="E992" s="1" t="n">
        <v>46228</v>
      </c>
      <c r="F992" t="inlineStr">
        <is>
          <t>DALARNAS LÄN</t>
        </is>
      </c>
      <c r="G992" t="inlineStr">
        <is>
          <t>FALUN</t>
        </is>
      </c>
      <c r="I992" t="n">
        <v>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46228</v>
      </c>
      <c r="F993" t="inlineStr">
        <is>
          <t>DALARNAS LÄN</t>
        </is>
      </c>
      <c r="G993" t="inlineStr">
        <is>
          <t>FALUN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5363-2026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46050</v>
      </c>
      <c r="E994" s="1" t="n">
        <v>46228</v>
      </c>
      <c r="F994" t="inlineStr">
        <is>
          <t>DALARNAS LÄN</t>
        </is>
      </c>
      <c r="G994" t="inlineStr">
        <is>
          <t>FALUN</t>
        </is>
      </c>
      <c r="H994" t="inlineStr">
        <is>
          <t>Kommuner</t>
        </is>
      </c>
      <c r="I994" t="n">
        <v>6.5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46051</v>
      </c>
      <c r="E995" s="1" t="n">
        <v>46228</v>
      </c>
      <c r="F995" t="inlineStr">
        <is>
          <t>DALARNAS LÄN</t>
        </is>
      </c>
      <c r="G995" t="inlineStr">
        <is>
          <t>FALUN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5734-2026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46051</v>
      </c>
      <c r="E996" s="1" t="n">
        <v>46228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46162</v>
      </c>
      <c r="E997" s="1" t="n">
        <v>46228</v>
      </c>
      <c r="F997" t="inlineStr">
        <is>
          <t>DALARNAS LÄN</t>
        </is>
      </c>
      <c r="G997" t="inlineStr">
        <is>
          <t>FALUN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6231-2026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46228</v>
      </c>
      <c r="F998" t="inlineStr">
        <is>
          <t>DALARNAS LÄN</t>
        </is>
      </c>
      <c r="G998" t="inlineStr">
        <is>
          <t>FALUN</t>
        </is>
      </c>
      <c r="I998" t="n">
        <v>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23611-2026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46163</v>
      </c>
      <c r="E999" s="1" t="n">
        <v>46228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46052</v>
      </c>
      <c r="E1000" s="1" t="n">
        <v>46228</v>
      </c>
      <c r="F1000" t="inlineStr">
        <is>
          <t>DALARNAS LÄN</t>
        </is>
      </c>
      <c r="G1000" t="inlineStr">
        <is>
          <t>FALUN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29884-2026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46228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5916-2026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46052</v>
      </c>
      <c r="E1002" s="1" t="n">
        <v>46228</v>
      </c>
      <c r="F1002" t="inlineStr">
        <is>
          <t>DALARNAS LÄN</t>
        </is>
      </c>
      <c r="G1002" t="inlineStr">
        <is>
          <t>FALUN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12224-2022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44637</v>
      </c>
      <c r="E1003" s="1" t="n">
        <v>46228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6284-2026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46228</v>
      </c>
      <c r="F1004" t="inlineStr">
        <is>
          <t>DALARNAS LÄN</t>
        </is>
      </c>
      <c r="G1004" t="inlineStr">
        <is>
          <t>FALUN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5913-2026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46228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39872-2022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44819</v>
      </c>
      <c r="E1006" s="1" t="n">
        <v>46228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6609-2026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46052</v>
      </c>
      <c r="E1007" s="1" t="n">
        <v>46228</v>
      </c>
      <c r="F1007" t="inlineStr">
        <is>
          <t>DALARNAS LÄN</t>
        </is>
      </c>
      <c r="G1007" t="inlineStr">
        <is>
          <t>FALUN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5902-2026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46052</v>
      </c>
      <c r="E1008" s="1" t="n">
        <v>46228</v>
      </c>
      <c r="F1008" t="inlineStr">
        <is>
          <t>DALARNAS LÄN</t>
        </is>
      </c>
      <c r="G1008" t="inlineStr">
        <is>
          <t>FALUN</t>
        </is>
      </c>
      <c r="I1008" t="n">
        <v>18.9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6022-2026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46052</v>
      </c>
      <c r="E1009" s="1" t="n">
        <v>46228</v>
      </c>
      <c r="F1009" t="inlineStr">
        <is>
          <t>DALARNAS LÄN</t>
        </is>
      </c>
      <c r="G1009" t="inlineStr">
        <is>
          <t>FALUN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6213-2026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46228</v>
      </c>
      <c r="F1010" t="inlineStr">
        <is>
          <t>DALARNAS LÄN</t>
        </is>
      </c>
      <c r="G1010" t="inlineStr">
        <is>
          <t>FALUN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6229-2026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46228</v>
      </c>
      <c r="F1011" t="inlineStr">
        <is>
          <t>DALARNAS LÄN</t>
        </is>
      </c>
      <c r="G1011" t="inlineStr">
        <is>
          <t>FALUN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23211-2026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46162</v>
      </c>
      <c r="E1012" s="1" t="n">
        <v>46228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6607-2026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46228</v>
      </c>
      <c r="F1013" t="inlineStr">
        <is>
          <t>DALARNAS LÄN</t>
        </is>
      </c>
      <c r="G1013" t="inlineStr">
        <is>
          <t>FALUN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46055</v>
      </c>
      <c r="E1014" s="1" t="n">
        <v>46228</v>
      </c>
      <c r="F1014" t="inlineStr">
        <is>
          <t>DALARNAS LÄN</t>
        </is>
      </c>
      <c r="G1014" t="inlineStr">
        <is>
          <t>FALUN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46228</v>
      </c>
      <c r="F1015" t="inlineStr">
        <is>
          <t>DALARNAS LÄN</t>
        </is>
      </c>
      <c r="G1015" t="inlineStr">
        <is>
          <t>FALUN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29997-2026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46205</v>
      </c>
      <c r="E1016" s="1" t="n">
        <v>46228</v>
      </c>
      <c r="F1016" t="inlineStr">
        <is>
          <t>DALARNAS LÄN</t>
        </is>
      </c>
      <c r="G1016" t="inlineStr">
        <is>
          <t>FALUN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52856-2023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45226</v>
      </c>
      <c r="E1017" s="1" t="n">
        <v>46228</v>
      </c>
      <c r="F1017" t="inlineStr">
        <is>
          <t>DALARNAS LÄN</t>
        </is>
      </c>
      <c r="G1017" t="inlineStr">
        <is>
          <t>FALUN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23282-2026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46162</v>
      </c>
      <c r="E1018" s="1" t="n">
        <v>46228</v>
      </c>
      <c r="F1018" t="inlineStr">
        <is>
          <t>DALARNAS LÄN</t>
        </is>
      </c>
      <c r="G1018" t="inlineStr">
        <is>
          <t>FALUN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46056</v>
      </c>
      <c r="E1019" s="1" t="n">
        <v>46228</v>
      </c>
      <c r="F1019" t="inlineStr">
        <is>
          <t>DALARNAS LÄN</t>
        </is>
      </c>
      <c r="G1019" t="inlineStr">
        <is>
          <t>FALUN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6573-2026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46056</v>
      </c>
      <c r="E1020" s="1" t="n">
        <v>46228</v>
      </c>
      <c r="F1020" t="inlineStr">
        <is>
          <t>DALARNAS LÄN</t>
        </is>
      </c>
      <c r="G1020" t="inlineStr">
        <is>
          <t>FALUN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6703-2026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46056</v>
      </c>
      <c r="E1021" s="1" t="n">
        <v>46228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6931-2026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46228</v>
      </c>
      <c r="F1022" t="inlineStr">
        <is>
          <t>DALARNAS LÄN</t>
        </is>
      </c>
      <c r="G1022" t="inlineStr">
        <is>
          <t>FALUN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6955-2026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46228</v>
      </c>
      <c r="F1023" t="inlineStr">
        <is>
          <t>DALARNAS LÄN</t>
        </is>
      </c>
      <c r="G1023" t="inlineStr">
        <is>
          <t>FALUN</t>
        </is>
      </c>
      <c r="H1023" t="inlineStr">
        <is>
          <t>Allmännings- och besparingsskogar</t>
        </is>
      </c>
      <c r="I1023" t="n">
        <v>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6974-2026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46057</v>
      </c>
      <c r="E1024" s="1" t="n">
        <v>46228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6515-2026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46056</v>
      </c>
      <c r="E1025" s="1" t="n">
        <v>46228</v>
      </c>
      <c r="F1025" t="inlineStr">
        <is>
          <t>DALARNAS LÄN</t>
        </is>
      </c>
      <c r="G1025" t="inlineStr">
        <is>
          <t>FALUN</t>
        </is>
      </c>
      <c r="I1025" t="n">
        <v>27.4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6552-2026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46056</v>
      </c>
      <c r="E1026" s="1" t="n">
        <v>46228</v>
      </c>
      <c r="F1026" t="inlineStr">
        <is>
          <t>DALARNAS LÄN</t>
        </is>
      </c>
      <c r="G1026" t="inlineStr">
        <is>
          <t>FALUN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2463-2024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45313</v>
      </c>
      <c r="E1027" s="1" t="n">
        <v>46228</v>
      </c>
      <c r="F1027" t="inlineStr">
        <is>
          <t>DALARNAS LÄN</t>
        </is>
      </c>
      <c r="G1027" t="inlineStr">
        <is>
          <t>FALUN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63312-2023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45274</v>
      </c>
      <c r="E1028" s="1" t="n">
        <v>46228</v>
      </c>
      <c r="F1028" t="inlineStr">
        <is>
          <t>DALARNAS LÄN</t>
        </is>
      </c>
      <c r="G1028" t="inlineStr">
        <is>
          <t>FALUN</t>
        </is>
      </c>
      <c r="I1028" t="n">
        <v>16.2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6435-2026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46228</v>
      </c>
      <c r="F1029" t="inlineStr">
        <is>
          <t>DALARNAS LÄN</t>
        </is>
      </c>
      <c r="G1029" t="inlineStr">
        <is>
          <t>FALUN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46228</v>
      </c>
      <c r="F1030" t="inlineStr">
        <is>
          <t>DALARNAS LÄN</t>
        </is>
      </c>
      <c r="G1030" t="inlineStr">
        <is>
          <t>FALUN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6985-2026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46228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46056</v>
      </c>
      <c r="E1032" s="1" t="n">
        <v>46228</v>
      </c>
      <c r="F1032" t="inlineStr">
        <is>
          <t>DALARNAS LÄN</t>
        </is>
      </c>
      <c r="G1032" t="inlineStr">
        <is>
          <t>FALUN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7055-2026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46057</v>
      </c>
      <c r="E1033" s="1" t="n">
        <v>46228</v>
      </c>
      <c r="F1033" t="inlineStr">
        <is>
          <t>DALARNAS LÄN</t>
        </is>
      </c>
      <c r="G1033" t="inlineStr">
        <is>
          <t>FALUN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6568-2026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46228</v>
      </c>
      <c r="F1034" t="inlineStr">
        <is>
          <t>DALARNAS LÄN</t>
        </is>
      </c>
      <c r="G1034" t="inlineStr">
        <is>
          <t>FALUN</t>
        </is>
      </c>
      <c r="I1034" t="n">
        <v>6.2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6604-2026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46228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6556-2026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46228</v>
      </c>
      <c r="F1036" t="inlineStr">
        <is>
          <t>DALARNAS LÄN</t>
        </is>
      </c>
      <c r="G1036" t="inlineStr">
        <is>
          <t>FALUN</t>
        </is>
      </c>
      <c r="I1036" t="n">
        <v>17.2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37049-2023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45155</v>
      </c>
      <c r="E1037" s="1" t="n">
        <v>46228</v>
      </c>
      <c r="F1037" t="inlineStr">
        <is>
          <t>DALARNAS LÄN</t>
        </is>
      </c>
      <c r="G1037" t="inlineStr">
        <is>
          <t>FALUN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7293-2026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46058</v>
      </c>
      <c r="E1038" s="1" t="n">
        <v>46228</v>
      </c>
      <c r="F1038" t="inlineStr">
        <is>
          <t>DALARNAS LÄN</t>
        </is>
      </c>
      <c r="G1038" t="inlineStr">
        <is>
          <t>FALUN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7314-2026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46058</v>
      </c>
      <c r="E1039" s="1" t="n">
        <v>46228</v>
      </c>
      <c r="F1039" t="inlineStr">
        <is>
          <t>DALARNAS LÄN</t>
        </is>
      </c>
      <c r="G1039" t="inlineStr">
        <is>
          <t>FALUN</t>
        </is>
      </c>
      <c r="I1039" t="n">
        <v>7.1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7218-2026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46058</v>
      </c>
      <c r="E1040" s="1" t="n">
        <v>46228</v>
      </c>
      <c r="F1040" t="inlineStr">
        <is>
          <t>DALARNAS LÄN</t>
        </is>
      </c>
      <c r="G1040" t="inlineStr">
        <is>
          <t>FALUN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23650-2026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46164</v>
      </c>
      <c r="E1041" s="1" t="n">
        <v>46228</v>
      </c>
      <c r="F1041" t="inlineStr">
        <is>
          <t>DALARNAS LÄN</t>
        </is>
      </c>
      <c r="G1041" t="inlineStr">
        <is>
          <t>FALUN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23680-2026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46164</v>
      </c>
      <c r="E1042" s="1" t="n">
        <v>46228</v>
      </c>
      <c r="F1042" t="inlineStr">
        <is>
          <t>DALARNAS LÄN</t>
        </is>
      </c>
      <c r="G1042" t="inlineStr">
        <is>
          <t>FALUN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23694-2026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46164</v>
      </c>
      <c r="E1043" s="1" t="n">
        <v>46228</v>
      </c>
      <c r="F1043" t="inlineStr">
        <is>
          <t>DALARNAS LÄN</t>
        </is>
      </c>
      <c r="G1043" t="inlineStr">
        <is>
          <t>FALUN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53640-2024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45614</v>
      </c>
      <c r="E1044" s="1" t="n">
        <v>46228</v>
      </c>
      <c r="F1044" t="inlineStr">
        <is>
          <t>DALARNAS LÄN</t>
        </is>
      </c>
      <c r="G1044" t="inlineStr">
        <is>
          <t>FALUN</t>
        </is>
      </c>
      <c r="I1044" t="n">
        <v>3.9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3209-2022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44582</v>
      </c>
      <c r="E1045" s="1" t="n">
        <v>46228</v>
      </c>
      <c r="F1045" t="inlineStr">
        <is>
          <t>DALARNAS LÄN</t>
        </is>
      </c>
      <c r="G1045" t="inlineStr">
        <is>
          <t>FALUN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7476-2026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46059</v>
      </c>
      <c r="E1046" s="1" t="n">
        <v>46228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46059</v>
      </c>
      <c r="E1047" s="1" t="n">
        <v>46228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43030-2023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46228</v>
      </c>
      <c r="F1048" t="inlineStr">
        <is>
          <t>DALARNAS LÄN</t>
        </is>
      </c>
      <c r="G1048" t="inlineStr">
        <is>
          <t>FALUN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13973-2026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46090</v>
      </c>
      <c r="E1049" s="1" t="n">
        <v>46228</v>
      </c>
      <c r="F1049" t="inlineStr">
        <is>
          <t>DALARNAS LÄN</t>
        </is>
      </c>
      <c r="G1049" t="inlineStr">
        <is>
          <t>FALUN</t>
        </is>
      </c>
      <c r="I1049" t="n">
        <v>12.3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46043</v>
      </c>
      <c r="E1050" s="1" t="n">
        <v>46228</v>
      </c>
      <c r="F1050" t="inlineStr">
        <is>
          <t>DALARNAS LÄN</t>
        </is>
      </c>
      <c r="G1050" t="inlineStr">
        <is>
          <t>FALUN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30463-2026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46209</v>
      </c>
      <c r="E1051" s="1" t="n">
        <v>46228</v>
      </c>
      <c r="F1051" t="inlineStr">
        <is>
          <t>DALARNAS LÄN</t>
        </is>
      </c>
      <c r="G1051" t="inlineStr">
        <is>
          <t>FALUN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27834-2026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46191</v>
      </c>
      <c r="E1052" s="1" t="n">
        <v>46228</v>
      </c>
      <c r="F1052" t="inlineStr">
        <is>
          <t>DALARNAS LÄN</t>
        </is>
      </c>
      <c r="G1052" t="inlineStr">
        <is>
          <t>FALUN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47685-2023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45203</v>
      </c>
      <c r="E1053" s="1" t="n">
        <v>46228</v>
      </c>
      <c r="F1053" t="inlineStr">
        <is>
          <t>DALARNAS LÄN</t>
        </is>
      </c>
      <c r="G1053" t="inlineStr">
        <is>
          <t>FALUN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7587-2025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45705</v>
      </c>
      <c r="E1054" s="1" t="n">
        <v>46228</v>
      </c>
      <c r="F1054" t="inlineStr">
        <is>
          <t>DALARNAS LÄN</t>
        </is>
      </c>
      <c r="G1054" t="inlineStr">
        <is>
          <t>FALUN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42954-2023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45182</v>
      </c>
      <c r="E1055" s="1" t="n">
        <v>46228</v>
      </c>
      <c r="F1055" t="inlineStr">
        <is>
          <t>DALARNAS LÄN</t>
        </is>
      </c>
      <c r="G1055" t="inlineStr">
        <is>
          <t>FALUN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46048</v>
      </c>
      <c r="E1056" s="1" t="n">
        <v>46228</v>
      </c>
      <c r="F1056" t="inlineStr">
        <is>
          <t>DALARNAS LÄN</t>
        </is>
      </c>
      <c r="G1056" t="inlineStr">
        <is>
          <t>FALUN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7965-2026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46228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7696-2026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46228</v>
      </c>
      <c r="F1058" t="inlineStr">
        <is>
          <t>DALARNAS LÄN</t>
        </is>
      </c>
      <c r="G1058" t="inlineStr">
        <is>
          <t>FALUN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7857-2026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46062</v>
      </c>
      <c r="E1059" s="1" t="n">
        <v>46228</v>
      </c>
      <c r="F1059" t="inlineStr">
        <is>
          <t>DALARNAS LÄN</t>
        </is>
      </c>
      <c r="G1059" t="inlineStr">
        <is>
          <t>FALUN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24020-2026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46167</v>
      </c>
      <c r="E1060" s="1" t="n">
        <v>46228</v>
      </c>
      <c r="F1060" t="inlineStr">
        <is>
          <t>DALARNAS LÄN</t>
        </is>
      </c>
      <c r="G1060" t="inlineStr">
        <is>
          <t>FALUN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23842-2026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46167</v>
      </c>
      <c r="E1061" s="1" t="n">
        <v>46228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23660-2026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46164</v>
      </c>
      <c r="E1062" s="1" t="n">
        <v>46228</v>
      </c>
      <c r="F1062" t="inlineStr">
        <is>
          <t>DALARNAS LÄN</t>
        </is>
      </c>
      <c r="G1062" t="inlineStr">
        <is>
          <t>FALUN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10318-2024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45365</v>
      </c>
      <c r="E1063" s="1" t="n">
        <v>46228</v>
      </c>
      <c r="F1063" t="inlineStr">
        <is>
          <t>DALARNAS LÄN</t>
        </is>
      </c>
      <c r="G1063" t="inlineStr">
        <is>
          <t>FALUN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7967-2026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46063</v>
      </c>
      <c r="E1064" s="1" t="n">
        <v>46228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24016-2026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46167</v>
      </c>
      <c r="E1065" s="1" t="n">
        <v>46228</v>
      </c>
      <c r="F1065" t="inlineStr">
        <is>
          <t>DALARNAS LÄN</t>
        </is>
      </c>
      <c r="G1065" t="inlineStr">
        <is>
          <t>FALUN</t>
        </is>
      </c>
      <c r="I1065" t="n">
        <v>9.9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24023-2026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46167</v>
      </c>
      <c r="E1066" s="1" t="n">
        <v>46228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10.6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30448-2026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46209</v>
      </c>
      <c r="E1067" s="1" t="n">
        <v>46228</v>
      </c>
      <c r="F1067" t="inlineStr">
        <is>
          <t>DALARNAS LÄN</t>
        </is>
      </c>
      <c r="G1067" t="inlineStr">
        <is>
          <t>FALUN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8409-2026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46065</v>
      </c>
      <c r="E1068" s="1" t="n">
        <v>46228</v>
      </c>
      <c r="F1068" t="inlineStr">
        <is>
          <t>DALARNAS LÄN</t>
        </is>
      </c>
      <c r="G1068" t="inlineStr">
        <is>
          <t>FALUN</t>
        </is>
      </c>
      <c r="I1068" t="n">
        <v>11.1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27832-2026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46191</v>
      </c>
      <c r="E1069" s="1" t="n">
        <v>46228</v>
      </c>
      <c r="F1069" t="inlineStr">
        <is>
          <t>DALARNAS LÄN</t>
        </is>
      </c>
      <c r="G1069" t="inlineStr">
        <is>
          <t>FALUN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8599-2026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46065</v>
      </c>
      <c r="E1070" s="1" t="n">
        <v>46228</v>
      </c>
      <c r="F1070" t="inlineStr">
        <is>
          <t>DALARNAS LÄN</t>
        </is>
      </c>
      <c r="G1070" t="inlineStr">
        <is>
          <t>FALUN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8589-2026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46228</v>
      </c>
      <c r="F1071" t="inlineStr">
        <is>
          <t>DALARNAS LÄN</t>
        </is>
      </c>
      <c r="G1071" t="inlineStr">
        <is>
          <t>FALUN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11579-2024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45373</v>
      </c>
      <c r="E1072" s="1" t="n">
        <v>46228</v>
      </c>
      <c r="F1072" t="inlineStr">
        <is>
          <t>DALARNAS LÄN</t>
        </is>
      </c>
      <c r="G1072" t="inlineStr">
        <is>
          <t>FALUN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11584-2024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45373</v>
      </c>
      <c r="E1073" s="1" t="n">
        <v>46228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56136-2024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45624</v>
      </c>
      <c r="E1074" s="1" t="n">
        <v>46228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56141-2024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45624</v>
      </c>
      <c r="E1075" s="1" t="n">
        <v>46228</v>
      </c>
      <c r="F1075" t="inlineStr">
        <is>
          <t>DALARNAS LÄN</t>
        </is>
      </c>
      <c r="G1075" t="inlineStr">
        <is>
          <t>FALUN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23696-2026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46164</v>
      </c>
      <c r="E1076" s="1" t="n">
        <v>46228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8161-2026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46064</v>
      </c>
      <c r="E1077" s="1" t="n">
        <v>46228</v>
      </c>
      <c r="F1077" t="inlineStr">
        <is>
          <t>DALARNAS LÄN</t>
        </is>
      </c>
      <c r="G1077" t="inlineStr">
        <is>
          <t>FALUN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8626-2026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46066</v>
      </c>
      <c r="E1078" s="1" t="n">
        <v>46228</v>
      </c>
      <c r="F1078" t="inlineStr">
        <is>
          <t>DALARNAS LÄN</t>
        </is>
      </c>
      <c r="G1078" t="inlineStr">
        <is>
          <t>FALUN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9102-2026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46228</v>
      </c>
      <c r="F1079" t="inlineStr">
        <is>
          <t>DALARNAS LÄN</t>
        </is>
      </c>
      <c r="G1079" t="inlineStr">
        <is>
          <t>FALUN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9128-2026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46069</v>
      </c>
      <c r="E1080" s="1" t="n">
        <v>46228</v>
      </c>
      <c r="F1080" t="inlineStr">
        <is>
          <t>DALARNAS LÄN</t>
        </is>
      </c>
      <c r="G1080" t="inlineStr">
        <is>
          <t>FALUN</t>
        </is>
      </c>
      <c r="I1080" t="n">
        <v>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7755-2024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45349</v>
      </c>
      <c r="E1081" s="1" t="n">
        <v>46228</v>
      </c>
      <c r="F1081" t="inlineStr">
        <is>
          <t>DALARNAS LÄN</t>
        </is>
      </c>
      <c r="G1081" t="inlineStr">
        <is>
          <t>FALUN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8797-2026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46066</v>
      </c>
      <c r="E1082" s="1" t="n">
        <v>46228</v>
      </c>
      <c r="F1082" t="inlineStr">
        <is>
          <t>DALARNAS LÄN</t>
        </is>
      </c>
      <c r="G1082" t="inlineStr">
        <is>
          <t>FALUN</t>
        </is>
      </c>
      <c r="I1082" t="n">
        <v>6.3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8821-2026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46066</v>
      </c>
      <c r="E1083" s="1" t="n">
        <v>46228</v>
      </c>
      <c r="F1083" t="inlineStr">
        <is>
          <t>DALARNAS LÄN</t>
        </is>
      </c>
      <c r="G1083" t="inlineStr">
        <is>
          <t>FALUN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5275-2026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46050</v>
      </c>
      <c r="E1084" s="1" t="n">
        <v>46228</v>
      </c>
      <c r="F1084" t="inlineStr">
        <is>
          <t>DALARNAS LÄN</t>
        </is>
      </c>
      <c r="G1084" t="inlineStr">
        <is>
          <t>FALUN</t>
        </is>
      </c>
      <c r="H1084" t="inlineStr">
        <is>
          <t>Kyrkan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23706-2026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46164</v>
      </c>
      <c r="E1085" s="1" t="n">
        <v>46228</v>
      </c>
      <c r="F1085" t="inlineStr">
        <is>
          <t>DALARNAS LÄN</t>
        </is>
      </c>
      <c r="G1085" t="inlineStr">
        <is>
          <t>FALUN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8770-2026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46228</v>
      </c>
      <c r="F1086" t="inlineStr">
        <is>
          <t>DALARNAS LÄN</t>
        </is>
      </c>
      <c r="G1086" t="inlineStr">
        <is>
          <t>FALUN</t>
        </is>
      </c>
      <c r="I1086" t="n">
        <v>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20350-2026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46228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58.4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24004-2026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46167</v>
      </c>
      <c r="E1088" s="1" t="n">
        <v>46228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9.5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8760-2026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46066</v>
      </c>
      <c r="E1089" s="1" t="n">
        <v>46228</v>
      </c>
      <c r="F1089" t="inlineStr">
        <is>
          <t>DALARNAS LÄN</t>
        </is>
      </c>
      <c r="G1089" t="inlineStr">
        <is>
          <t>FALUN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46068</v>
      </c>
      <c r="E1090" s="1" t="n">
        <v>46228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8808-2026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46066</v>
      </c>
      <c r="E1091" s="1" t="n">
        <v>46228</v>
      </c>
      <c r="F1091" t="inlineStr">
        <is>
          <t>DALARNAS LÄN</t>
        </is>
      </c>
      <c r="G1091" t="inlineStr">
        <is>
          <t>FALUN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12926-2025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45734</v>
      </c>
      <c r="E1092" s="1" t="n">
        <v>46228</v>
      </c>
      <c r="F1092" t="inlineStr">
        <is>
          <t>DALARNAS LÄN</t>
        </is>
      </c>
      <c r="G1092" t="inlineStr">
        <is>
          <t>FALUN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46069</v>
      </c>
      <c r="E1093" s="1" t="n">
        <v>46228</v>
      </c>
      <c r="F1093" t="inlineStr">
        <is>
          <t>DALARNAS LÄN</t>
        </is>
      </c>
      <c r="G1093" t="inlineStr">
        <is>
          <t>FALUN</t>
        </is>
      </c>
      <c r="I1093" t="n">
        <v>11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9683-2026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46071</v>
      </c>
      <c r="E1094" s="1" t="n">
        <v>46228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17.5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4719-2026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46228</v>
      </c>
      <c r="F1095" t="inlineStr">
        <is>
          <t>DALARNAS LÄN</t>
        </is>
      </c>
      <c r="G1095" t="inlineStr">
        <is>
          <t>FALUN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9429-2026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46071</v>
      </c>
      <c r="E1096" s="1" t="n">
        <v>46228</v>
      </c>
      <c r="F1096" t="inlineStr">
        <is>
          <t>DALARNAS LÄN</t>
        </is>
      </c>
      <c r="G1096" t="inlineStr">
        <is>
          <t>FALUN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46044</v>
      </c>
      <c r="E1097" s="1" t="n">
        <v>46228</v>
      </c>
      <c r="F1097" t="inlineStr">
        <is>
          <t>DALARNAS LÄN</t>
        </is>
      </c>
      <c r="G1097" t="inlineStr">
        <is>
          <t>FALUN</t>
        </is>
      </c>
      <c r="H1097" t="inlineStr">
        <is>
          <t>Kyrkan</t>
        </is>
      </c>
      <c r="I1097" t="n">
        <v>18.5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9231-2026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46070</v>
      </c>
      <c r="E1098" s="1" t="n">
        <v>46228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9.800000000000001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9337-2026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46070</v>
      </c>
      <c r="E1099" s="1" t="n">
        <v>46228</v>
      </c>
      <c r="F1099" t="inlineStr">
        <is>
          <t>DALARNAS LÄN</t>
        </is>
      </c>
      <c r="G1099" t="inlineStr">
        <is>
          <t>FALUN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9342-2026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46070</v>
      </c>
      <c r="E1100" s="1" t="n">
        <v>46228</v>
      </c>
      <c r="F1100" t="inlineStr">
        <is>
          <t>DALARNAS LÄN</t>
        </is>
      </c>
      <c r="G1100" t="inlineStr">
        <is>
          <t>FALUN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5311-2025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45692</v>
      </c>
      <c r="E1101" s="1" t="n">
        <v>46228</v>
      </c>
      <c r="F1101" t="inlineStr">
        <is>
          <t>DALARNAS LÄN</t>
        </is>
      </c>
      <c r="G1101" t="inlineStr">
        <is>
          <t>FALUN</t>
        </is>
      </c>
      <c r="I1101" t="n">
        <v>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24186-2026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46168</v>
      </c>
      <c r="E1102" s="1" t="n">
        <v>46228</v>
      </c>
      <c r="F1102" t="inlineStr">
        <is>
          <t>DALARNAS LÄN</t>
        </is>
      </c>
      <c r="G1102" t="inlineStr">
        <is>
          <t>FALUN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24130-2026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46168</v>
      </c>
      <c r="E1103" s="1" t="n">
        <v>46228</v>
      </c>
      <c r="F1103" t="inlineStr">
        <is>
          <t>DALARNAS LÄN</t>
        </is>
      </c>
      <c r="G1103" t="inlineStr">
        <is>
          <t>FALUN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10047-2026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46073</v>
      </c>
      <c r="E1104" s="1" t="n">
        <v>46228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9840-2026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46072</v>
      </c>
      <c r="E1105" s="1" t="n">
        <v>46228</v>
      </c>
      <c r="F1105" t="inlineStr">
        <is>
          <t>DALARNAS LÄN</t>
        </is>
      </c>
      <c r="G1105" t="inlineStr">
        <is>
          <t>FALUN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24169-2026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46168</v>
      </c>
      <c r="E1106" s="1" t="n">
        <v>46228</v>
      </c>
      <c r="F1106" t="inlineStr">
        <is>
          <t>DALARNAS LÄN</t>
        </is>
      </c>
      <c r="G1106" t="inlineStr">
        <is>
          <t>FALUN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9842-2026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46072</v>
      </c>
      <c r="E1107" s="1" t="n">
        <v>46228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6456-2026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46055</v>
      </c>
      <c r="E1108" s="1" t="n">
        <v>46228</v>
      </c>
      <c r="F1108" t="inlineStr">
        <is>
          <t>DALARNAS LÄN</t>
        </is>
      </c>
      <c r="G1108" t="inlineStr">
        <is>
          <t>FALUN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24268-2026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46169</v>
      </c>
      <c r="E1109" s="1" t="n">
        <v>46228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9746-2026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46228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9606-2026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46228</v>
      </c>
      <c r="F1111" t="inlineStr">
        <is>
          <t>DALARNAS LÄN</t>
        </is>
      </c>
      <c r="G1111" t="inlineStr">
        <is>
          <t>FALUN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10482-2026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46077</v>
      </c>
      <c r="E1112" s="1" t="n">
        <v>46228</v>
      </c>
      <c r="F1112" t="inlineStr">
        <is>
          <t>DALARNAS LÄN</t>
        </is>
      </c>
      <c r="G1112" t="inlineStr">
        <is>
          <t>FALUN</t>
        </is>
      </c>
      <c r="H1112" t="inlineStr">
        <is>
          <t>Kyrkan</t>
        </is>
      </c>
      <c r="I1112" t="n">
        <v>5.1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47328-2023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45202</v>
      </c>
      <c r="E1113" s="1" t="n">
        <v>46228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24358-2026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46169</v>
      </c>
      <c r="E1114" s="1" t="n">
        <v>46228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11724-2026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46084</v>
      </c>
      <c r="E1115" s="1" t="n">
        <v>46228</v>
      </c>
      <c r="F1115" t="inlineStr">
        <is>
          <t>DALARNAS LÄN</t>
        </is>
      </c>
      <c r="G1115" t="inlineStr">
        <is>
          <t>FALUN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9696-2026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46072</v>
      </c>
      <c r="E1116" s="1" t="n">
        <v>46228</v>
      </c>
      <c r="F1116" t="inlineStr">
        <is>
          <t>DALARNAS LÄN</t>
        </is>
      </c>
      <c r="G1116" t="inlineStr">
        <is>
          <t>FALUN</t>
        </is>
      </c>
      <c r="I1116" t="n">
        <v>8.9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58508-2022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44902</v>
      </c>
      <c r="E1117" s="1" t="n">
        <v>46228</v>
      </c>
      <c r="F1117" t="inlineStr">
        <is>
          <t>DALARNAS LÄN</t>
        </is>
      </c>
      <c r="G1117" t="inlineStr">
        <is>
          <t>FALUN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10531-2026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46077</v>
      </c>
      <c r="E1118" s="1" t="n">
        <v>46228</v>
      </c>
      <c r="F1118" t="inlineStr">
        <is>
          <t>DALARNAS LÄN</t>
        </is>
      </c>
      <c r="G1118" t="inlineStr">
        <is>
          <t>FALUN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10867-2026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46078</v>
      </c>
      <c r="E1119" s="1" t="n">
        <v>46228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24046-2026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46168</v>
      </c>
      <c r="E1120" s="1" t="n">
        <v>46228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10325-2026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46076</v>
      </c>
      <c r="E1121" s="1" t="n">
        <v>46228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24226-2026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46168</v>
      </c>
      <c r="E1122" s="1" t="n">
        <v>46228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10539-2026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46077</v>
      </c>
      <c r="E1123" s="1" t="n">
        <v>46228</v>
      </c>
      <c r="F1123" t="inlineStr">
        <is>
          <t>DALARNAS LÄN</t>
        </is>
      </c>
      <c r="G1123" t="inlineStr">
        <is>
          <t>FALUN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10566-2026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46077</v>
      </c>
      <c r="E1124" s="1" t="n">
        <v>46228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10822-2026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46078</v>
      </c>
      <c r="E1125" s="1" t="n">
        <v>46228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10132-2026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46228</v>
      </c>
      <c r="F1126" t="inlineStr">
        <is>
          <t>DALARNAS LÄN</t>
        </is>
      </c>
      <c r="G1126" t="inlineStr">
        <is>
          <t>FALUN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24095-2026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46168</v>
      </c>
      <c r="E1127" s="1" t="n">
        <v>46228</v>
      </c>
      <c r="F1127" t="inlineStr">
        <is>
          <t>DALARNAS LÄN</t>
        </is>
      </c>
      <c r="G1127" t="inlineStr">
        <is>
          <t>FALUN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24192-2026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46168</v>
      </c>
      <c r="E1128" s="1" t="n">
        <v>46228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5225-2026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46049</v>
      </c>
      <c r="E1129" s="1" t="n">
        <v>46228</v>
      </c>
      <c r="F1129" t="inlineStr">
        <is>
          <t>DALARNAS LÄN</t>
        </is>
      </c>
      <c r="G1129" t="inlineStr">
        <is>
          <t>FALUN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10952-2026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46079</v>
      </c>
      <c r="E1130" s="1" t="n">
        <v>46228</v>
      </c>
      <c r="F1130" t="inlineStr">
        <is>
          <t>DALARNAS LÄN</t>
        </is>
      </c>
      <c r="G1130" t="inlineStr">
        <is>
          <t>FALUN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24364-2026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46169</v>
      </c>
      <c r="E1131" s="1" t="n">
        <v>46228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46036</v>
      </c>
      <c r="E1132" s="1" t="n">
        <v>46228</v>
      </c>
      <c r="F1132" t="inlineStr">
        <is>
          <t>DALARNAS LÄN</t>
        </is>
      </c>
      <c r="G1132" t="inlineStr">
        <is>
          <t>FALUN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4020-2026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46044</v>
      </c>
      <c r="E1133" s="1" t="n">
        <v>46228</v>
      </c>
      <c r="F1133" t="inlineStr">
        <is>
          <t>DALARNAS LÄN</t>
        </is>
      </c>
      <c r="G1133" t="inlineStr">
        <is>
          <t>FALUN</t>
        </is>
      </c>
      <c r="H1133" t="inlineStr">
        <is>
          <t>Kyrkan</t>
        </is>
      </c>
      <c r="I1133" t="n">
        <v>21.5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47767-2024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45588</v>
      </c>
      <c r="E1134" s="1" t="n">
        <v>46228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11140-2026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46079</v>
      </c>
      <c r="E1135" s="1" t="n">
        <v>46228</v>
      </c>
      <c r="F1135" t="inlineStr">
        <is>
          <t>DALARNAS LÄN</t>
        </is>
      </c>
      <c r="G1135" t="inlineStr">
        <is>
          <t>FALUN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24316-2026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46169</v>
      </c>
      <c r="E1136" s="1" t="n">
        <v>46228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12781-2026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46091</v>
      </c>
      <c r="E1137" s="1" t="n">
        <v>46228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11156-2026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46080</v>
      </c>
      <c r="E1138" s="1" t="n">
        <v>46228</v>
      </c>
      <c r="F1138" t="inlineStr">
        <is>
          <t>DALARNAS LÄN</t>
        </is>
      </c>
      <c r="G1138" t="inlineStr">
        <is>
          <t>FALUN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48589-2024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45593</v>
      </c>
      <c r="E1139" s="1" t="n">
        <v>46228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11080-2026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46079</v>
      </c>
      <c r="E1140" s="1" t="n">
        <v>46228</v>
      </c>
      <c r="F1140" t="inlineStr">
        <is>
          <t>DALARNAS LÄN</t>
        </is>
      </c>
      <c r="G1140" t="inlineStr">
        <is>
          <t>FALUN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11270-2026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46080</v>
      </c>
      <c r="E1141" s="1" t="n">
        <v>46228</v>
      </c>
      <c r="F1141" t="inlineStr">
        <is>
          <t>DALARNAS LÄN</t>
        </is>
      </c>
      <c r="G1141" t="inlineStr">
        <is>
          <t>FALUN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11306-2026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46080</v>
      </c>
      <c r="E1142" s="1" t="n">
        <v>46228</v>
      </c>
      <c r="F1142" t="inlineStr">
        <is>
          <t>DALARNAS LÄN</t>
        </is>
      </c>
      <c r="G1142" t="inlineStr">
        <is>
          <t>FALUN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46228</v>
      </c>
      <c r="F1143" t="inlineStr">
        <is>
          <t>DALARNAS LÄN</t>
        </is>
      </c>
      <c r="G1143" t="inlineStr">
        <is>
          <t>FALUN</t>
        </is>
      </c>
      <c r="I1143" t="n">
        <v>10.4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11275-2026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46080</v>
      </c>
      <c r="E1144" s="1" t="n">
        <v>46228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11050-2026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46079</v>
      </c>
      <c r="E1145" s="1" t="n">
        <v>46228</v>
      </c>
      <c r="F1145" t="inlineStr">
        <is>
          <t>DALARNAS LÄN</t>
        </is>
      </c>
      <c r="G1145" t="inlineStr">
        <is>
          <t>FALUN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53540-2022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44879</v>
      </c>
      <c r="E1146" s="1" t="n">
        <v>46228</v>
      </c>
      <c r="F1146" t="inlineStr">
        <is>
          <t>DALARNAS LÄN</t>
        </is>
      </c>
      <c r="G1146" t="inlineStr">
        <is>
          <t>FALUN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50123-2024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45600</v>
      </c>
      <c r="E1147" s="1" t="n">
        <v>46228</v>
      </c>
      <c r="F1147" t="inlineStr">
        <is>
          <t>DALARNAS LÄN</t>
        </is>
      </c>
      <c r="G1147" t="inlineStr">
        <is>
          <t>FALUN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41370-2025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45900</v>
      </c>
      <c r="E1148" s="1" t="n">
        <v>46228</v>
      </c>
      <c r="F1148" t="inlineStr">
        <is>
          <t>DALARNAS LÄN</t>
        </is>
      </c>
      <c r="G1148" t="inlineStr">
        <is>
          <t>FALUN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16888-2024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45411</v>
      </c>
      <c r="E1149" s="1" t="n">
        <v>46228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50266-2024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45600</v>
      </c>
      <c r="E1150" s="1" t="n">
        <v>46228</v>
      </c>
      <c r="F1150" t="inlineStr">
        <is>
          <t>DALARNAS LÄN</t>
        </is>
      </c>
      <c r="G1150" t="inlineStr">
        <is>
          <t>FALUN</t>
        </is>
      </c>
      <c r="I1150" t="n">
        <v>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11481-2026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46083</v>
      </c>
      <c r="E1151" s="1" t="n">
        <v>46228</v>
      </c>
      <c r="F1151" t="inlineStr">
        <is>
          <t>DALARNAS LÄN</t>
        </is>
      </c>
      <c r="G1151" t="inlineStr">
        <is>
          <t>FALUN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11554-2026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46084</v>
      </c>
      <c r="E1152" s="1" t="n">
        <v>46228</v>
      </c>
      <c r="F1152" t="inlineStr">
        <is>
          <t>DALARNAS LÄN</t>
        </is>
      </c>
      <c r="G1152" t="inlineStr">
        <is>
          <t>FALUN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24148-2026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46168</v>
      </c>
      <c r="E1153" s="1" t="n">
        <v>46228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13.6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11598-2026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46084</v>
      </c>
      <c r="E1154" s="1" t="n">
        <v>46228</v>
      </c>
      <c r="F1154" t="inlineStr">
        <is>
          <t>DALARNAS LÄN</t>
        </is>
      </c>
      <c r="G1154" t="inlineStr">
        <is>
          <t>FALUN</t>
        </is>
      </c>
      <c r="I1154" t="n">
        <v>9.9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11387-2026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46083</v>
      </c>
      <c r="E1155" s="1" t="n">
        <v>46228</v>
      </c>
      <c r="F1155" t="inlineStr">
        <is>
          <t>DALARNAS LÄN</t>
        </is>
      </c>
      <c r="G1155" t="inlineStr">
        <is>
          <t>FALUN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1466-2023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44937</v>
      </c>
      <c r="E1156" s="1" t="n">
        <v>46228</v>
      </c>
      <c r="F1156" t="inlineStr">
        <is>
          <t>DALARNAS LÄN</t>
        </is>
      </c>
      <c r="G1156" t="inlineStr">
        <is>
          <t>FALUN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1308-2026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46031</v>
      </c>
      <c r="E1157" s="1" t="n">
        <v>46228</v>
      </c>
      <c r="F1157" t="inlineStr">
        <is>
          <t>DALARNAS LÄN</t>
        </is>
      </c>
      <c r="G1157" t="inlineStr">
        <is>
          <t>FALUN</t>
        </is>
      </c>
      <c r="I1157" t="n">
        <v>9.5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11347-2026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46082</v>
      </c>
      <c r="E1158" s="1" t="n">
        <v>46228</v>
      </c>
      <c r="F1158" t="inlineStr">
        <is>
          <t>DALARNAS LÄN</t>
        </is>
      </c>
      <c r="G1158" t="inlineStr">
        <is>
          <t>FALUN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28817-2026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46195</v>
      </c>
      <c r="E1159" s="1" t="n">
        <v>46228</v>
      </c>
      <c r="F1159" t="inlineStr">
        <is>
          <t>DALARNAS LÄN</t>
        </is>
      </c>
      <c r="G1159" t="inlineStr">
        <is>
          <t>FALUN</t>
        </is>
      </c>
      <c r="H1159" t="inlineStr">
        <is>
          <t>Allmännings- och besparingsskogar</t>
        </is>
      </c>
      <c r="I1159" t="n">
        <v>14.2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1015-2026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46030</v>
      </c>
      <c r="E1160" s="1" t="n">
        <v>46228</v>
      </c>
      <c r="F1160" t="inlineStr">
        <is>
          <t>DALARNAS LÄN</t>
        </is>
      </c>
      <c r="G1160" t="inlineStr">
        <is>
          <t>FALUN</t>
        </is>
      </c>
      <c r="I1160" t="n">
        <v>3.6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11330-2026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46081</v>
      </c>
      <c r="E1161" s="1" t="n">
        <v>46228</v>
      </c>
      <c r="F1161" t="inlineStr">
        <is>
          <t>DALARNAS LÄN</t>
        </is>
      </c>
      <c r="G1161" t="inlineStr">
        <is>
          <t>FALUN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24025-2026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46228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4.5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11455-2026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46083</v>
      </c>
      <c r="E1163" s="1" t="n">
        <v>46228</v>
      </c>
      <c r="F1163" t="inlineStr">
        <is>
          <t>DALARNAS LÄN</t>
        </is>
      </c>
      <c r="G1163" t="inlineStr">
        <is>
          <t>FALUN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24107-2026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46168</v>
      </c>
      <c r="E1164" s="1" t="n">
        <v>46228</v>
      </c>
      <c r="F1164" t="inlineStr">
        <is>
          <t>DALARNAS LÄN</t>
        </is>
      </c>
      <c r="G1164" t="inlineStr">
        <is>
          <t>FALUN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11928-2026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46085</v>
      </c>
      <c r="E1165" s="1" t="n">
        <v>46228</v>
      </c>
      <c r="F1165" t="inlineStr">
        <is>
          <t>DALARNAS LÄN</t>
        </is>
      </c>
      <c r="G1165" t="inlineStr">
        <is>
          <t>FALUN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11930-2026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46085</v>
      </c>
      <c r="E1166" s="1" t="n">
        <v>46228</v>
      </c>
      <c r="F1166" t="inlineStr">
        <is>
          <t>DALARNAS LÄN</t>
        </is>
      </c>
      <c r="G1166" t="inlineStr">
        <is>
          <t>FALUN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11972-2026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46085</v>
      </c>
      <c r="E1167" s="1" t="n">
        <v>46228</v>
      </c>
      <c r="F1167" t="inlineStr">
        <is>
          <t>DALARNAS LÄN</t>
        </is>
      </c>
      <c r="G1167" t="inlineStr">
        <is>
          <t>FALUN</t>
        </is>
      </c>
      <c r="I1167" t="n">
        <v>5.7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11927-2026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46085</v>
      </c>
      <c r="E1168" s="1" t="n">
        <v>46228</v>
      </c>
      <c r="F1168" t="inlineStr">
        <is>
          <t>DALARNAS LÄN</t>
        </is>
      </c>
      <c r="G1168" t="inlineStr">
        <is>
          <t>FALUN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12094-2026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46086</v>
      </c>
      <c r="E1169" s="1" t="n">
        <v>46228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54082-2023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45232</v>
      </c>
      <c r="E1170" s="1" t="n">
        <v>46228</v>
      </c>
      <c r="F1170" t="inlineStr">
        <is>
          <t>DALARNAS LÄN</t>
        </is>
      </c>
      <c r="G1170" t="inlineStr">
        <is>
          <t>FALUN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24589-2026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46170</v>
      </c>
      <c r="E1171" s="1" t="n">
        <v>46228</v>
      </c>
      <c r="F1171" t="inlineStr">
        <is>
          <t>DALARNAS LÄN</t>
        </is>
      </c>
      <c r="G1171" t="inlineStr">
        <is>
          <t>FALUN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12041-2026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46086</v>
      </c>
      <c r="E1172" s="1" t="n">
        <v>46228</v>
      </c>
      <c r="F1172" t="inlineStr">
        <is>
          <t>DALARNAS LÄN</t>
        </is>
      </c>
      <c r="G1172" t="inlineStr">
        <is>
          <t>FALUN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55542-2023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45238</v>
      </c>
      <c r="E1173" s="1" t="n">
        <v>46228</v>
      </c>
      <c r="F1173" t="inlineStr">
        <is>
          <t>DALARNAS LÄN</t>
        </is>
      </c>
      <c r="G1173" t="inlineStr">
        <is>
          <t>FALUN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12507-2026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46228</v>
      </c>
      <c r="F1174" t="inlineStr">
        <is>
          <t>DALARNAS LÄN</t>
        </is>
      </c>
      <c r="G1174" t="inlineStr">
        <is>
          <t>FALUN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12689-2026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46090</v>
      </c>
      <c r="E1175" s="1" t="n">
        <v>46228</v>
      </c>
      <c r="F1175" t="inlineStr">
        <is>
          <t>DALARNAS LÄN</t>
        </is>
      </c>
      <c r="G1175" t="inlineStr">
        <is>
          <t>FALUN</t>
        </is>
      </c>
      <c r="H1175" t="inlineStr">
        <is>
          <t>Allmännings- och besparingsskogar</t>
        </is>
      </c>
      <c r="I1175" t="n">
        <v>122.4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12542-2026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46228</v>
      </c>
      <c r="F1176" t="inlineStr">
        <is>
          <t>DALARNAS LÄN</t>
        </is>
      </c>
      <c r="G1176" t="inlineStr">
        <is>
          <t>FALUN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12195-2026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46086</v>
      </c>
      <c r="E1177" s="1" t="n">
        <v>46228</v>
      </c>
      <c r="F1177" t="inlineStr">
        <is>
          <t>DALARNAS LÄN</t>
        </is>
      </c>
      <c r="G1177" t="inlineStr">
        <is>
          <t>FALUN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24694-2023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45084</v>
      </c>
      <c r="E1178" s="1" t="n">
        <v>46228</v>
      </c>
      <c r="F1178" t="inlineStr">
        <is>
          <t>DALARNAS LÄN</t>
        </is>
      </c>
      <c r="G1178" t="inlineStr">
        <is>
          <t>FALUN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12245-2026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46087</v>
      </c>
      <c r="E1179" s="1" t="n">
        <v>46228</v>
      </c>
      <c r="F1179" t="inlineStr">
        <is>
          <t>DALARNAS LÄN</t>
        </is>
      </c>
      <c r="G1179" t="inlineStr">
        <is>
          <t>FALUN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24507-2026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46170</v>
      </c>
      <c r="E1180" s="1" t="n">
        <v>46228</v>
      </c>
      <c r="F1180" t="inlineStr">
        <is>
          <t>DALARNAS LÄN</t>
        </is>
      </c>
      <c r="G1180" t="inlineStr">
        <is>
          <t>FALUN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24050-2026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46168</v>
      </c>
      <c r="E1181" s="1" t="n">
        <v>46228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12504-2026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46228</v>
      </c>
      <c r="F1182" t="inlineStr">
        <is>
          <t>DALARNAS LÄN</t>
        </is>
      </c>
      <c r="G1182" t="inlineStr">
        <is>
          <t>FALUN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12466-2026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46090</v>
      </c>
      <c r="E1183" s="1" t="n">
        <v>46228</v>
      </c>
      <c r="F1183" t="inlineStr">
        <is>
          <t>DALARNAS LÄN</t>
        </is>
      </c>
      <c r="G1183" t="inlineStr">
        <is>
          <t>FALUN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12695-2026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46090</v>
      </c>
      <c r="E1184" s="1" t="n">
        <v>46228</v>
      </c>
      <c r="F1184" t="inlineStr">
        <is>
          <t>DALARNAS LÄN</t>
        </is>
      </c>
      <c r="G1184" t="inlineStr">
        <is>
          <t>FALUN</t>
        </is>
      </c>
      <c r="H1184" t="inlineStr">
        <is>
          <t>Allmännings- och besparingsskogar</t>
        </is>
      </c>
      <c r="I1184" t="n">
        <v>9.4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12397-2026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46087</v>
      </c>
      <c r="E1185" s="1" t="n">
        <v>46228</v>
      </c>
      <c r="F1185" t="inlineStr">
        <is>
          <t>DALARNAS LÄN</t>
        </is>
      </c>
      <c r="G1185" t="inlineStr">
        <is>
          <t>FALUN</t>
        </is>
      </c>
      <c r="H1185" t="inlineStr">
        <is>
          <t>Allmännings- och besparingsskogar</t>
        </is>
      </c>
      <c r="I1185" t="n">
        <v>44.4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12483-2026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46090</v>
      </c>
      <c r="E1186" s="1" t="n">
        <v>46228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38.7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12501-2026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46090</v>
      </c>
      <c r="E1187" s="1" t="n">
        <v>46228</v>
      </c>
      <c r="F1187" t="inlineStr">
        <is>
          <t>DALARNAS LÄN</t>
        </is>
      </c>
      <c r="G1187" t="inlineStr">
        <is>
          <t>FALUN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12512-2026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46228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12685-2026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46090</v>
      </c>
      <c r="E1189" s="1" t="n">
        <v>46228</v>
      </c>
      <c r="F1189" t="inlineStr">
        <is>
          <t>DALARNAS LÄN</t>
        </is>
      </c>
      <c r="G1189" t="inlineStr">
        <is>
          <t>FALUN</t>
        </is>
      </c>
      <c r="I1189" t="n">
        <v>6.5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22941-2023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45072</v>
      </c>
      <c r="E1190" s="1" t="n">
        <v>46228</v>
      </c>
      <c r="F1190" t="inlineStr">
        <is>
          <t>DALARNAS LÄN</t>
        </is>
      </c>
      <c r="G1190" t="inlineStr">
        <is>
          <t>FALUN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4294-2025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45685</v>
      </c>
      <c r="E1191" s="1" t="n">
        <v>46228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12855-2026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46092</v>
      </c>
      <c r="E1192" s="1" t="n">
        <v>46228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30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12986-2026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46092</v>
      </c>
      <c r="E1193" s="1" t="n">
        <v>46228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10219-2026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46228</v>
      </c>
      <c r="F1194" t="inlineStr">
        <is>
          <t>DALARNAS LÄN</t>
        </is>
      </c>
      <c r="G1194" t="inlineStr">
        <is>
          <t>FALUN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12950-2026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46092</v>
      </c>
      <c r="E1195" s="1" t="n">
        <v>46228</v>
      </c>
      <c r="F1195" t="inlineStr">
        <is>
          <t>DALARNAS LÄN</t>
        </is>
      </c>
      <c r="G1195" t="inlineStr">
        <is>
          <t>FALUN</t>
        </is>
      </c>
      <c r="I1195" t="n">
        <v>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12885-2026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46092</v>
      </c>
      <c r="E1196" s="1" t="n">
        <v>46228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4.6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12814-2026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46092</v>
      </c>
      <c r="E1197" s="1" t="n">
        <v>46228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20.4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46228</v>
      </c>
      <c r="F1198" t="inlineStr">
        <is>
          <t>DALARNAS LÄN</t>
        </is>
      </c>
      <c r="G1198" t="inlineStr">
        <is>
          <t>FALUN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12775-2026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46091</v>
      </c>
      <c r="E1199" s="1" t="n">
        <v>46228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10834-2023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44991</v>
      </c>
      <c r="E1200" s="1" t="n">
        <v>46228</v>
      </c>
      <c r="F1200" t="inlineStr">
        <is>
          <t>DALARNAS LÄN</t>
        </is>
      </c>
      <c r="G1200" t="inlineStr">
        <is>
          <t>FALUN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24653-2026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46228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4.9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24675-2026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46228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13541-2026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46094</v>
      </c>
      <c r="E1203" s="1" t="n">
        <v>46228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8.5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13454-2026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46094</v>
      </c>
      <c r="E1204" s="1" t="n">
        <v>46228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13209-2026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46093</v>
      </c>
      <c r="E1205" s="1" t="n">
        <v>46228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5.8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3185-2026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46041</v>
      </c>
      <c r="E1206" s="1" t="n">
        <v>46228</v>
      </c>
      <c r="F1206" t="inlineStr">
        <is>
          <t>DALARNAS LÄN</t>
        </is>
      </c>
      <c r="G1206" t="inlineStr">
        <is>
          <t>FALUN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24766-2026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46171</v>
      </c>
      <c r="E1207" s="1" t="n">
        <v>46228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13262-2026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46093</v>
      </c>
      <c r="E1208" s="1" t="n">
        <v>46228</v>
      </c>
      <c r="F1208" t="inlineStr">
        <is>
          <t>DALARNAS LÄN</t>
        </is>
      </c>
      <c r="G1208" t="inlineStr">
        <is>
          <t>FALUN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13101-2026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46093</v>
      </c>
      <c r="E1209" s="1" t="n">
        <v>46228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13078-2026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46093</v>
      </c>
      <c r="E1210" s="1" t="n">
        <v>46228</v>
      </c>
      <c r="F1210" t="inlineStr">
        <is>
          <t>DALARNAS LÄN</t>
        </is>
      </c>
      <c r="G1210" t="inlineStr">
        <is>
          <t>FALUN</t>
        </is>
      </c>
      <c r="I1210" t="n">
        <v>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13219-2026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46093</v>
      </c>
      <c r="E1211" s="1" t="n">
        <v>46228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78.3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13261-2026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46093</v>
      </c>
      <c r="E1212" s="1" t="n">
        <v>46228</v>
      </c>
      <c r="F1212" t="inlineStr">
        <is>
          <t>DALARNAS LÄN</t>
        </is>
      </c>
      <c r="G1212" t="inlineStr">
        <is>
          <t>FALUN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35981-2022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44802</v>
      </c>
      <c r="E1213" s="1" t="n">
        <v>46228</v>
      </c>
      <c r="F1213" t="inlineStr">
        <is>
          <t>DALARNAS LÄN</t>
        </is>
      </c>
      <c r="G1213" t="inlineStr">
        <is>
          <t>FALUN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41933-2024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45561</v>
      </c>
      <c r="E1214" s="1" t="n">
        <v>46228</v>
      </c>
      <c r="F1214" t="inlineStr">
        <is>
          <t>DALARNAS LÄN</t>
        </is>
      </c>
      <c r="G1214" t="inlineStr">
        <is>
          <t>FALUN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44531-2024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46228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45665-2024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45579</v>
      </c>
      <c r="E1216" s="1" t="n">
        <v>46228</v>
      </c>
      <c r="F1216" t="inlineStr">
        <is>
          <t>DALARNAS LÄN</t>
        </is>
      </c>
      <c r="G1216" t="inlineStr">
        <is>
          <t>FALUN</t>
        </is>
      </c>
      <c r="I1216" t="n">
        <v>0.3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31095-2026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46216</v>
      </c>
      <c r="E1217" s="1" t="n">
        <v>46228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13829-2026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46098</v>
      </c>
      <c r="E1218" s="1" t="n">
        <v>46228</v>
      </c>
      <c r="F1218" t="inlineStr">
        <is>
          <t>DALARNAS LÄN</t>
        </is>
      </c>
      <c r="G1218" t="inlineStr">
        <is>
          <t>FALUN</t>
        </is>
      </c>
      <c r="I1218" t="n">
        <v>13.1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13711-2026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46097</v>
      </c>
      <c r="E1219" s="1" t="n">
        <v>46228</v>
      </c>
      <c r="F1219" t="inlineStr">
        <is>
          <t>DALARNAS LÄN</t>
        </is>
      </c>
      <c r="G1219" t="inlineStr">
        <is>
          <t>FALUN</t>
        </is>
      </c>
      <c r="I1219" t="n">
        <v>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12847-2025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45733</v>
      </c>
      <c r="E1220" s="1" t="n">
        <v>46228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13786-2026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46097</v>
      </c>
      <c r="E1221" s="1" t="n">
        <v>46228</v>
      </c>
      <c r="F1221" t="inlineStr">
        <is>
          <t>DALARNAS LÄN</t>
        </is>
      </c>
      <c r="G1221" t="inlineStr">
        <is>
          <t>FALUN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14022-2026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46098</v>
      </c>
      <c r="E1222" s="1" t="n">
        <v>46228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33.9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13816-2026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46228</v>
      </c>
      <c r="F1223" t="inlineStr">
        <is>
          <t>DALARNAS LÄN</t>
        </is>
      </c>
      <c r="G1223" t="inlineStr">
        <is>
          <t>FALUN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13817-2026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46098</v>
      </c>
      <c r="E1224" s="1" t="n">
        <v>46228</v>
      </c>
      <c r="F1224" t="inlineStr">
        <is>
          <t>DALARNAS LÄN</t>
        </is>
      </c>
      <c r="G1224" t="inlineStr">
        <is>
          <t>FALUN</t>
        </is>
      </c>
      <c r="I1224" t="n">
        <v>19.6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13782-2026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46097</v>
      </c>
      <c r="E1225" s="1" t="n">
        <v>46228</v>
      </c>
      <c r="F1225" t="inlineStr">
        <is>
          <t>DALARNAS LÄN</t>
        </is>
      </c>
      <c r="G1225" t="inlineStr">
        <is>
          <t>FALUN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14023-2026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46098</v>
      </c>
      <c r="E1226" s="1" t="n">
        <v>46228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38.2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46228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13896-2026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46098</v>
      </c>
      <c r="E1228" s="1" t="n">
        <v>46228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13634-2026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46097</v>
      </c>
      <c r="E1229" s="1" t="n">
        <v>46228</v>
      </c>
      <c r="F1229" t="inlineStr">
        <is>
          <t>DALARNAS LÄN</t>
        </is>
      </c>
      <c r="G1229" t="inlineStr">
        <is>
          <t>FALUN</t>
        </is>
      </c>
      <c r="I1229" t="n">
        <v>4.1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13636-2026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46097</v>
      </c>
      <c r="E1230" s="1" t="n">
        <v>46228</v>
      </c>
      <c r="F1230" t="inlineStr">
        <is>
          <t>DALARNAS LÄN</t>
        </is>
      </c>
      <c r="G1230" t="inlineStr">
        <is>
          <t>FALUN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13592-2026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46096</v>
      </c>
      <c r="E1231" s="1" t="n">
        <v>46228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30.3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23217-2026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46162</v>
      </c>
      <c r="E1232" s="1" t="n">
        <v>46228</v>
      </c>
      <c r="F1232" t="inlineStr">
        <is>
          <t>DALARNAS LÄN</t>
        </is>
      </c>
      <c r="G1232" t="inlineStr">
        <is>
          <t>FALUN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13567-2024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45389</v>
      </c>
      <c r="E1233" s="1" t="n">
        <v>46228</v>
      </c>
      <c r="F1233" t="inlineStr">
        <is>
          <t>DALARNAS LÄN</t>
        </is>
      </c>
      <c r="G1233" t="inlineStr">
        <is>
          <t>FALUN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13784-2026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46097</v>
      </c>
      <c r="E1234" s="1" t="n">
        <v>46228</v>
      </c>
      <c r="F1234" t="inlineStr">
        <is>
          <t>DALARNAS LÄN</t>
        </is>
      </c>
      <c r="G1234" t="inlineStr">
        <is>
          <t>FALUN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14212-2026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46099</v>
      </c>
      <c r="E1235" s="1" t="n">
        <v>46228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14214-2026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46228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14231-2026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46099</v>
      </c>
      <c r="E1237" s="1" t="n">
        <v>46228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14407-2026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46100</v>
      </c>
      <c r="E1238" s="1" t="n">
        <v>46228</v>
      </c>
      <c r="F1238" t="inlineStr">
        <is>
          <t>DALARNAS LÄN</t>
        </is>
      </c>
      <c r="G1238" t="inlineStr">
        <is>
          <t>FALUN</t>
        </is>
      </c>
      <c r="I1238" t="n">
        <v>9.6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49642-2024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45596</v>
      </c>
      <c r="E1239" s="1" t="n">
        <v>46228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49663-2024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45596</v>
      </c>
      <c r="E1240" s="1" t="n">
        <v>46228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14571-2026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46100</v>
      </c>
      <c r="E1241" s="1" t="n">
        <v>46228</v>
      </c>
      <c r="F1241" t="inlineStr">
        <is>
          <t>DALARNAS LÄN</t>
        </is>
      </c>
      <c r="G1241" t="inlineStr">
        <is>
          <t>FALUN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14409-2026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46228</v>
      </c>
      <c r="F1242" t="inlineStr">
        <is>
          <t>DALARNAS LÄN</t>
        </is>
      </c>
      <c r="G1242" t="inlineStr">
        <is>
          <t>FALUN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24935-2026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46174</v>
      </c>
      <c r="E1243" s="1" t="n">
        <v>46228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14040-2026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46098</v>
      </c>
      <c r="E1244" s="1" t="n">
        <v>46228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14122-2026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46099</v>
      </c>
      <c r="E1245" s="1" t="n">
        <v>46228</v>
      </c>
      <c r="F1245" t="inlineStr">
        <is>
          <t>DALARNAS LÄN</t>
        </is>
      </c>
      <c r="G1245" t="inlineStr">
        <is>
          <t>FALUN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14209-2026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46099</v>
      </c>
      <c r="E1246" s="1" t="n">
        <v>46228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46228</v>
      </c>
      <c r="F1247" t="inlineStr">
        <is>
          <t>DALARNAS LÄN</t>
        </is>
      </c>
      <c r="G1247" t="inlineStr">
        <is>
          <t>FALUN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33548-2022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44789</v>
      </c>
      <c r="E1248" s="1" t="n">
        <v>46228</v>
      </c>
      <c r="F1248" t="inlineStr">
        <is>
          <t>DALARNAS LÄN</t>
        </is>
      </c>
      <c r="G1248" t="inlineStr">
        <is>
          <t>FALUN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14558-2026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46228</v>
      </c>
      <c r="F1249" t="inlineStr">
        <is>
          <t>DALARNAS LÄN</t>
        </is>
      </c>
      <c r="G1249" t="inlineStr">
        <is>
          <t>FALUN</t>
        </is>
      </c>
      <c r="H1249" t="inlineStr">
        <is>
          <t>Allmännings- och besparingsskogar</t>
        </is>
      </c>
      <c r="I1249" t="n">
        <v>9.800000000000001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14042-2026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46098</v>
      </c>
      <c r="E1250" s="1" t="n">
        <v>46228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14310-2026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46099</v>
      </c>
      <c r="E1251" s="1" t="n">
        <v>46228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29.8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14311-2026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46099</v>
      </c>
      <c r="E1252" s="1" t="n">
        <v>46228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63.9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14199-2026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46099</v>
      </c>
      <c r="E1253" s="1" t="n">
        <v>46228</v>
      </c>
      <c r="F1253" t="inlineStr">
        <is>
          <t>DALARNAS LÄN</t>
        </is>
      </c>
      <c r="G1253" t="inlineStr">
        <is>
          <t>FALUN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14217-2026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46099</v>
      </c>
      <c r="E1254" s="1" t="n">
        <v>46228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24.5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14373-2026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46100</v>
      </c>
      <c r="E1255" s="1" t="n">
        <v>46228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7.2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14215-2026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46099</v>
      </c>
      <c r="E1256" s="1" t="n">
        <v>46228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4.2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14559-2026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46100</v>
      </c>
      <c r="E1257" s="1" t="n">
        <v>46228</v>
      </c>
      <c r="F1257" t="inlineStr">
        <is>
          <t>DALARNAS LÄN</t>
        </is>
      </c>
      <c r="G1257" t="inlineStr">
        <is>
          <t>FALUN</t>
        </is>
      </c>
      <c r="H1257" t="inlineStr">
        <is>
          <t>Allmännings- och besparingsskogar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14850-2026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46104</v>
      </c>
      <c r="E1258" s="1" t="n">
        <v>46228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14907-2026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46104</v>
      </c>
      <c r="E1259" s="1" t="n">
        <v>46228</v>
      </c>
      <c r="F1259" t="inlineStr">
        <is>
          <t>DALARNAS LÄN</t>
        </is>
      </c>
      <c r="G1259" t="inlineStr">
        <is>
          <t>FALUN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14841-2026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46104</v>
      </c>
      <c r="E1260" s="1" t="n">
        <v>46228</v>
      </c>
      <c r="F1260" t="inlineStr">
        <is>
          <t>DALARNAS LÄN</t>
        </is>
      </c>
      <c r="G1260" t="inlineStr">
        <is>
          <t>FALUN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39135-2022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44817</v>
      </c>
      <c r="E1261" s="1" t="n">
        <v>46228</v>
      </c>
      <c r="F1261" t="inlineStr">
        <is>
          <t>DALARNAS LÄN</t>
        </is>
      </c>
      <c r="G1261" t="inlineStr">
        <is>
          <t>FALUN</t>
        </is>
      </c>
      <c r="I1261" t="n">
        <v>3.4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14806-2026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46103</v>
      </c>
      <c r="E1262" s="1" t="n">
        <v>46228</v>
      </c>
      <c r="F1262" t="inlineStr">
        <is>
          <t>DALARNAS LÄN</t>
        </is>
      </c>
      <c r="G1262" t="inlineStr">
        <is>
          <t>FALUN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14961-2026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46228</v>
      </c>
      <c r="F1263" t="inlineStr">
        <is>
          <t>DALARNAS LÄN</t>
        </is>
      </c>
      <c r="G1263" t="inlineStr">
        <is>
          <t>FALUN</t>
        </is>
      </c>
      <c r="I1263" t="n">
        <v>4.2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33912-2024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45523</v>
      </c>
      <c r="E1264" s="1" t="n">
        <v>46228</v>
      </c>
      <c r="F1264" t="inlineStr">
        <is>
          <t>DALARNAS LÄN</t>
        </is>
      </c>
      <c r="G1264" t="inlineStr">
        <is>
          <t>FALUN</t>
        </is>
      </c>
      <c r="H1264" t="inlineStr">
        <is>
          <t>Allmännings- och besparingsskogar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14964-2026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46104</v>
      </c>
      <c r="E1265" s="1" t="n">
        <v>46228</v>
      </c>
      <c r="F1265" t="inlineStr">
        <is>
          <t>DALARNAS LÄN</t>
        </is>
      </c>
      <c r="G1265" t="inlineStr">
        <is>
          <t>FALUN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58343-2023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45250</v>
      </c>
      <c r="E1266" s="1" t="n">
        <v>46228</v>
      </c>
      <c r="F1266" t="inlineStr">
        <is>
          <t>DALARNAS LÄN</t>
        </is>
      </c>
      <c r="G1266" t="inlineStr">
        <is>
          <t>FALUN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58388-2023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45250</v>
      </c>
      <c r="E1267" s="1" t="n">
        <v>46228</v>
      </c>
      <c r="F1267" t="inlineStr">
        <is>
          <t>DALARNAS LÄN</t>
        </is>
      </c>
      <c r="G1267" t="inlineStr">
        <is>
          <t>FALUN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14679-2026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46228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7.1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24789-2026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46171</v>
      </c>
      <c r="E1269" s="1" t="n">
        <v>46228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24797-2026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46171</v>
      </c>
      <c r="E1270" s="1" t="n">
        <v>46228</v>
      </c>
      <c r="F1270" t="inlineStr">
        <is>
          <t>DALARNAS LÄN</t>
        </is>
      </c>
      <c r="G1270" t="inlineStr">
        <is>
          <t>FALUN</t>
        </is>
      </c>
      <c r="I1270" t="n">
        <v>4.8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14847-2026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46104</v>
      </c>
      <c r="E1271" s="1" t="n">
        <v>46228</v>
      </c>
      <c r="F1271" t="inlineStr">
        <is>
          <t>DALARNAS LÄN</t>
        </is>
      </c>
      <c r="G1271" t="inlineStr">
        <is>
          <t>FALUN</t>
        </is>
      </c>
      <c r="I1271" t="n">
        <v>14.9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14932-2026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46104</v>
      </c>
      <c r="E1272" s="1" t="n">
        <v>46228</v>
      </c>
      <c r="F1272" t="inlineStr">
        <is>
          <t>DALARNAS LÄN</t>
        </is>
      </c>
      <c r="G1272" t="inlineStr">
        <is>
          <t>FALUN</t>
        </is>
      </c>
      <c r="I1272" t="n">
        <v>4.5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25032-2026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46174</v>
      </c>
      <c r="E1273" s="1" t="n">
        <v>46228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4.7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10523-2023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44987</v>
      </c>
      <c r="E1274" s="1" t="n">
        <v>46228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27998-2026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46195</v>
      </c>
      <c r="E1275" s="1" t="n">
        <v>46228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7.2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15139-2026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46104</v>
      </c>
      <c r="E1276" s="1" t="n">
        <v>46228</v>
      </c>
      <c r="F1276" t="inlineStr">
        <is>
          <t>DALARNAS LÄN</t>
        </is>
      </c>
      <c r="G1276" t="inlineStr">
        <is>
          <t>FALUN</t>
        </is>
      </c>
      <c r="H1276" t="inlineStr">
        <is>
          <t>Allmännings- och besparingsskogar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24934-2026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46174</v>
      </c>
      <c r="E1277" s="1" t="n">
        <v>46228</v>
      </c>
      <c r="F1277" t="inlineStr">
        <is>
          <t>DALARNAS LÄN</t>
        </is>
      </c>
      <c r="G1277" t="inlineStr">
        <is>
          <t>FALUN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14657-2026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46101</v>
      </c>
      <c r="E1278" s="1" t="n">
        <v>46228</v>
      </c>
      <c r="F1278" t="inlineStr">
        <is>
          <t>DALARNAS LÄN</t>
        </is>
      </c>
      <c r="G1278" t="inlineStr">
        <is>
          <t>FALUN</t>
        </is>
      </c>
      <c r="I1278" t="n">
        <v>3.3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26770-2024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45470</v>
      </c>
      <c r="E1279" s="1" t="n">
        <v>46228</v>
      </c>
      <c r="F1279" t="inlineStr">
        <is>
          <t>DALARNAS LÄN</t>
        </is>
      </c>
      <c r="G1279" t="inlineStr">
        <is>
          <t>FALUN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15642-2026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46106</v>
      </c>
      <c r="E1280" s="1" t="n">
        <v>46228</v>
      </c>
      <c r="F1280" t="inlineStr">
        <is>
          <t>DALARNAS LÄN</t>
        </is>
      </c>
      <c r="G1280" t="inlineStr">
        <is>
          <t>FALUN</t>
        </is>
      </c>
      <c r="I1280" t="n">
        <v>15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15123-2026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46105</v>
      </c>
      <c r="E1281" s="1" t="n">
        <v>46228</v>
      </c>
      <c r="F1281" t="inlineStr">
        <is>
          <t>DALARNAS LÄN</t>
        </is>
      </c>
      <c r="G1281" t="inlineStr">
        <is>
          <t>FALUN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15133-2026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46105</v>
      </c>
      <c r="E1282" s="1" t="n">
        <v>46228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15085-2026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46105</v>
      </c>
      <c r="E1283" s="1" t="n">
        <v>46228</v>
      </c>
      <c r="F1283" t="inlineStr">
        <is>
          <t>DALARNAS LÄN</t>
        </is>
      </c>
      <c r="G1283" t="inlineStr">
        <is>
          <t>FALUN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24662-2026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46171</v>
      </c>
      <c r="E1284" s="1" t="n">
        <v>46228</v>
      </c>
      <c r="F1284" t="inlineStr">
        <is>
          <t>DALARNAS LÄN</t>
        </is>
      </c>
      <c r="G1284" t="inlineStr">
        <is>
          <t>FALUN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24671-2026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46228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15550-2026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46106</v>
      </c>
      <c r="E1286" s="1" t="n">
        <v>46228</v>
      </c>
      <c r="F1286" t="inlineStr">
        <is>
          <t>DALARNAS LÄN</t>
        </is>
      </c>
      <c r="G1286" t="inlineStr">
        <is>
          <t>FALUN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15670-2026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46106</v>
      </c>
      <c r="E1287" s="1" t="n">
        <v>46228</v>
      </c>
      <c r="F1287" t="inlineStr">
        <is>
          <t>DALARNAS LÄN</t>
        </is>
      </c>
      <c r="G1287" t="inlineStr">
        <is>
          <t>FALUN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24779-2026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46171</v>
      </c>
      <c r="E1288" s="1" t="n">
        <v>46228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6183-2026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46055</v>
      </c>
      <c r="E1289" s="1" t="n">
        <v>46228</v>
      </c>
      <c r="F1289" t="inlineStr">
        <is>
          <t>DALARNAS LÄN</t>
        </is>
      </c>
      <c r="G1289" t="inlineStr">
        <is>
          <t>FALUN</t>
        </is>
      </c>
      <c r="I1289" t="n">
        <v>9.6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46228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29084-2023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45105</v>
      </c>
      <c r="E1291" s="1" t="n">
        <v>46228</v>
      </c>
      <c r="F1291" t="inlineStr">
        <is>
          <t>DALARNAS LÄN</t>
        </is>
      </c>
      <c r="G1291" t="inlineStr">
        <is>
          <t>FALUN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15208-2026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46228</v>
      </c>
      <c r="F1292" t="inlineStr">
        <is>
          <t>DALARNAS LÄN</t>
        </is>
      </c>
      <c r="G1292" t="inlineStr">
        <is>
          <t>FALUN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15333-2026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46105</v>
      </c>
      <c r="E1293" s="1" t="n">
        <v>46228</v>
      </c>
      <c r="F1293" t="inlineStr">
        <is>
          <t>DALARNAS LÄN</t>
        </is>
      </c>
      <c r="G1293" t="inlineStr">
        <is>
          <t>FALUN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6301-2026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46055</v>
      </c>
      <c r="E1294" s="1" t="n">
        <v>46228</v>
      </c>
      <c r="F1294" t="inlineStr">
        <is>
          <t>DALARNAS LÄN</t>
        </is>
      </c>
      <c r="G1294" t="inlineStr">
        <is>
          <t>FALUN</t>
        </is>
      </c>
      <c r="I1294" t="n">
        <v>12.4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15169-2026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46105</v>
      </c>
      <c r="E1295" s="1" t="n">
        <v>46228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33.4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15366-2026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46105</v>
      </c>
      <c r="E1296" s="1" t="n">
        <v>46228</v>
      </c>
      <c r="F1296" t="inlineStr">
        <is>
          <t>DALARNAS LÄN</t>
        </is>
      </c>
      <c r="G1296" t="inlineStr">
        <is>
          <t>FALUN</t>
        </is>
      </c>
      <c r="I1296" t="n">
        <v>5.2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31084-2023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45113</v>
      </c>
      <c r="E1297" s="1" t="n">
        <v>46228</v>
      </c>
      <c r="F1297" t="inlineStr">
        <is>
          <t>DALARNAS LÄN</t>
        </is>
      </c>
      <c r="G1297" t="inlineStr">
        <is>
          <t>FALUN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15086-2026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46105</v>
      </c>
      <c r="E1298" s="1" t="n">
        <v>46228</v>
      </c>
      <c r="F1298" t="inlineStr">
        <is>
          <t>DALARNAS LÄN</t>
        </is>
      </c>
      <c r="G1298" t="inlineStr">
        <is>
          <t>FALUN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25307-2026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46176</v>
      </c>
      <c r="E1299" s="1" t="n">
        <v>46228</v>
      </c>
      <c r="F1299" t="inlineStr">
        <is>
          <t>DALARNAS LÄN</t>
        </is>
      </c>
      <c r="G1299" t="inlineStr">
        <is>
          <t>FALUN</t>
        </is>
      </c>
      <c r="H1299" t="inlineStr">
        <is>
          <t>Sveaskog</t>
        </is>
      </c>
      <c r="I1299" t="n">
        <v>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15954-2026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46108</v>
      </c>
      <c r="E1300" s="1" t="n">
        <v>46228</v>
      </c>
      <c r="F1300" t="inlineStr">
        <is>
          <t>DALARNAS LÄN</t>
        </is>
      </c>
      <c r="G1300" t="inlineStr">
        <is>
          <t>FALUN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16073-2026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46108</v>
      </c>
      <c r="E1301" s="1" t="n">
        <v>46228</v>
      </c>
      <c r="F1301" t="inlineStr">
        <is>
          <t>DALARNAS LÄN</t>
        </is>
      </c>
      <c r="G1301" t="inlineStr">
        <is>
          <t>FALUN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15637-2026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46106</v>
      </c>
      <c r="E1302" s="1" t="n">
        <v>46228</v>
      </c>
      <c r="F1302" t="inlineStr">
        <is>
          <t>DALARNAS LÄN</t>
        </is>
      </c>
      <c r="G1302" t="inlineStr">
        <is>
          <t>FALUN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15737-2026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46107</v>
      </c>
      <c r="E1303" s="1" t="n">
        <v>46228</v>
      </c>
      <c r="F1303" t="inlineStr">
        <is>
          <t>DALARNAS LÄN</t>
        </is>
      </c>
      <c r="G1303" t="inlineStr">
        <is>
          <t>FALUN</t>
        </is>
      </c>
      <c r="I1303" t="n">
        <v>2.5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46176</v>
      </c>
      <c r="E1304" s="1" t="n">
        <v>46228</v>
      </c>
      <c r="F1304" t="inlineStr">
        <is>
          <t>DALARNAS LÄN</t>
        </is>
      </c>
      <c r="G1304" t="inlineStr">
        <is>
          <t>FALUN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25550-2026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46177</v>
      </c>
      <c r="E1305" s="1" t="n">
        <v>46228</v>
      </c>
      <c r="F1305" t="inlineStr">
        <is>
          <t>DALARNAS LÄN</t>
        </is>
      </c>
      <c r="G1305" t="inlineStr">
        <is>
          <t>FALUN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16378-2026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46111</v>
      </c>
      <c r="E1306" s="1" t="n">
        <v>46228</v>
      </c>
      <c r="F1306" t="inlineStr">
        <is>
          <t>DALARNAS LÄN</t>
        </is>
      </c>
      <c r="G1306" t="inlineStr">
        <is>
          <t>FALUN</t>
        </is>
      </c>
      <c r="H1306" t="inlineStr">
        <is>
          <t>Allmännings- och besparingsskogar</t>
        </is>
      </c>
      <c r="I1306" t="n">
        <v>6.3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16379-2026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46111</v>
      </c>
      <c r="E1307" s="1" t="n">
        <v>46228</v>
      </c>
      <c r="F1307" t="inlineStr">
        <is>
          <t>DALARNAS LÄN</t>
        </is>
      </c>
      <c r="G1307" t="inlineStr">
        <is>
          <t>FALUN</t>
        </is>
      </c>
      <c r="H1307" t="inlineStr">
        <is>
          <t>Allmännings- och besparingsskogar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16303-2026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46111</v>
      </c>
      <c r="E1308" s="1" t="n">
        <v>46228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16274-2026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46111</v>
      </c>
      <c r="E1309" s="1" t="n">
        <v>46228</v>
      </c>
      <c r="F1309" t="inlineStr">
        <is>
          <t>DALARNAS LÄN</t>
        </is>
      </c>
      <c r="G1309" t="inlineStr">
        <is>
          <t>FALUN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16165-2026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46110</v>
      </c>
      <c r="E1310" s="1" t="n">
        <v>46228</v>
      </c>
      <c r="F1310" t="inlineStr">
        <is>
          <t>DALARNAS LÄN</t>
        </is>
      </c>
      <c r="G1310" t="inlineStr">
        <is>
          <t>FALUN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16166-2026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46110</v>
      </c>
      <c r="E1311" s="1" t="n">
        <v>46228</v>
      </c>
      <c r="F1311" t="inlineStr">
        <is>
          <t>DALARNAS LÄN</t>
        </is>
      </c>
      <c r="G1311" t="inlineStr">
        <is>
          <t>FALUN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31348-2026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46219</v>
      </c>
      <c r="E1312" s="1" t="n">
        <v>46228</v>
      </c>
      <c r="F1312" t="inlineStr">
        <is>
          <t>DALARNAS LÄN</t>
        </is>
      </c>
      <c r="G1312" t="inlineStr">
        <is>
          <t>FALUN</t>
        </is>
      </c>
      <c r="I1312" t="n">
        <v>4.7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16256-2026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46111</v>
      </c>
      <c r="E1313" s="1" t="n">
        <v>46228</v>
      </c>
      <c r="F1313" t="inlineStr">
        <is>
          <t>DALARNAS LÄN</t>
        </is>
      </c>
      <c r="G1313" t="inlineStr">
        <is>
          <t>FALUN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16377-2026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46111</v>
      </c>
      <c r="E1314" s="1" t="n">
        <v>46228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7.3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16415-2026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46111</v>
      </c>
      <c r="E1315" s="1" t="n">
        <v>46228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4.8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25358-2026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46176</v>
      </c>
      <c r="E1316" s="1" t="n">
        <v>46228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16327-2026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46111</v>
      </c>
      <c r="E1317" s="1" t="n">
        <v>46228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17138-2026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46228</v>
      </c>
      <c r="F1318" t="inlineStr">
        <is>
          <t>DALARNAS LÄN</t>
        </is>
      </c>
      <c r="G1318" t="inlineStr">
        <is>
          <t>FALUN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25217-2026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46175</v>
      </c>
      <c r="E1319" s="1" t="n">
        <v>46228</v>
      </c>
      <c r="F1319" t="inlineStr">
        <is>
          <t>DALARNAS LÄN</t>
        </is>
      </c>
      <c r="G1319" t="inlineStr">
        <is>
          <t>FALUN</t>
        </is>
      </c>
      <c r="I1319" t="n">
        <v>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16934-2026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46113</v>
      </c>
      <c r="E1320" s="1" t="n">
        <v>46228</v>
      </c>
      <c r="F1320" t="inlineStr">
        <is>
          <t>DALARNAS LÄN</t>
        </is>
      </c>
      <c r="G1320" t="inlineStr">
        <is>
          <t>FALUN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17067-2026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46114</v>
      </c>
      <c r="E1321" s="1" t="n">
        <v>46228</v>
      </c>
      <c r="F1321" t="inlineStr">
        <is>
          <t>DALARNAS LÄN</t>
        </is>
      </c>
      <c r="G1321" t="inlineStr">
        <is>
          <t>FALUN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61377-2021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44500</v>
      </c>
      <c r="E1322" s="1" t="n">
        <v>46228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25893-2026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46178</v>
      </c>
      <c r="E1323" s="1" t="n">
        <v>46228</v>
      </c>
      <c r="F1323" t="inlineStr">
        <is>
          <t>DALARNAS LÄN</t>
        </is>
      </c>
      <c r="G1323" t="inlineStr">
        <is>
          <t>FALUN</t>
        </is>
      </c>
      <c r="I1323" t="n">
        <v>6.7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48296-2024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45590</v>
      </c>
      <c r="E1324" s="1" t="n">
        <v>46228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3.3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25668-2026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46178</v>
      </c>
      <c r="E1325" s="1" t="n">
        <v>46228</v>
      </c>
      <c r="F1325" t="inlineStr">
        <is>
          <t>DALARNAS LÄN</t>
        </is>
      </c>
      <c r="G1325" t="inlineStr">
        <is>
          <t>FALUN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25673-2026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46178</v>
      </c>
      <c r="E1326" s="1" t="n">
        <v>46228</v>
      </c>
      <c r="F1326" t="inlineStr">
        <is>
          <t>DALARNAS LÄN</t>
        </is>
      </c>
      <c r="G1326" t="inlineStr">
        <is>
          <t>FALUN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17751-2026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46122</v>
      </c>
      <c r="E1327" s="1" t="n">
        <v>46228</v>
      </c>
      <c r="F1327" t="inlineStr">
        <is>
          <t>DALARNAS LÄN</t>
        </is>
      </c>
      <c r="G1327" t="inlineStr">
        <is>
          <t>FALUN</t>
        </is>
      </c>
      <c r="I1327" t="n">
        <v>7.5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17134-2026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46114</v>
      </c>
      <c r="E1328" s="1" t="n">
        <v>46228</v>
      </c>
      <c r="F1328" t="inlineStr">
        <is>
          <t>DALARNAS LÄN</t>
        </is>
      </c>
      <c r="G1328" t="inlineStr">
        <is>
          <t>FALUN</t>
        </is>
      </c>
      <c r="I1328" t="n">
        <v>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17137-2026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46114</v>
      </c>
      <c r="E1329" s="1" t="n">
        <v>46228</v>
      </c>
      <c r="F1329" t="inlineStr">
        <is>
          <t>DALARNAS LÄN</t>
        </is>
      </c>
      <c r="G1329" t="inlineStr">
        <is>
          <t>FALUN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17041-2026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46228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16846-2026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46113</v>
      </c>
      <c r="E1331" s="1" t="n">
        <v>46228</v>
      </c>
      <c r="F1331" t="inlineStr">
        <is>
          <t>DALARNAS LÄN</t>
        </is>
      </c>
      <c r="G1331" t="inlineStr">
        <is>
          <t>FALUN</t>
        </is>
      </c>
      <c r="I1331" t="n">
        <v>4.2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19903-2022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44697</v>
      </c>
      <c r="E1332" s="1" t="n">
        <v>46228</v>
      </c>
      <c r="F1332" t="inlineStr">
        <is>
          <t>DALARNAS LÄN</t>
        </is>
      </c>
      <c r="G1332" t="inlineStr">
        <is>
          <t>FALUN</t>
        </is>
      </c>
      <c r="I1332" t="n">
        <v>3.2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25689-2026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46178</v>
      </c>
      <c r="E1333" s="1" t="n">
        <v>46228</v>
      </c>
      <c r="F1333" t="inlineStr">
        <is>
          <t>DALARNAS LÄN</t>
        </is>
      </c>
      <c r="G1333" t="inlineStr">
        <is>
          <t>FALUN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17055-2026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46114</v>
      </c>
      <c r="E1334" s="1" t="n">
        <v>46228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18.1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17135-2026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46228</v>
      </c>
      <c r="F1335" t="inlineStr">
        <is>
          <t>DALARNAS LÄN</t>
        </is>
      </c>
      <c r="G1335" t="inlineStr">
        <is>
          <t>FALUN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30537-2024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45492</v>
      </c>
      <c r="E1336" s="1" t="n">
        <v>46228</v>
      </c>
      <c r="F1336" t="inlineStr">
        <is>
          <t>DALARNAS LÄN</t>
        </is>
      </c>
      <c r="G1336" t="inlineStr">
        <is>
          <t>FALUN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25799-2026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46228</v>
      </c>
      <c r="F1337" t="inlineStr">
        <is>
          <t>DALARNAS LÄN</t>
        </is>
      </c>
      <c r="G1337" t="inlineStr">
        <is>
          <t>FALUN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25811-2026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46228</v>
      </c>
      <c r="F1338" t="inlineStr">
        <is>
          <t>DALARNAS LÄN</t>
        </is>
      </c>
      <c r="G1338" t="inlineStr">
        <is>
          <t>FALUN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17048-2026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46114</v>
      </c>
      <c r="E1339" s="1" t="n">
        <v>46228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17051-2026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46114</v>
      </c>
      <c r="E1340" s="1" t="n">
        <v>46228</v>
      </c>
      <c r="F1340" t="inlineStr">
        <is>
          <t>DALARNAS LÄN</t>
        </is>
      </c>
      <c r="G1340" t="inlineStr">
        <is>
          <t>FALUN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16235-2026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46111</v>
      </c>
      <c r="E1341" s="1" t="n">
        <v>46228</v>
      </c>
      <c r="F1341" t="inlineStr">
        <is>
          <t>DALARNAS LÄN</t>
        </is>
      </c>
      <c r="G1341" t="inlineStr">
        <is>
          <t>FALUN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22526-2026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46228</v>
      </c>
      <c r="F1342" t="inlineStr">
        <is>
          <t>DALARNAS LÄN</t>
        </is>
      </c>
      <c r="G1342" t="inlineStr">
        <is>
          <t>FALUN</t>
        </is>
      </c>
      <c r="I1342" t="n">
        <v>4.5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21416-2026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46148</v>
      </c>
      <c r="E1343" s="1" t="n">
        <v>46228</v>
      </c>
      <c r="F1343" t="inlineStr">
        <is>
          <t>DALARNAS LÄN</t>
        </is>
      </c>
      <c r="G1343" t="inlineStr">
        <is>
          <t>FALUN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6304-2026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46055</v>
      </c>
      <c r="E1344" s="1" t="n">
        <v>46228</v>
      </c>
      <c r="F1344" t="inlineStr">
        <is>
          <t>DALARNAS LÄN</t>
        </is>
      </c>
      <c r="G1344" t="inlineStr">
        <is>
          <t>FALUN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17406-2026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46120</v>
      </c>
      <c r="E1345" s="1" t="n">
        <v>46228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25823-2026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46228</v>
      </c>
      <c r="F1346" t="inlineStr">
        <is>
          <t>DALARNAS LÄN</t>
        </is>
      </c>
      <c r="G1346" t="inlineStr">
        <is>
          <t>FALUN</t>
        </is>
      </c>
      <c r="I1346" t="n">
        <v>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17403-2026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46120</v>
      </c>
      <c r="E1347" s="1" t="n">
        <v>46228</v>
      </c>
      <c r="F1347" t="inlineStr">
        <is>
          <t>DALARNAS LÄN</t>
        </is>
      </c>
      <c r="G1347" t="inlineStr">
        <is>
          <t>FALUN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17284-2026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46119</v>
      </c>
      <c r="E1348" s="1" t="n">
        <v>46228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15.9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25809-2026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46228</v>
      </c>
      <c r="F1349" t="inlineStr">
        <is>
          <t>DALARNAS LÄN</t>
        </is>
      </c>
      <c r="G1349" t="inlineStr">
        <is>
          <t>FALUN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17212-2026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46119</v>
      </c>
      <c r="E1350" s="1" t="n">
        <v>46228</v>
      </c>
      <c r="F1350" t="inlineStr">
        <is>
          <t>DALARNAS LÄN</t>
        </is>
      </c>
      <c r="G1350" t="inlineStr">
        <is>
          <t>FALUN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17371-2026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46119</v>
      </c>
      <c r="E1351" s="1" t="n">
        <v>46228</v>
      </c>
      <c r="F1351" t="inlineStr">
        <is>
          <t>DALARNAS LÄN</t>
        </is>
      </c>
      <c r="G1351" t="inlineStr">
        <is>
          <t>FALUN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17310-2026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46119</v>
      </c>
      <c r="E1352" s="1" t="n">
        <v>46228</v>
      </c>
      <c r="F1352" t="inlineStr">
        <is>
          <t>DALARNAS LÄN</t>
        </is>
      </c>
      <c r="G1352" t="inlineStr">
        <is>
          <t>FALUN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17356-2026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46119</v>
      </c>
      <c r="E1353" s="1" t="n">
        <v>46228</v>
      </c>
      <c r="F1353" t="inlineStr">
        <is>
          <t>DALARNAS LÄN</t>
        </is>
      </c>
      <c r="G1353" t="inlineStr">
        <is>
          <t>FALUN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13064-2026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46093</v>
      </c>
      <c r="E1354" s="1" t="n">
        <v>46228</v>
      </c>
      <c r="F1354" t="inlineStr">
        <is>
          <t>DALARNAS LÄN</t>
        </is>
      </c>
      <c r="G1354" t="inlineStr">
        <is>
          <t>FALUN</t>
        </is>
      </c>
      <c r="H1354" t="inlineStr">
        <is>
          <t>Allmännings- och besparingsskogar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21289-2026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46147</v>
      </c>
      <c r="E1355" s="1" t="n">
        <v>46228</v>
      </c>
      <c r="F1355" t="inlineStr">
        <is>
          <t>DALARNAS LÄN</t>
        </is>
      </c>
      <c r="G1355" t="inlineStr">
        <is>
          <t>FALUN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17372-2026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46119</v>
      </c>
      <c r="E1356" s="1" t="n">
        <v>46228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6302-2026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46055</v>
      </c>
      <c r="E1357" s="1" t="n">
        <v>46228</v>
      </c>
      <c r="F1357" t="inlineStr">
        <is>
          <t>DALARNAS LÄN</t>
        </is>
      </c>
      <c r="G1357" t="inlineStr">
        <is>
          <t>FALUN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59200-2025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45988</v>
      </c>
      <c r="E1358" s="1" t="n">
        <v>46228</v>
      </c>
      <c r="F1358" t="inlineStr">
        <is>
          <t>DALARNAS LÄN</t>
        </is>
      </c>
      <c r="G1358" t="inlineStr">
        <is>
          <t>FALUN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17296-2026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46119</v>
      </c>
      <c r="E1359" s="1" t="n">
        <v>46228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17619-2026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46121</v>
      </c>
      <c r="E1360" s="1" t="n">
        <v>46228</v>
      </c>
      <c r="F1360" t="inlineStr">
        <is>
          <t>DALARNAS LÄN</t>
        </is>
      </c>
      <c r="G1360" t="inlineStr">
        <is>
          <t>FALUN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17795-2026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46122</v>
      </c>
      <c r="E1361" s="1" t="n">
        <v>46228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17855-2026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46122</v>
      </c>
      <c r="E1362" s="1" t="n">
        <v>46228</v>
      </c>
      <c r="F1362" t="inlineStr">
        <is>
          <t>DALARNAS LÄN</t>
        </is>
      </c>
      <c r="G1362" t="inlineStr">
        <is>
          <t>FALUN</t>
        </is>
      </c>
      <c r="I1362" t="n">
        <v>8.800000000000001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22925-2023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45072</v>
      </c>
      <c r="E1363" s="1" t="n">
        <v>46228</v>
      </c>
      <c r="F1363" t="inlineStr">
        <is>
          <t>DALARNAS LÄN</t>
        </is>
      </c>
      <c r="G1363" t="inlineStr">
        <is>
          <t>FALUN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17629-2026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46121</v>
      </c>
      <c r="E1364" s="1" t="n">
        <v>46228</v>
      </c>
      <c r="F1364" t="inlineStr">
        <is>
          <t>DALARNAS LÄN</t>
        </is>
      </c>
      <c r="G1364" t="inlineStr">
        <is>
          <t>FALUN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21653-2026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46228</v>
      </c>
      <c r="F1365" t="inlineStr">
        <is>
          <t>DALARNAS LÄN</t>
        </is>
      </c>
      <c r="G1365" t="inlineStr">
        <is>
          <t>FALUN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17881-2026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46122</v>
      </c>
      <c r="E1366" s="1" t="n">
        <v>46228</v>
      </c>
      <c r="F1366" t="inlineStr">
        <is>
          <t>DALARNAS LÄN</t>
        </is>
      </c>
      <c r="G1366" t="inlineStr">
        <is>
          <t>FALUN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17904-2026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46122</v>
      </c>
      <c r="E1367" s="1" t="n">
        <v>46228</v>
      </c>
      <c r="F1367" t="inlineStr">
        <is>
          <t>DALARNAS LÄN</t>
        </is>
      </c>
      <c r="G1367" t="inlineStr">
        <is>
          <t>FALUN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17923-2026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46122</v>
      </c>
      <c r="E1368" s="1" t="n">
        <v>46228</v>
      </c>
      <c r="F1368" t="inlineStr">
        <is>
          <t>DALARNAS LÄN</t>
        </is>
      </c>
      <c r="G1368" t="inlineStr">
        <is>
          <t>FALUN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17625-2026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46121</v>
      </c>
      <c r="E1369" s="1" t="n">
        <v>46228</v>
      </c>
      <c r="F1369" t="inlineStr">
        <is>
          <t>DALARNAS LÄN</t>
        </is>
      </c>
      <c r="G1369" t="inlineStr">
        <is>
          <t>FALUN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17630-2026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46121</v>
      </c>
      <c r="E1370" s="1" t="n">
        <v>46228</v>
      </c>
      <c r="F1370" t="inlineStr">
        <is>
          <t>DALARNAS LÄN</t>
        </is>
      </c>
      <c r="G1370" t="inlineStr">
        <is>
          <t>FALUN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17581-2026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46121</v>
      </c>
      <c r="E1371" s="1" t="n">
        <v>46228</v>
      </c>
      <c r="F1371" t="inlineStr">
        <is>
          <t>DALARNAS LÄN</t>
        </is>
      </c>
      <c r="G1371" t="inlineStr">
        <is>
          <t>FALUN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17593-2026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46121</v>
      </c>
      <c r="E1372" s="1" t="n">
        <v>46228</v>
      </c>
      <c r="F1372" t="inlineStr">
        <is>
          <t>DALARNAS LÄN</t>
        </is>
      </c>
      <c r="G1372" t="inlineStr">
        <is>
          <t>FALUN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17911-2026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46228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57.2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17883-2026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46122</v>
      </c>
      <c r="E1374" s="1" t="n">
        <v>46228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36.7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46125</v>
      </c>
      <c r="E1375" s="1" t="n">
        <v>46228</v>
      </c>
      <c r="F1375" t="inlineStr">
        <is>
          <t>DALARNAS LÄN</t>
        </is>
      </c>
      <c r="G1375" t="inlineStr">
        <is>
          <t>FALUN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18115-2026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46125</v>
      </c>
      <c r="E1376" s="1" t="n">
        <v>46228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18012-2026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46125</v>
      </c>
      <c r="E1377" s="1" t="n">
        <v>46228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39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18247-2026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46126</v>
      </c>
      <c r="E1378" s="1" t="n">
        <v>46228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24.2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25517-2026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46177</v>
      </c>
      <c r="E1379" s="1" t="n">
        <v>46228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6.4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18338-2026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46126</v>
      </c>
      <c r="E1380" s="1" t="n">
        <v>46228</v>
      </c>
      <c r="F1380" t="inlineStr">
        <is>
          <t>DALARNAS LÄN</t>
        </is>
      </c>
      <c r="G1380" t="inlineStr">
        <is>
          <t>FALUN</t>
        </is>
      </c>
      <c r="I1380" t="n">
        <v>16.6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18295-2026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46125</v>
      </c>
      <c r="E1381" s="1" t="n">
        <v>46228</v>
      </c>
      <c r="F1381" t="inlineStr">
        <is>
          <t>DALARNAS LÄN</t>
        </is>
      </c>
      <c r="G1381" t="inlineStr">
        <is>
          <t>FALUN</t>
        </is>
      </c>
      <c r="H1381" t="inlineStr">
        <is>
          <t>Allmännings- och besparingsskogar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18336-2026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46126</v>
      </c>
      <c r="E1382" s="1" t="n">
        <v>46228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24640-2024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45460</v>
      </c>
      <c r="E1383" s="1" t="n">
        <v>46228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25542-2026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46177</v>
      </c>
      <c r="E1384" s="1" t="n">
        <v>46228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46228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25810-2026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46228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18215-2026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46126</v>
      </c>
      <c r="E1387" s="1" t="n">
        <v>46228</v>
      </c>
      <c r="F1387" t="inlineStr">
        <is>
          <t>DALARNAS LÄN</t>
        </is>
      </c>
      <c r="G1387" t="inlineStr">
        <is>
          <t>FALUN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18057-2026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46125</v>
      </c>
      <c r="E1388" s="1" t="n">
        <v>46228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20873-2026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46228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25563-2026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46177</v>
      </c>
      <c r="E1390" s="1" t="n">
        <v>46228</v>
      </c>
      <c r="F1390" t="inlineStr">
        <is>
          <t>DALARNAS LÄN</t>
        </is>
      </c>
      <c r="G1390" t="inlineStr">
        <is>
          <t>FALUN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25601-2026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46177</v>
      </c>
      <c r="E1391" s="1" t="n">
        <v>46228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25739-2026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46228</v>
      </c>
      <c r="F1392" t="inlineStr">
        <is>
          <t>DALARNAS LÄN</t>
        </is>
      </c>
      <c r="G1392" t="inlineStr">
        <is>
          <t>FALUN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4923-2024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45329</v>
      </c>
      <c r="E1393" s="1" t="n">
        <v>46228</v>
      </c>
      <c r="F1393" t="inlineStr">
        <is>
          <t>DALARNAS LÄN</t>
        </is>
      </c>
      <c r="G1393" t="inlineStr">
        <is>
          <t>FALUN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31496-2026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46223</v>
      </c>
      <c r="E1394" s="1" t="n">
        <v>46228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18467-2026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46127</v>
      </c>
      <c r="E1395" s="1" t="n">
        <v>46228</v>
      </c>
      <c r="F1395" t="inlineStr">
        <is>
          <t>DALARNAS LÄN</t>
        </is>
      </c>
      <c r="G1395" t="inlineStr">
        <is>
          <t>FALUN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25705-2026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46228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18765-2026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46128</v>
      </c>
      <c r="E1397" s="1" t="n">
        <v>46228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25755-2026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46228</v>
      </c>
      <c r="F1398" t="inlineStr">
        <is>
          <t>DALARNAS LÄN</t>
        </is>
      </c>
      <c r="G1398" t="inlineStr">
        <is>
          <t>FALUN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25757-2026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46228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31513-2026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46223</v>
      </c>
      <c r="E1400" s="1" t="n">
        <v>46228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18716-2026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46128</v>
      </c>
      <c r="E1401" s="1" t="n">
        <v>46228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18653-2026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46128</v>
      </c>
      <c r="E1402" s="1" t="n">
        <v>46228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18502-2026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46127</v>
      </c>
      <c r="E1403" s="1" t="n">
        <v>46228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17333-2026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46119</v>
      </c>
      <c r="E1404" s="1" t="n">
        <v>46228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18983-2026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46128</v>
      </c>
      <c r="E1405" s="1" t="n">
        <v>46228</v>
      </c>
      <c r="F1405" t="inlineStr">
        <is>
          <t>DALARNAS LÄN</t>
        </is>
      </c>
      <c r="G1405" t="inlineStr">
        <is>
          <t>FALUN</t>
        </is>
      </c>
      <c r="H1405" t="inlineStr">
        <is>
          <t>Allmännings- och besparingsskogar</t>
        </is>
      </c>
      <c r="I1405" t="n">
        <v>8.199999999999999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11236-2026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46080</v>
      </c>
      <c r="E1406" s="1" t="n">
        <v>46228</v>
      </c>
      <c r="F1406" t="inlineStr">
        <is>
          <t>DALARNAS LÄN</t>
        </is>
      </c>
      <c r="G1406" t="inlineStr">
        <is>
          <t>FALUN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18623-2026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46127</v>
      </c>
      <c r="E1407" s="1" t="n">
        <v>46228</v>
      </c>
      <c r="F1407" t="inlineStr">
        <is>
          <t>DALARNAS LÄN</t>
        </is>
      </c>
      <c r="G1407" t="inlineStr">
        <is>
          <t>FALUN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18720-2026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46128</v>
      </c>
      <c r="E1408" s="1" t="n">
        <v>46228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18970-2026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46228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19783-2026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46135</v>
      </c>
      <c r="E1410" s="1" t="n">
        <v>46228</v>
      </c>
      <c r="F1410" t="inlineStr">
        <is>
          <t>DALARNAS LÄN</t>
        </is>
      </c>
      <c r="G1410" t="inlineStr">
        <is>
          <t>FALUN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21584-2026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46228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8.699999999999999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18511-2026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46127</v>
      </c>
      <c r="E1412" s="1" t="n">
        <v>46228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5.6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21116-2026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46146</v>
      </c>
      <c r="E1413" s="1" t="n">
        <v>46228</v>
      </c>
      <c r="F1413" t="inlineStr">
        <is>
          <t>DALARNAS LÄN</t>
        </is>
      </c>
      <c r="G1413" t="inlineStr">
        <is>
          <t>FALUN</t>
        </is>
      </c>
      <c r="I1413" t="n">
        <v>2.3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13116-2026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46093</v>
      </c>
      <c r="E1414" s="1" t="n">
        <v>46228</v>
      </c>
      <c r="F1414" t="inlineStr">
        <is>
          <t>DALARNAS LÄN</t>
        </is>
      </c>
      <c r="G1414" t="inlineStr">
        <is>
          <t>FALUN</t>
        </is>
      </c>
      <c r="H1414" t="inlineStr">
        <is>
          <t>Allmännings- och besparingsskogar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8579-2026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46065</v>
      </c>
      <c r="E1415" s="1" t="n">
        <v>46228</v>
      </c>
      <c r="F1415" t="inlineStr">
        <is>
          <t>DALARNAS LÄN</t>
        </is>
      </c>
      <c r="G1415" t="inlineStr">
        <is>
          <t>FALUN</t>
        </is>
      </c>
      <c r="I1415" t="n">
        <v>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8586-2026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46065</v>
      </c>
      <c r="E1416" s="1" t="n">
        <v>46228</v>
      </c>
      <c r="F1416" t="inlineStr">
        <is>
          <t>DALARNAS LÄN</t>
        </is>
      </c>
      <c r="G1416" t="inlineStr">
        <is>
          <t>FALUN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18869-2026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46129</v>
      </c>
      <c r="E1417" s="1" t="n">
        <v>46228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25967-2026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46181</v>
      </c>
      <c r="E1418" s="1" t="n">
        <v>46228</v>
      </c>
      <c r="F1418" t="inlineStr">
        <is>
          <t>DALARNAS LÄN</t>
        </is>
      </c>
      <c r="G1418" t="inlineStr">
        <is>
          <t>FALUN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18998-2026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46129</v>
      </c>
      <c r="E1419" s="1" t="n">
        <v>46228</v>
      </c>
      <c r="F1419" t="inlineStr">
        <is>
          <t>DALARNAS LÄN</t>
        </is>
      </c>
      <c r="G1419" t="inlineStr">
        <is>
          <t>FALUN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19033-2026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46131</v>
      </c>
      <c r="E1420" s="1" t="n">
        <v>46228</v>
      </c>
      <c r="F1420" t="inlineStr">
        <is>
          <t>DALARNAS LÄN</t>
        </is>
      </c>
      <c r="G1420" t="inlineStr">
        <is>
          <t>FALUN</t>
        </is>
      </c>
      <c r="I1420" t="n">
        <v>0.2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11266-2026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46080</v>
      </c>
      <c r="E1421" s="1" t="n">
        <v>46228</v>
      </c>
      <c r="F1421" t="inlineStr">
        <is>
          <t>DALARNAS LÄN</t>
        </is>
      </c>
      <c r="G1421" t="inlineStr">
        <is>
          <t>FALUN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8578-2026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46065</v>
      </c>
      <c r="E1422" s="1" t="n">
        <v>46228</v>
      </c>
      <c r="F1422" t="inlineStr">
        <is>
          <t>DALARNAS LÄN</t>
        </is>
      </c>
      <c r="G1422" t="inlineStr">
        <is>
          <t>FALUN</t>
        </is>
      </c>
      <c r="I1422" t="n">
        <v>6.4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8585-2026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46065</v>
      </c>
      <c r="E1423" s="1" t="n">
        <v>46228</v>
      </c>
      <c r="F1423" t="inlineStr">
        <is>
          <t>DALARNAS LÄN</t>
        </is>
      </c>
      <c r="G1423" t="inlineStr">
        <is>
          <t>FALUN</t>
        </is>
      </c>
      <c r="I1423" t="n">
        <v>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19422-2026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46133</v>
      </c>
      <c r="E1424" s="1" t="n">
        <v>46228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7.5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19450-2026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46228</v>
      </c>
      <c r="F1425" t="inlineStr">
        <is>
          <t>DALARNAS LÄN</t>
        </is>
      </c>
      <c r="G1425" t="inlineStr">
        <is>
          <t>FALUN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19460-2026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46228</v>
      </c>
      <c r="F1426" t="inlineStr">
        <is>
          <t>DALARNAS LÄN</t>
        </is>
      </c>
      <c r="G1426" t="inlineStr">
        <is>
          <t>FALUN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19466-2026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46228</v>
      </c>
      <c r="F1427" t="inlineStr">
        <is>
          <t>DALARNAS LÄN</t>
        </is>
      </c>
      <c r="G1427" t="inlineStr">
        <is>
          <t>FALUN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19266-2026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46133</v>
      </c>
      <c r="E1428" s="1" t="n">
        <v>46228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13.6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19281-2026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46133</v>
      </c>
      <c r="E1429" s="1" t="n">
        <v>46228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18.3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19267-2026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46228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19448-2026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46228</v>
      </c>
      <c r="F1431" t="inlineStr">
        <is>
          <t>DALARNAS LÄN</t>
        </is>
      </c>
      <c r="G1431" t="inlineStr">
        <is>
          <t>FALUN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16043-2026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46108</v>
      </c>
      <c r="E1432" s="1" t="n">
        <v>46228</v>
      </c>
      <c r="F1432" t="inlineStr">
        <is>
          <t>DALARNAS LÄN</t>
        </is>
      </c>
      <c r="G1432" t="inlineStr">
        <is>
          <t>FALUN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20006-2023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45054</v>
      </c>
      <c r="E1433" s="1" t="n">
        <v>46228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19041-2026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46132</v>
      </c>
      <c r="E1434" s="1" t="n">
        <v>46228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19073-2026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46132</v>
      </c>
      <c r="E1435" s="1" t="n">
        <v>46228</v>
      </c>
      <c r="F1435" t="inlineStr">
        <is>
          <t>DALARNAS LÄN</t>
        </is>
      </c>
      <c r="G1435" t="inlineStr">
        <is>
          <t>FALUN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22646-2024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45447</v>
      </c>
      <c r="E1436" s="1" t="n">
        <v>46228</v>
      </c>
      <c r="F1436" t="inlineStr">
        <is>
          <t>DALARNAS LÄN</t>
        </is>
      </c>
      <c r="G1436" t="inlineStr">
        <is>
          <t>FALUN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18950-2026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46129</v>
      </c>
      <c r="E1437" s="1" t="n">
        <v>46228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4.5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19451-2026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46228</v>
      </c>
      <c r="F1438" t="inlineStr">
        <is>
          <t>DALARNAS LÄN</t>
        </is>
      </c>
      <c r="G1438" t="inlineStr">
        <is>
          <t>FALUN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19456-2026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46133</v>
      </c>
      <c r="E1439" s="1" t="n">
        <v>46228</v>
      </c>
      <c r="F1439" t="inlineStr">
        <is>
          <t>DALARNAS LÄN</t>
        </is>
      </c>
      <c r="G1439" t="inlineStr">
        <is>
          <t>FALUN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48246-2023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45205</v>
      </c>
      <c r="E1440" s="1" t="n">
        <v>46228</v>
      </c>
      <c r="F1440" t="inlineStr">
        <is>
          <t>DALARNAS LÄN</t>
        </is>
      </c>
      <c r="G1440" t="inlineStr">
        <is>
          <t>FALUN</t>
        </is>
      </c>
      <c r="I1440" t="n">
        <v>4.5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31265-2026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46218</v>
      </c>
      <c r="E1441" s="1" t="n">
        <v>46228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19283-2026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46228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4.9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17282-2026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46119</v>
      </c>
      <c r="E1443" s="1" t="n">
        <v>46228</v>
      </c>
      <c r="F1443" t="inlineStr">
        <is>
          <t>DALARNAS LÄN</t>
        </is>
      </c>
      <c r="G1443" t="inlineStr">
        <is>
          <t>FALUN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17890-2026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46122</v>
      </c>
      <c r="E1444" s="1" t="n">
        <v>46228</v>
      </c>
      <c r="F1444" t="inlineStr">
        <is>
          <t>DALARNAS LÄN</t>
        </is>
      </c>
      <c r="G1444" t="inlineStr">
        <is>
          <t>FALUN</t>
        </is>
      </c>
      <c r="I1444" t="n">
        <v>16.3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11299-2026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46080</v>
      </c>
      <c r="E1445" s="1" t="n">
        <v>46228</v>
      </c>
      <c r="F1445" t="inlineStr">
        <is>
          <t>DALARNAS LÄN</t>
        </is>
      </c>
      <c r="G1445" t="inlineStr">
        <is>
          <t>FALUN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19032-2026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46131</v>
      </c>
      <c r="E1446" s="1" t="n">
        <v>46228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19176-2026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46132</v>
      </c>
      <c r="E1447" s="1" t="n">
        <v>46228</v>
      </c>
      <c r="F1447" t="inlineStr">
        <is>
          <t>DALARNAS LÄN</t>
        </is>
      </c>
      <c r="G1447" t="inlineStr">
        <is>
          <t>FALUN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31383-2026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46220</v>
      </c>
      <c r="E1448" s="1" t="n">
        <v>46228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19001-2026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46129</v>
      </c>
      <c r="E1449" s="1" t="n">
        <v>46228</v>
      </c>
      <c r="F1449" t="inlineStr">
        <is>
          <t>DALARNAS LÄN</t>
        </is>
      </c>
      <c r="G1449" t="inlineStr">
        <is>
          <t>FALUN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53008-2024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45611</v>
      </c>
      <c r="E1450" s="1" t="n">
        <v>46228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8584-2026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46065</v>
      </c>
      <c r="E1451" s="1" t="n">
        <v>46228</v>
      </c>
      <c r="F1451" t="inlineStr">
        <is>
          <t>DALARNAS LÄN</t>
        </is>
      </c>
      <c r="G1451" t="inlineStr">
        <is>
          <t>FALUN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16933-2026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46113</v>
      </c>
      <c r="E1452" s="1" t="n">
        <v>46228</v>
      </c>
      <c r="F1452" t="inlineStr">
        <is>
          <t>DALARNAS LÄN</t>
        </is>
      </c>
      <c r="G1452" t="inlineStr">
        <is>
          <t>FALUN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31587-2026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46224</v>
      </c>
      <c r="E1453" s="1" t="n">
        <v>46228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19897-2026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46135</v>
      </c>
      <c r="E1454" s="1" t="n">
        <v>46228</v>
      </c>
      <c r="F1454" t="inlineStr">
        <is>
          <t>DALARNAS LÄN</t>
        </is>
      </c>
      <c r="G1454" t="inlineStr">
        <is>
          <t>FALUN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26346-2026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46182</v>
      </c>
      <c r="E1455" s="1" t="n">
        <v>46228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19508-2026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46134</v>
      </c>
      <c r="E1456" s="1" t="n">
        <v>46228</v>
      </c>
      <c r="F1456" t="inlineStr">
        <is>
          <t>DALARNAS LÄN</t>
        </is>
      </c>
      <c r="G1456" t="inlineStr">
        <is>
          <t>FALUN</t>
        </is>
      </c>
      <c r="H1456" t="inlineStr">
        <is>
          <t>Kyrkan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16677-2026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46112</v>
      </c>
      <c r="E1457" s="1" t="n">
        <v>46228</v>
      </c>
      <c r="F1457" t="inlineStr">
        <is>
          <t>DALARNAS LÄN</t>
        </is>
      </c>
      <c r="G1457" t="inlineStr">
        <is>
          <t>FALUN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16375-2026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46111</v>
      </c>
      <c r="E1458" s="1" t="n">
        <v>46228</v>
      </c>
      <c r="F1458" t="inlineStr">
        <is>
          <t>DALARNAS LÄN</t>
        </is>
      </c>
      <c r="G1458" t="inlineStr">
        <is>
          <t>FALUN</t>
        </is>
      </c>
      <c r="I1458" t="n">
        <v>3.4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15278-2026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46105</v>
      </c>
      <c r="E1459" s="1" t="n">
        <v>46228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34.4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19871-2026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46134</v>
      </c>
      <c r="E1460" s="1" t="n">
        <v>46228</v>
      </c>
      <c r="F1460" t="inlineStr">
        <is>
          <t>DALARNAS LÄN</t>
        </is>
      </c>
      <c r="G1460" t="inlineStr">
        <is>
          <t>FALUN</t>
        </is>
      </c>
      <c r="I1460" t="n">
        <v>5.1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17011-2026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46228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12.3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19723-2026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46135</v>
      </c>
      <c r="E1462" s="1" t="n">
        <v>46228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15346-2026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46105</v>
      </c>
      <c r="E1463" s="1" t="n">
        <v>46228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26120-2026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46181</v>
      </c>
      <c r="E1464" s="1" t="n">
        <v>46228</v>
      </c>
      <c r="F1464" t="inlineStr">
        <is>
          <t>DALARNAS LÄN</t>
        </is>
      </c>
      <c r="G1464" t="inlineStr">
        <is>
          <t>FALUN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17309-2026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46119</v>
      </c>
      <c r="E1465" s="1" t="n">
        <v>46228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15293-2026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46228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19533-2026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46134</v>
      </c>
      <c r="E1467" s="1" t="n">
        <v>46228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4.1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31701-2026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46226</v>
      </c>
      <c r="E1468" s="1" t="n">
        <v>46228</v>
      </c>
      <c r="F1468" t="inlineStr">
        <is>
          <t>DALARNAS LÄN</t>
        </is>
      </c>
      <c r="G1468" t="inlineStr">
        <is>
          <t>FALUN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18251-2026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46126</v>
      </c>
      <c r="E1469" s="1" t="n">
        <v>46228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26598-2023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45092</v>
      </c>
      <c r="E1470" s="1" t="n">
        <v>46228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26965-2026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46228</v>
      </c>
      <c r="F1471" t="inlineStr">
        <is>
          <t>DALARNAS LÄN</t>
        </is>
      </c>
      <c r="G1471" t="inlineStr">
        <is>
          <t>FALUN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26968-2026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46228</v>
      </c>
      <c r="F1472" t="inlineStr">
        <is>
          <t>DALARNAS LÄN</t>
        </is>
      </c>
      <c r="G1472" t="inlineStr">
        <is>
          <t>FALUN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26546-2026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46183</v>
      </c>
      <c r="E1473" s="1" t="n">
        <v>46228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5.2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9659-2025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45716</v>
      </c>
      <c r="E1474" s="1" t="n">
        <v>46228</v>
      </c>
      <c r="F1474" t="inlineStr">
        <is>
          <t>DALARNAS LÄN</t>
        </is>
      </c>
      <c r="G1474" t="inlineStr">
        <is>
          <t>FALUN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26828-2026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46185</v>
      </c>
      <c r="E1475" s="1" t="n">
        <v>46228</v>
      </c>
      <c r="F1475" t="inlineStr">
        <is>
          <t>DALARNAS LÄN</t>
        </is>
      </c>
      <c r="G1475" t="inlineStr">
        <is>
          <t>FALUN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26832-2026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46228</v>
      </c>
      <c r="F1476" t="inlineStr">
        <is>
          <t>DALARNAS LÄN</t>
        </is>
      </c>
      <c r="G1476" t="inlineStr">
        <is>
          <t>FALUN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31271-2026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46228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26380-2026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46183</v>
      </c>
      <c r="E1478" s="1" t="n">
        <v>46228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15085-2025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45744</v>
      </c>
      <c r="E1479" s="1" t="n">
        <v>46228</v>
      </c>
      <c r="F1479" t="inlineStr">
        <is>
          <t>DALARNAS LÄN</t>
        </is>
      </c>
      <c r="G1479" t="inlineStr">
        <is>
          <t>FALUN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41538-2024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45560</v>
      </c>
      <c r="E1480" s="1" t="n">
        <v>46228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26969-2026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46185</v>
      </c>
      <c r="E1481" s="1" t="n">
        <v>46228</v>
      </c>
      <c r="F1481" t="inlineStr">
        <is>
          <t>DALARNAS LÄN</t>
        </is>
      </c>
      <c r="G1481" t="inlineStr">
        <is>
          <t>FALUN</t>
        </is>
      </c>
      <c r="I1481" t="n">
        <v>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26830-2026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46185</v>
      </c>
      <c r="E1482" s="1" t="n">
        <v>46228</v>
      </c>
      <c r="F1482" t="inlineStr">
        <is>
          <t>DALARNAS LÄN</t>
        </is>
      </c>
      <c r="G1482" t="inlineStr">
        <is>
          <t>FALUN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50772-2024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45602</v>
      </c>
      <c r="E1483" s="1" t="n">
        <v>46228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58864-2023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45252</v>
      </c>
      <c r="E1484" s="1" t="n">
        <v>46228</v>
      </c>
      <c r="F1484" t="inlineStr">
        <is>
          <t>DALARNAS LÄN</t>
        </is>
      </c>
      <c r="G1484" t="inlineStr">
        <is>
          <t>FALUN</t>
        </is>
      </c>
      <c r="I1484" t="n">
        <v>0.3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58713-2024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45635</v>
      </c>
      <c r="E1485" s="1" t="n">
        <v>46228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0.3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59673-2024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45639</v>
      </c>
      <c r="E1486" s="1" t="n">
        <v>46228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52116-2022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44873</v>
      </c>
      <c r="E1487" s="1" t="n">
        <v>46228</v>
      </c>
      <c r="F1487" t="inlineStr">
        <is>
          <t>DALARNAS LÄN</t>
        </is>
      </c>
      <c r="G1487" t="inlineStr">
        <is>
          <t>FALUN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5679-2023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44960</v>
      </c>
      <c r="E1488" s="1" t="n">
        <v>46228</v>
      </c>
      <c r="F1488" t="inlineStr">
        <is>
          <t>DALARNAS LÄN</t>
        </is>
      </c>
      <c r="G1488" t="inlineStr">
        <is>
          <t>FALUN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9835-2024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45363</v>
      </c>
      <c r="E1489" s="1" t="n">
        <v>46228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16929-2023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45033</v>
      </c>
      <c r="E1490" s="1" t="n">
        <v>46228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49683-2024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45596</v>
      </c>
      <c r="E1491" s="1" t="n">
        <v>46228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16004-2024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45405</v>
      </c>
      <c r="E1492" s="1" t="n">
        <v>46228</v>
      </c>
      <c r="F1492" t="inlineStr">
        <is>
          <t>DALARNAS LÄN</t>
        </is>
      </c>
      <c r="G1492" t="inlineStr">
        <is>
          <t>FALUN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41275-2023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45174</v>
      </c>
      <c r="E1493" s="1" t="n">
        <v>46228</v>
      </c>
      <c r="F1493" t="inlineStr">
        <is>
          <t>DALARNAS LÄN</t>
        </is>
      </c>
      <c r="G1493" t="inlineStr">
        <is>
          <t>FALUN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16916-2025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45755</v>
      </c>
      <c r="E1494" s="1" t="n">
        <v>46228</v>
      </c>
      <c r="F1494" t="inlineStr">
        <is>
          <t>DALARNAS LÄN</t>
        </is>
      </c>
      <c r="G1494" t="inlineStr">
        <is>
          <t>FALUN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4057-2024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45323</v>
      </c>
      <c r="E1495" s="1" t="n">
        <v>46228</v>
      </c>
      <c r="F1495" t="inlineStr">
        <is>
          <t>DALARNAS LÄN</t>
        </is>
      </c>
      <c r="G1495" t="inlineStr">
        <is>
          <t>FALUN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40832-2024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45558</v>
      </c>
      <c r="E1496" s="1" t="n">
        <v>46228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56587-2024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45625</v>
      </c>
      <c r="E1497" s="1" t="n">
        <v>46228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8823-2023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44978</v>
      </c>
      <c r="E1498" s="1" t="n">
        <v>46228</v>
      </c>
      <c r="F1498" t="inlineStr">
        <is>
          <t>DALARNAS LÄN</t>
        </is>
      </c>
      <c r="G1498" t="inlineStr">
        <is>
          <t>FALUN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35943-2023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46228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18308-2025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45762</v>
      </c>
      <c r="E1500" s="1" t="n">
        <v>46228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55390-2022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44887</v>
      </c>
      <c r="E1501" s="1" t="n">
        <v>46228</v>
      </c>
      <c r="F1501" t="inlineStr">
        <is>
          <t>DALARNAS LÄN</t>
        </is>
      </c>
      <c r="G1501" t="inlineStr">
        <is>
          <t>FALUN</t>
        </is>
      </c>
      <c r="I1501" t="n">
        <v>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17336-2025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45756</v>
      </c>
      <c r="E1502" s="1" t="n">
        <v>46228</v>
      </c>
      <c r="F1502" t="inlineStr">
        <is>
          <t>DALARNAS LÄN</t>
        </is>
      </c>
      <c r="G1502" t="inlineStr">
        <is>
          <t>FALUN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53864-2023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45231</v>
      </c>
      <c r="E1503" s="1" t="n">
        <v>46228</v>
      </c>
      <c r="F1503" t="inlineStr">
        <is>
          <t>DALARNAS LÄN</t>
        </is>
      </c>
      <c r="G1503" t="inlineStr">
        <is>
          <t>FALUN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18042-2025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45761</v>
      </c>
      <c r="E1504" s="1" t="n">
        <v>46228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5.1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18051-2025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45761</v>
      </c>
      <c r="E1505" s="1" t="n">
        <v>46228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5.1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43238-2024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45567</v>
      </c>
      <c r="E1506" s="1" t="n">
        <v>46228</v>
      </c>
      <c r="F1506" t="inlineStr">
        <is>
          <t>DALARNAS LÄN</t>
        </is>
      </c>
      <c r="G1506" t="inlineStr">
        <is>
          <t>FALUN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35063-2022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44797</v>
      </c>
      <c r="E1507" s="1" t="n">
        <v>46228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40635-2022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44824</v>
      </c>
      <c r="E1508" s="1" t="n">
        <v>46228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42455-2022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44831</v>
      </c>
      <c r="E1509" s="1" t="n">
        <v>46228</v>
      </c>
      <c r="F1509" t="inlineStr">
        <is>
          <t>DALARNAS LÄN</t>
        </is>
      </c>
      <c r="G1509" t="inlineStr">
        <is>
          <t>FALUN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44593-2023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45189</v>
      </c>
      <c r="E1510" s="1" t="n">
        <v>46228</v>
      </c>
      <c r="F1510" t="inlineStr">
        <is>
          <t>DALARNAS LÄN</t>
        </is>
      </c>
      <c r="G1510" t="inlineStr">
        <is>
          <t>FALUN</t>
        </is>
      </c>
      <c r="I1510" t="n">
        <v>0.2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5973-2024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45336</v>
      </c>
      <c r="E1511" s="1" t="n">
        <v>46228</v>
      </c>
      <c r="F1511" t="inlineStr">
        <is>
          <t>DALARNAS LÄN</t>
        </is>
      </c>
      <c r="G1511" t="inlineStr">
        <is>
          <t>FALUN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3360-2023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44949</v>
      </c>
      <c r="E1512" s="1" t="n">
        <v>46228</v>
      </c>
      <c r="F1512" t="inlineStr">
        <is>
          <t>DALARNAS LÄN</t>
        </is>
      </c>
      <c r="G1512" t="inlineStr">
        <is>
          <t>FALUN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29508-2024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45484</v>
      </c>
      <c r="E1513" s="1" t="n">
        <v>46228</v>
      </c>
      <c r="F1513" t="inlineStr">
        <is>
          <t>DALARNAS LÄN</t>
        </is>
      </c>
      <c r="G1513" t="inlineStr">
        <is>
          <t>FALUN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4928-2024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45329</v>
      </c>
      <c r="E1514" s="1" t="n">
        <v>46228</v>
      </c>
      <c r="F1514" t="inlineStr">
        <is>
          <t>DALARNAS LÄN</t>
        </is>
      </c>
      <c r="G1514" t="inlineStr">
        <is>
          <t>FALUN</t>
        </is>
      </c>
      <c r="I1514" t="n">
        <v>0.2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33972-2023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45134</v>
      </c>
      <c r="E1515" s="1" t="n">
        <v>46228</v>
      </c>
      <c r="F1515" t="inlineStr">
        <is>
          <t>DALARNAS LÄN</t>
        </is>
      </c>
      <c r="G1515" t="inlineStr">
        <is>
          <t>FALUN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1758-2024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45307</v>
      </c>
      <c r="E1516" s="1" t="n">
        <v>46228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17883-2025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45758</v>
      </c>
      <c r="E1517" s="1" t="n">
        <v>46228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41611-2024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45560</v>
      </c>
      <c r="E1518" s="1" t="n">
        <v>46228</v>
      </c>
      <c r="F1518" t="inlineStr">
        <is>
          <t>DALARNAS LÄN</t>
        </is>
      </c>
      <c r="G1518" t="inlineStr">
        <is>
          <t>FALUN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50757-2024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45602</v>
      </c>
      <c r="E1519" s="1" t="n">
        <v>46228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44315-2023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45188</v>
      </c>
      <c r="E1520" s="1" t="n">
        <v>46228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36212-2024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45534</v>
      </c>
      <c r="E1521" s="1" t="n">
        <v>46228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11897-2023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44995</v>
      </c>
      <c r="E1522" s="1" t="n">
        <v>46228</v>
      </c>
      <c r="F1522" t="inlineStr">
        <is>
          <t>DALARNAS LÄN</t>
        </is>
      </c>
      <c r="G1522" t="inlineStr">
        <is>
          <t>FALUN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22843-2022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44715</v>
      </c>
      <c r="E1523" s="1" t="n">
        <v>46228</v>
      </c>
      <c r="F1523" t="inlineStr">
        <is>
          <t>DALARNAS LÄN</t>
        </is>
      </c>
      <c r="G1523" t="inlineStr">
        <is>
          <t>FALUN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56768-2024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45628</v>
      </c>
      <c r="E1524" s="1" t="n">
        <v>46228</v>
      </c>
      <c r="F1524" t="inlineStr">
        <is>
          <t>DALARNAS LÄN</t>
        </is>
      </c>
      <c r="G1524" t="inlineStr">
        <is>
          <t>FALUN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13220-2025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45735</v>
      </c>
      <c r="E1525" s="1" t="n">
        <v>46228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50241-2024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45600</v>
      </c>
      <c r="E1526" s="1" t="n">
        <v>46228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54909-2024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45618</v>
      </c>
      <c r="E1527" s="1" t="n">
        <v>46228</v>
      </c>
      <c r="F1527" t="inlineStr">
        <is>
          <t>DALARNAS LÄN</t>
        </is>
      </c>
      <c r="G1527" t="inlineStr">
        <is>
          <t>FALUN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22663-2023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45071</v>
      </c>
      <c r="E1528" s="1" t="n">
        <v>46228</v>
      </c>
      <c r="F1528" t="inlineStr">
        <is>
          <t>DALARNAS LÄN</t>
        </is>
      </c>
      <c r="G1528" t="inlineStr">
        <is>
          <t>FALUN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20954-2025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45777</v>
      </c>
      <c r="E1529" s="1" t="n">
        <v>46228</v>
      </c>
      <c r="F1529" t="inlineStr">
        <is>
          <t>DALARNAS LÄN</t>
        </is>
      </c>
      <c r="G1529" t="inlineStr">
        <is>
          <t>FALUN</t>
        </is>
      </c>
      <c r="I1529" t="n">
        <v>2.1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20680-2025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45776</v>
      </c>
      <c r="E1530" s="1" t="n">
        <v>46228</v>
      </c>
      <c r="F1530" t="inlineStr">
        <is>
          <t>DALARNAS LÄN</t>
        </is>
      </c>
      <c r="G1530" t="inlineStr">
        <is>
          <t>FALUN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20684-2025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45776</v>
      </c>
      <c r="E1531" s="1" t="n">
        <v>46228</v>
      </c>
      <c r="F1531" t="inlineStr">
        <is>
          <t>DALARNAS LÄN</t>
        </is>
      </c>
      <c r="G1531" t="inlineStr">
        <is>
          <t>FALUN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44183-2024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45572</v>
      </c>
      <c r="E1532" s="1" t="n">
        <v>46228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29880-2024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45486</v>
      </c>
      <c r="E1533" s="1" t="n">
        <v>46228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26773-2024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45470</v>
      </c>
      <c r="E1534" s="1" t="n">
        <v>46228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43755-2023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45187</v>
      </c>
      <c r="E1535" s="1" t="n">
        <v>46228</v>
      </c>
      <c r="F1535" t="inlineStr">
        <is>
          <t>DALARNAS LÄN</t>
        </is>
      </c>
      <c r="G1535" t="inlineStr">
        <is>
          <t>FALUN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24625-2024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45460</v>
      </c>
      <c r="E1536" s="1" t="n">
        <v>46228</v>
      </c>
      <c r="F1536" t="inlineStr">
        <is>
          <t>DALARNAS LÄN</t>
        </is>
      </c>
      <c r="G1536" t="inlineStr">
        <is>
          <t>FALUN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28123-2024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45476</v>
      </c>
      <c r="E1537" s="1" t="n">
        <v>46228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28724-2024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45478</v>
      </c>
      <c r="E1538" s="1" t="n">
        <v>46228</v>
      </c>
      <c r="F1538" t="inlineStr">
        <is>
          <t>DALARNAS LÄN</t>
        </is>
      </c>
      <c r="G1538" t="inlineStr">
        <is>
          <t>FALUN</t>
        </is>
      </c>
      <c r="I1538" t="n">
        <v>5.1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15790-2024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45404</v>
      </c>
      <c r="E1539" s="1" t="n">
        <v>46228</v>
      </c>
      <c r="F1539" t="inlineStr">
        <is>
          <t>DALARNAS LÄN</t>
        </is>
      </c>
      <c r="G1539" t="inlineStr">
        <is>
          <t>FALUN</t>
        </is>
      </c>
      <c r="I1539" t="n">
        <v>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22097-2025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45785</v>
      </c>
      <c r="E1540" s="1" t="n">
        <v>46228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11109-2024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45371</v>
      </c>
      <c r="E1541" s="1" t="n">
        <v>46228</v>
      </c>
      <c r="F1541" t="inlineStr">
        <is>
          <t>DALARNAS LÄN</t>
        </is>
      </c>
      <c r="G1541" t="inlineStr">
        <is>
          <t>FALUN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35894-2024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45533</v>
      </c>
      <c r="E1542" s="1" t="n">
        <v>46228</v>
      </c>
      <c r="F1542" t="inlineStr">
        <is>
          <t>DALARNAS LÄN</t>
        </is>
      </c>
      <c r="G1542" t="inlineStr">
        <is>
          <t>FALUN</t>
        </is>
      </c>
      <c r="I1542" t="n">
        <v>8.800000000000001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35530-2024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45531</v>
      </c>
      <c r="E1543" s="1" t="n">
        <v>46228</v>
      </c>
      <c r="F1543" t="inlineStr">
        <is>
          <t>DALARNAS LÄN</t>
        </is>
      </c>
      <c r="G1543" t="inlineStr">
        <is>
          <t>FALUN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45335</v>
      </c>
      <c r="E1544" s="1" t="n">
        <v>46228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7902-2024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45350</v>
      </c>
      <c r="E1545" s="1" t="n">
        <v>46228</v>
      </c>
      <c r="F1545" t="inlineStr">
        <is>
          <t>DALARNAS LÄN</t>
        </is>
      </c>
      <c r="G1545" t="inlineStr">
        <is>
          <t>FALUN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5169-2024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45330</v>
      </c>
      <c r="E1546" s="1" t="n">
        <v>46228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35890-2024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45533</v>
      </c>
      <c r="E1547" s="1" t="n">
        <v>46228</v>
      </c>
      <c r="F1547" t="inlineStr">
        <is>
          <t>DALARNAS LÄN</t>
        </is>
      </c>
      <c r="G1547" t="inlineStr">
        <is>
          <t>FALUN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50512-2024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45601</v>
      </c>
      <c r="E1548" s="1" t="n">
        <v>46228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38216-2024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45545</v>
      </c>
      <c r="E1549" s="1" t="n">
        <v>46228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9.699999999999999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22782-2024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45448</v>
      </c>
      <c r="E1550" s="1" t="n">
        <v>46228</v>
      </c>
      <c r="F1550" t="inlineStr">
        <is>
          <t>DALARNAS LÄN</t>
        </is>
      </c>
      <c r="G1550" t="inlineStr">
        <is>
          <t>FALUN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36397-2024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45535</v>
      </c>
      <c r="E1551" s="1" t="n">
        <v>46228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35070-2024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45527</v>
      </c>
      <c r="E1552" s="1" t="n">
        <v>46228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26883-2022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44740</v>
      </c>
      <c r="E1553" s="1" t="n">
        <v>46228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23711-2025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45793</v>
      </c>
      <c r="E1554" s="1" t="n">
        <v>46228</v>
      </c>
      <c r="F1554" t="inlineStr">
        <is>
          <t>DALARNAS LÄN</t>
        </is>
      </c>
      <c r="G1554" t="inlineStr">
        <is>
          <t>FALUN</t>
        </is>
      </c>
      <c r="I1554" t="n">
        <v>5.3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51130-2024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45603</v>
      </c>
      <c r="E1555" s="1" t="n">
        <v>46228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36308-2024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45534</v>
      </c>
      <c r="E1556" s="1" t="n">
        <v>46228</v>
      </c>
      <c r="F1556" t="inlineStr">
        <is>
          <t>DALARNAS LÄN</t>
        </is>
      </c>
      <c r="G1556" t="inlineStr">
        <is>
          <t>FALUN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35437-2024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45531</v>
      </c>
      <c r="E1557" s="1" t="n">
        <v>46228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58623-2024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45635</v>
      </c>
      <c r="E1558" s="1" t="n">
        <v>46228</v>
      </c>
      <c r="F1558" t="inlineStr">
        <is>
          <t>DALARNAS LÄN</t>
        </is>
      </c>
      <c r="G1558" t="inlineStr">
        <is>
          <t>FALUN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61877-2024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45652</v>
      </c>
      <c r="E1559" s="1" t="n">
        <v>46228</v>
      </c>
      <c r="F1559" t="inlineStr">
        <is>
          <t>DALARNAS LÄN</t>
        </is>
      </c>
      <c r="G1559" t="inlineStr">
        <is>
          <t>FALUN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20437-2024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45435</v>
      </c>
      <c r="E1560" s="1" t="n">
        <v>46228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42060-2024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45561</v>
      </c>
      <c r="E1561" s="1" t="n">
        <v>46228</v>
      </c>
      <c r="F1561" t="inlineStr">
        <is>
          <t>DALARNAS LÄN</t>
        </is>
      </c>
      <c r="G1561" t="inlineStr">
        <is>
          <t>FALUN</t>
        </is>
      </c>
      <c r="I1561" t="n">
        <v>2.5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2767-2024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45314</v>
      </c>
      <c r="E1562" s="1" t="n">
        <v>46228</v>
      </c>
      <c r="F1562" t="inlineStr">
        <is>
          <t>DALARNAS LÄN</t>
        </is>
      </c>
      <c r="G1562" t="inlineStr">
        <is>
          <t>FALUN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24443-2025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45798</v>
      </c>
      <c r="E1563" s="1" t="n">
        <v>46228</v>
      </c>
      <c r="F1563" t="inlineStr">
        <is>
          <t>DALARNAS LÄN</t>
        </is>
      </c>
      <c r="G1563" t="inlineStr">
        <is>
          <t>FALUN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10940-2025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45723</v>
      </c>
      <c r="E1564" s="1" t="n">
        <v>46228</v>
      </c>
      <c r="F1564" t="inlineStr">
        <is>
          <t>DALARNAS LÄN</t>
        </is>
      </c>
      <c r="G1564" t="inlineStr">
        <is>
          <t>FALUN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26771-2025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45810</v>
      </c>
      <c r="E1565" s="1" t="n">
        <v>46228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26927-2025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45811</v>
      </c>
      <c r="E1566" s="1" t="n">
        <v>46228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15207-2025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45744</v>
      </c>
      <c r="E1567" s="1" t="n">
        <v>46228</v>
      </c>
      <c r="F1567" t="inlineStr">
        <is>
          <t>DALARNAS LÄN</t>
        </is>
      </c>
      <c r="G1567" t="inlineStr">
        <is>
          <t>FALUN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26800-2025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45810</v>
      </c>
      <c r="E1568" s="1" t="n">
        <v>46228</v>
      </c>
      <c r="F1568" t="inlineStr">
        <is>
          <t>DALARNAS LÄN</t>
        </is>
      </c>
      <c r="G1568" t="inlineStr">
        <is>
          <t>FALUN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18463-2022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44686</v>
      </c>
      <c r="E1569" s="1" t="n">
        <v>46228</v>
      </c>
      <c r="F1569" t="inlineStr">
        <is>
          <t>DALARNAS LÄN</t>
        </is>
      </c>
      <c r="G1569" t="inlineStr">
        <is>
          <t>FALUN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27158-2025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45812</v>
      </c>
      <c r="E1570" s="1" t="n">
        <v>46228</v>
      </c>
      <c r="F1570" t="inlineStr">
        <is>
          <t>DALARNAS LÄN</t>
        </is>
      </c>
      <c r="G1570" t="inlineStr">
        <is>
          <t>FALUN</t>
        </is>
      </c>
      <c r="I1570" t="n">
        <v>13.4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27469-2025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45813</v>
      </c>
      <c r="E1571" s="1" t="n">
        <v>46228</v>
      </c>
      <c r="F1571" t="inlineStr">
        <is>
          <t>DALARNAS LÄN</t>
        </is>
      </c>
      <c r="G1571" t="inlineStr">
        <is>
          <t>FALUN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28828-2025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45820</v>
      </c>
      <c r="E1572" s="1" t="n">
        <v>46228</v>
      </c>
      <c r="F1572" t="inlineStr">
        <is>
          <t>DALARNAS LÄN</t>
        </is>
      </c>
      <c r="G1572" t="inlineStr">
        <is>
          <t>FALUN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28721-2025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45820</v>
      </c>
      <c r="E1573" s="1" t="n">
        <v>46228</v>
      </c>
      <c r="F1573" t="inlineStr">
        <is>
          <t>DALARNAS LÄN</t>
        </is>
      </c>
      <c r="G1573" t="inlineStr">
        <is>
          <t>FALUN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28730-2025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45820</v>
      </c>
      <c r="E1574" s="1" t="n">
        <v>46228</v>
      </c>
      <c r="F1574" t="inlineStr">
        <is>
          <t>DALARNAS LÄN</t>
        </is>
      </c>
      <c r="G1574" t="inlineStr">
        <is>
          <t>FALUN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29294-2025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45824</v>
      </c>
      <c r="E1575" s="1" t="n">
        <v>46228</v>
      </c>
      <c r="F1575" t="inlineStr">
        <is>
          <t>DALARNAS LÄN</t>
        </is>
      </c>
      <c r="G1575" t="inlineStr">
        <is>
          <t>FALUN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29355-2025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45824</v>
      </c>
      <c r="E1576" s="1" t="n">
        <v>46228</v>
      </c>
      <c r="F1576" t="inlineStr">
        <is>
          <t>DALARNAS LÄN</t>
        </is>
      </c>
      <c r="G1576" t="inlineStr">
        <is>
          <t>FALUN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30927-2025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45832</v>
      </c>
      <c r="E1577" s="1" t="n">
        <v>46228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30869-2025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45832</v>
      </c>
      <c r="E1578" s="1" t="n">
        <v>46228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33542-2025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45841</v>
      </c>
      <c r="E1579" s="1" t="n">
        <v>46228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34443-2025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45845</v>
      </c>
      <c r="E1580" s="1" t="n">
        <v>46228</v>
      </c>
      <c r="F1580" t="inlineStr">
        <is>
          <t>DALARNAS LÄN</t>
        </is>
      </c>
      <c r="G1580" t="inlineStr">
        <is>
          <t>FALUN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24782-2025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45799</v>
      </c>
      <c r="E1581" s="1" t="n">
        <v>46228</v>
      </c>
      <c r="F1581" t="inlineStr">
        <is>
          <t>DALARNAS LÄN</t>
        </is>
      </c>
      <c r="G1581" t="inlineStr">
        <is>
          <t>FALUN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34941-2025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45849</v>
      </c>
      <c r="E1582" s="1" t="n">
        <v>46228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18.1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35323-2025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45854</v>
      </c>
      <c r="E1583" s="1" t="n">
        <v>46228</v>
      </c>
      <c r="F1583" t="inlineStr">
        <is>
          <t>DALARNAS LÄN</t>
        </is>
      </c>
      <c r="G1583" t="inlineStr">
        <is>
          <t>FALUN</t>
        </is>
      </c>
      <c r="I1583" t="n">
        <v>2.4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36271-2025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45867</v>
      </c>
      <c r="E1584" s="1" t="n">
        <v>46228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2.6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2065-2022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46228</v>
      </c>
      <c r="F1585" t="inlineStr">
        <is>
          <t>DALARNAS LÄN</t>
        </is>
      </c>
      <c r="G1585" t="inlineStr">
        <is>
          <t>FALUN</t>
        </is>
      </c>
      <c r="I1585" t="n">
        <v>84.09999999999999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889-2021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44301</v>
      </c>
      <c r="E1586" s="1" t="n">
        <v>46228</v>
      </c>
      <c r="F1586" t="inlineStr">
        <is>
          <t>DALARNAS LÄN</t>
        </is>
      </c>
      <c r="G1586" t="inlineStr">
        <is>
          <t>FALUN</t>
        </is>
      </c>
      <c r="I1586" t="n">
        <v>84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2524-2024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45474</v>
      </c>
      <c r="E1587" s="1" t="n">
        <v>46228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2621-2023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45147</v>
      </c>
      <c r="E1588" s="1" t="n">
        <v>46228</v>
      </c>
      <c r="F1588" t="inlineStr">
        <is>
          <t>DALARNAS LÄN</t>
        </is>
      </c>
      <c r="G1588" t="inlineStr">
        <is>
          <t>FALUN</t>
        </is>
      </c>
      <c r="I1588" t="n">
        <v>84.3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5110-2021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44421</v>
      </c>
      <c r="E1589" s="1" t="n">
        <v>46228</v>
      </c>
      <c r="F1589" t="inlineStr">
        <is>
          <t>DALARNAS LÄN</t>
        </is>
      </c>
      <c r="G1589" t="inlineStr">
        <is>
          <t>FALUN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2711-2023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45155</v>
      </c>
      <c r="E1590" s="1" t="n">
        <v>46228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6520-2021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44452</v>
      </c>
      <c r="E1591" s="1" t="n">
        <v>46228</v>
      </c>
      <c r="F1591" t="inlineStr">
        <is>
          <t>DALARNAS LÄN</t>
        </is>
      </c>
      <c r="G1591" t="inlineStr">
        <is>
          <t>FALUN</t>
        </is>
      </c>
      <c r="I1591" t="n">
        <v>31.7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2070-2022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44672</v>
      </c>
      <c r="E1592" s="1" t="n">
        <v>46228</v>
      </c>
      <c r="F1592" t="inlineStr">
        <is>
          <t>DALARNAS LÄN</t>
        </is>
      </c>
      <c r="G1592" t="inlineStr">
        <is>
          <t>FALUN</t>
        </is>
      </c>
      <c r="I1592" t="n">
        <v>18.4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1536-2023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45054</v>
      </c>
      <c r="E1593" s="1" t="n">
        <v>46228</v>
      </c>
      <c r="F1593" t="inlineStr">
        <is>
          <t>DALARNAS LÄN</t>
        </is>
      </c>
      <c r="G1593" t="inlineStr">
        <is>
          <t>FALUN</t>
        </is>
      </c>
      <c r="H1593" t="inlineStr">
        <is>
          <t>Bergvik skog väst AB</t>
        </is>
      </c>
      <c r="I1593" t="n">
        <v>179.7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2990-2022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44713</v>
      </c>
      <c r="E1594" s="1" t="n">
        <v>46228</v>
      </c>
      <c r="F1594" t="inlineStr">
        <is>
          <t>DALARNAS LÄN</t>
        </is>
      </c>
      <c r="G1594" t="inlineStr">
        <is>
          <t>FALUN</t>
        </is>
      </c>
      <c r="H1594" t="inlineStr">
        <is>
          <t>Bergvik skog väst AB</t>
        </is>
      </c>
      <c r="I1594" t="n">
        <v>317.3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2864-2023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45168</v>
      </c>
      <c r="E1595" s="1" t="n">
        <v>46228</v>
      </c>
      <c r="F1595" t="inlineStr">
        <is>
          <t>DALARNAS LÄN</t>
        </is>
      </c>
      <c r="G1595" t="inlineStr">
        <is>
          <t>FALUN</t>
        </is>
      </c>
      <c r="H1595" t="inlineStr">
        <is>
          <t>Övriga statliga verk och myndigheter</t>
        </is>
      </c>
      <c r="I1595" t="n">
        <v>15.7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2917-2023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45169</v>
      </c>
      <c r="E1596" s="1" t="n">
        <v>46228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2714-2023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46228</v>
      </c>
      <c r="F1597" t="inlineStr">
        <is>
          <t>DALARNAS LÄN</t>
        </is>
      </c>
      <c r="G1597" t="inlineStr">
        <is>
          <t>FALUN</t>
        </is>
      </c>
      <c r="I1597" t="n">
        <v>10.8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2916-2023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45169</v>
      </c>
      <c r="E1598" s="1" t="n">
        <v>46228</v>
      </c>
      <c r="F1598" t="inlineStr">
        <is>
          <t>DALARNAS LÄN</t>
        </is>
      </c>
      <c r="G1598" t="inlineStr">
        <is>
          <t>FALUN</t>
        </is>
      </c>
      <c r="H1598" t="inlineStr">
        <is>
          <t>Övriga statliga verk och myndigheter</t>
        </is>
      </c>
      <c r="I1598" t="n">
        <v>10.4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240-2024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45319</v>
      </c>
      <c r="E1599" s="1" t="n">
        <v>46228</v>
      </c>
      <c r="F1599" t="inlineStr">
        <is>
          <t>DALARNAS LÄN</t>
        </is>
      </c>
      <c r="G1599" t="inlineStr">
        <is>
          <t>FALUN</t>
        </is>
      </c>
      <c r="H1599" t="inlineStr">
        <is>
          <t>Sveaskog</t>
        </is>
      </c>
      <c r="I1599" t="n">
        <v>56.9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3359-2024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45532</v>
      </c>
      <c r="E1600" s="1" t="n">
        <v>46228</v>
      </c>
      <c r="F1600" t="inlineStr">
        <is>
          <t>DALARNAS LÄN</t>
        </is>
      </c>
      <c r="G1600" t="inlineStr">
        <is>
          <t>FALUN</t>
        </is>
      </c>
      <c r="I1600" t="n">
        <v>70.90000000000001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2712-2023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45155</v>
      </c>
      <c r="E1601" s="1" t="n">
        <v>46228</v>
      </c>
      <c r="F1601" t="inlineStr">
        <is>
          <t>DALARNAS LÄN</t>
        </is>
      </c>
      <c r="G1601" t="inlineStr">
        <is>
          <t>FALUN</t>
        </is>
      </c>
      <c r="I1601" t="n">
        <v>3.5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4545-2024</t>
        </is>
      </c>
      <c r="B1602" t="inlineStr">
        <is>
          <t>samrådsanmälan</t>
        </is>
      </c>
      <c r="C1602" t="inlineStr">
        <is>
          <t>Annan skogsbruksåtgärd</t>
        </is>
      </c>
      <c r="D1602" s="1" t="n">
        <v>45597</v>
      </c>
      <c r="E1602" s="1" t="n">
        <v>46228</v>
      </c>
      <c r="F1602" t="inlineStr">
        <is>
          <t>DALARNAS LÄN</t>
        </is>
      </c>
      <c r="G1602" t="inlineStr">
        <is>
          <t>FALUN</t>
        </is>
      </c>
      <c r="H1602" t="inlineStr">
        <is>
          <t>Bergvik skog väst AB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1184-2024</t>
        </is>
      </c>
      <c r="B1603" t="inlineStr">
        <is>
          <t>samrådsanmälan</t>
        </is>
      </c>
      <c r="C1603" t="inlineStr">
        <is>
          <t>Skogsgödsling</t>
        </is>
      </c>
      <c r="D1603" s="1" t="n">
        <v>45396</v>
      </c>
      <c r="E1603" s="1" t="n">
        <v>46228</v>
      </c>
      <c r="F1603" t="inlineStr">
        <is>
          <t>DALARNAS LÄN</t>
        </is>
      </c>
      <c r="G1603" t="inlineStr">
        <is>
          <t>FALUN</t>
        </is>
      </c>
      <c r="I1603" t="n">
        <v>15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2066-2022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44672</v>
      </c>
      <c r="E1604" s="1" t="n">
        <v>46228</v>
      </c>
      <c r="F1604" t="inlineStr">
        <is>
          <t>DALARNAS LÄN</t>
        </is>
      </c>
      <c r="G1604" t="inlineStr">
        <is>
          <t>FALUN</t>
        </is>
      </c>
      <c r="I1604" t="n">
        <v>18.4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1347-2025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45772</v>
      </c>
      <c r="E1605" s="1" t="n">
        <v>46228</v>
      </c>
      <c r="F1605" t="inlineStr">
        <is>
          <t>DALARNAS LÄN</t>
        </is>
      </c>
      <c r="G1605" t="inlineStr">
        <is>
          <t>FALUN</t>
        </is>
      </c>
      <c r="I1605" t="n">
        <v>24.4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1581-2025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45796</v>
      </c>
      <c r="E1606" s="1" t="n">
        <v>46228</v>
      </c>
      <c r="F1606" t="inlineStr">
        <is>
          <t>DALARNAS LÄN</t>
        </is>
      </c>
      <c r="G1606" t="inlineStr">
        <is>
          <t>FALUN</t>
        </is>
      </c>
      <c r="I1606" t="n">
        <v>15.7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2125-2025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46228</v>
      </c>
      <c r="F1607" t="inlineStr">
        <is>
          <t>DALARNAS LÄN</t>
        </is>
      </c>
      <c r="G1607" t="inlineStr">
        <is>
          <t>FALUN</t>
        </is>
      </c>
      <c r="I1607" t="n">
        <v>4.2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2126-2025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46228</v>
      </c>
      <c r="F1608" t="inlineStr">
        <is>
          <t>DALARNAS LÄN</t>
        </is>
      </c>
      <c r="G1608" t="inlineStr">
        <is>
          <t>FALUN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2124-2025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45846</v>
      </c>
      <c r="E1609" s="1" t="n">
        <v>46228</v>
      </c>
      <c r="F1609" t="inlineStr">
        <is>
          <t>DALARNAS LÄN</t>
        </is>
      </c>
      <c r="G1609" t="inlineStr">
        <is>
          <t>FALUN</t>
        </is>
      </c>
      <c r="I1609" t="n">
        <v>10.8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2573-2025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45912</v>
      </c>
      <c r="E1610" s="1" t="n">
        <v>46228</v>
      </c>
      <c r="F1610" t="inlineStr">
        <is>
          <t>DALARNAS LÄN</t>
        </is>
      </c>
      <c r="G1610" t="inlineStr">
        <is>
          <t>FALUN</t>
        </is>
      </c>
      <c r="I1610" t="n">
        <v>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111-2026</t>
        </is>
      </c>
      <c r="B1611" t="inlineStr">
        <is>
          <t>samrådsanmälan</t>
        </is>
      </c>
      <c r="C1611" t="inlineStr">
        <is>
          <t>Annan skogsbruksåtgärd</t>
        </is>
      </c>
      <c r="D1611" s="1" t="n">
        <v>46038</v>
      </c>
      <c r="E1611" s="1" t="n">
        <v>46228</v>
      </c>
      <c r="F1611" t="inlineStr">
        <is>
          <t>DALARNAS LÄN</t>
        </is>
      </c>
      <c r="G1611" t="inlineStr">
        <is>
          <t>FALUN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S 409-2026</t>
        </is>
      </c>
      <c r="B1612" t="inlineStr">
        <is>
          <t>samrådsanmälan</t>
        </is>
      </c>
      <c r="C1612" t="inlineStr">
        <is>
          <t>Skogsgödsling</t>
        </is>
      </c>
      <c r="D1612" s="1" t="n">
        <v>46070</v>
      </c>
      <c r="E1612" s="1" t="n">
        <v>46228</v>
      </c>
      <c r="F1612" t="inlineStr">
        <is>
          <t>DALARNAS LÄN</t>
        </is>
      </c>
      <c r="G1612" t="inlineStr">
        <is>
          <t>FALUN</t>
        </is>
      </c>
      <c r="H1612" t="inlineStr">
        <is>
          <t>Sveaskog</t>
        </is>
      </c>
      <c r="I1612" t="n">
        <v>17.1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>
      <c r="A1613" t="inlineStr">
        <is>
          <t>S 1869-2026</t>
        </is>
      </c>
      <c r="B1613" t="inlineStr">
        <is>
          <t>samrådsanmälan</t>
        </is>
      </c>
      <c r="C1613" t="inlineStr">
        <is>
          <t>Askåterföring</t>
        </is>
      </c>
      <c r="D1613" s="1" t="n">
        <v>46199</v>
      </c>
      <c r="E1613" s="1" t="n">
        <v>46228</v>
      </c>
      <c r="F1613" t="inlineStr">
        <is>
          <t>DALARNAS LÄN</t>
        </is>
      </c>
      <c r="G1613" t="inlineStr">
        <is>
          <t>FALUN</t>
        </is>
      </c>
      <c r="I1613" t="n">
        <v>9.1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2026-07-25T01:53:35Z</dcterms:created>
  <dcterms:modified xmlns:dcterms="http://purl.org/dc/terms/" xmlns:xsi="http://www.w3.org/2001/XMLSchema-instance" xsi:type="dcterms:W3CDTF">2026-07-25T01:53:37Z</dcterms:modified>
</cp:coreProperties>
</file>