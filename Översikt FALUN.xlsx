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46273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46273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46273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46273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46273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46273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46273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46273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46273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46273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46273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46273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46273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46273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46273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46273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31622-2023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46273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6.6</v>
      </c>
      <c r="J22" t="n">
        <v>4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29</v>
      </c>
      <c r="U22" t="n">
        <v>5</v>
      </c>
      <c r="V22" s="2" t="inlineStr">
        <is>
          <t>Knärot
Gultoppig fingersvamp
Grönpyrola
Plattlummer
Mattlummer
Spillkråka</t>
        </is>
      </c>
      <c r="W22">
        <f>HYPERLINK("https://klasma.github.io/Logging_2080/artfynd/A 31622-2023 artfynd.xlsx", "A 31622-2023")</f>
        <v/>
      </c>
      <c r="X22">
        <f>HYPERLINK("https://klasma.github.io/Logging_2080/kartor/A 31622-2023 karta.png", "A 31622-2023")</f>
        <v/>
      </c>
      <c r="Y22">
        <f>HYPERLINK("https://klasma.github.io/Logging_2080/kartor_geotiff/A 31622-2023 georefererad karta.tif", "A 31622-2023")</f>
        <v/>
      </c>
      <c r="Z22">
        <f>HYPERLINK("https://klasma.github.io/Logging_2080/knärot/A 31622-2023 karta knärot.png", "A 31622-2023")</f>
        <v/>
      </c>
      <c r="AA22">
        <f>HYPERLINK("https://klasma.github.io/Logging_2080/klagomål/A 31622-2023 FSC-klagomål.docx", "A 31622-2023")</f>
        <v/>
      </c>
      <c r="AB22">
        <f>HYPERLINK("https://klasma.github.io/Logging_2080/klagomålsmail/A 31622-2023 FSC-klagomål mail.docx", "A 31622-2023")</f>
        <v/>
      </c>
      <c r="AC22">
        <f>HYPERLINK("https://klasma.github.io/Logging_2080/tillsyn/A 31622-2023 tillsynsbegäran.docx", "A 31622-2023")</f>
        <v/>
      </c>
      <c r="AD22">
        <f>HYPERLINK("https://klasma.github.io/Logging_2080/tillsynsmail/A 31622-2023 tillsynsbegäran mail.docx", "A 31622-2023")</f>
        <v/>
      </c>
      <c r="AE22">
        <f>HYPERLINK("https://klasma.github.io/Logging_2080/fåglar/A 31622-2023 prioriterade fågelarter.docx", "A 31622-2023")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46273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46273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1364-2026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46273</v>
      </c>
      <c r="F25" t="inlineStr">
        <is>
          <t>DALARNAS LÄN</t>
        </is>
      </c>
      <c r="G25" t="inlineStr">
        <is>
          <t>FALUN</t>
        </is>
      </c>
      <c r="I25" t="n">
        <v>10.2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10</v>
      </c>
      <c r="U25" t="n">
        <v>10</v>
      </c>
      <c r="V25" s="2" t="inlineStr">
        <is>
          <t>Stjärntagging
Tretåig hackspett
Nästlav
Linnea
Spillkråka
Grönsiska</t>
        </is>
      </c>
      <c r="W25">
        <f>HYPERLINK("https://klasma.github.io/Logging_2080/artfynd/A 1364-2026 artfynd.xlsx", "A 1364-2026")</f>
        <v/>
      </c>
      <c r="X25">
        <f>HYPERLINK("https://klasma.github.io/Logging_2080/kartor/A 1364-2026 karta.png", "A 1364-2026")</f>
        <v/>
      </c>
      <c r="Y25">
        <f>HYPERLINK("https://klasma.github.io/Logging_2080/kartor_geotiff/A 1364-2026 georefererad karta.tif", "A 1364-2026")</f>
        <v/>
      </c>
      <c r="AA25">
        <f>HYPERLINK("https://klasma.github.io/Logging_2080/klagomål/A 1364-2026 FSC-klagomål.docx", "A 1364-2026")</f>
        <v/>
      </c>
      <c r="AB25">
        <f>HYPERLINK("https://klasma.github.io/Logging_2080/klagomålsmail/A 1364-2026 FSC-klagomål mail.docx", "A 1364-2026")</f>
        <v/>
      </c>
      <c r="AC25">
        <f>HYPERLINK("https://klasma.github.io/Logging_2080/tillsyn/A 1364-2026 tillsynsbegäran.docx", "A 1364-2026")</f>
        <v/>
      </c>
      <c r="AD25">
        <f>HYPERLINK("https://klasma.github.io/Logging_2080/tillsynsmail/A 1364-2026 tillsynsbegäran mail.docx", "A 1364-2026")</f>
        <v/>
      </c>
      <c r="AE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46273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46273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46273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46273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46273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46273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46273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46273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46273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46273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46273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46273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46273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46273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1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28173-2026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46273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3.8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11</v>
      </c>
      <c r="U42" t="n">
        <v>11</v>
      </c>
      <c r="V42" s="2" t="inlineStr">
        <is>
          <t>Garnlav
Rosenticka
Tallticka
Tretåig hackspett</t>
        </is>
      </c>
      <c r="W42">
        <f>HYPERLINK("https://klasma.github.io/Logging_2080/artfynd/A 28173-2026 artfynd.xlsx", "A 28173-2026")</f>
        <v/>
      </c>
      <c r="X42">
        <f>HYPERLINK("https://klasma.github.io/Logging_2080/kartor/A 28173-2026 karta.png", "A 28173-2026")</f>
        <v/>
      </c>
      <c r="Y42">
        <f>HYPERLINK("https://klasma.github.io/Logging_2080/kartor_geotiff/A 28173-2026 georefererad karta.tif", "A 28173-2026")</f>
        <v/>
      </c>
      <c r="AA42">
        <f>HYPERLINK("https://klasma.github.io/Logging_2080/klagomål/A 28173-2026 FSC-klagomål.docx", "A 28173-2026")</f>
        <v/>
      </c>
      <c r="AB42">
        <f>HYPERLINK("https://klasma.github.io/Logging_2080/klagomålsmail/A 28173-2026 FSC-klagomål mail.docx", "A 28173-2026")</f>
        <v/>
      </c>
      <c r="AC42">
        <f>HYPERLINK("https://klasma.github.io/Logging_2080/tillsyn/A 28173-2026 tillsynsbegäran.docx", "A 28173-2026")</f>
        <v/>
      </c>
      <c r="AD42">
        <f>HYPERLINK("https://klasma.github.io/Logging_2080/tillsynsmail/A 28173-2026 tillsynsbegäran mail.docx", "A 28173-2026")</f>
        <v/>
      </c>
      <c r="AE42">
        <f>HYPERLINK("https://klasma.github.io/Logging_2080/fåglar/A 28173-2026 prioriterade fågelarter.docx", "A 28173-2026")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46273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46273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46273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34506-2024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46273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12.5</v>
      </c>
      <c r="J46" t="n">
        <v>2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Knärot
Dropptaggsvamp
Tallticka
Tretåig hackspett</t>
        </is>
      </c>
      <c r="W46">
        <f>HYPERLINK("https://klasma.github.io/Logging_2080/artfynd/A 34506-2024 artfynd.xlsx", "A 34506-2024")</f>
        <v/>
      </c>
      <c r="X46">
        <f>HYPERLINK("https://klasma.github.io/Logging_2080/kartor/A 34506-2024 karta.png", "A 34506-2024")</f>
        <v/>
      </c>
      <c r="Y46">
        <f>HYPERLINK("https://klasma.github.io/Logging_2080/kartor_geotiff/A 34506-2024 georefererad karta.tif", "A 34506-2024")</f>
        <v/>
      </c>
      <c r="Z46">
        <f>HYPERLINK("https://klasma.github.io/Logging_2080/knärot/A 34506-2024 karta knärot.png", "A 34506-2024")</f>
        <v/>
      </c>
      <c r="AA46">
        <f>HYPERLINK("https://klasma.github.io/Logging_2080/klagomål/A 34506-2024 FSC-klagomål.docx", "A 34506-2024")</f>
        <v/>
      </c>
      <c r="AB46">
        <f>HYPERLINK("https://klasma.github.io/Logging_2080/klagomålsmail/A 34506-2024 FSC-klagomål mail.docx", "A 34506-2024")</f>
        <v/>
      </c>
      <c r="AC46">
        <f>HYPERLINK("https://klasma.github.io/Logging_2080/tillsyn/A 34506-2024 tillsynsbegäran.docx", "A 34506-2024")</f>
        <v/>
      </c>
      <c r="AD46">
        <f>HYPERLINK("https://klasma.github.io/Logging_2080/tillsynsmail/A 34506-2024 tillsynsbegäran mail.docx", "A 34506-2024")</f>
        <v/>
      </c>
      <c r="AE46">
        <f>HYPERLINK("https://klasma.github.io/Logging_2080/fåglar/A 34506-2024 prioriterade fågelarter.docx", "A 34506-2024")</f>
        <v/>
      </c>
    </row>
    <row r="47" ht="15" customHeight="1">
      <c r="A47" t="inlineStr">
        <is>
          <t>A 4532-2024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46273</v>
      </c>
      <c r="F47" t="inlineStr">
        <is>
          <t>DALARNAS LÄN</t>
        </is>
      </c>
      <c r="G47" t="inlineStr">
        <is>
          <t>FALUN</t>
        </is>
      </c>
      <c r="I47" t="n">
        <v>4.6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Vedtrappmossa
Stuplav
Vedticka
Tjäder</t>
        </is>
      </c>
      <c r="W47">
        <f>HYPERLINK("https://klasma.github.io/Logging_2080/artfynd/A 4532-2024 artfynd.xlsx", "A 4532-2024")</f>
        <v/>
      </c>
      <c r="X47">
        <f>HYPERLINK("https://klasma.github.io/Logging_2080/kartor/A 4532-2024 karta.png", "A 4532-2024")</f>
        <v/>
      </c>
      <c r="Y47">
        <f>HYPERLINK("https://klasma.github.io/Logging_2080/kartor_geotiff/A 4532-2024 georefererad karta.tif", "A 4532-2024")</f>
        <v/>
      </c>
      <c r="AA47">
        <f>HYPERLINK("https://klasma.github.io/Logging_2080/klagomål/A 4532-2024 FSC-klagomål.docx", "A 4532-2024")</f>
        <v/>
      </c>
      <c r="AB47">
        <f>HYPERLINK("https://klasma.github.io/Logging_2080/klagomålsmail/A 4532-2024 FSC-klagomål mail.docx", "A 4532-2024")</f>
        <v/>
      </c>
      <c r="AC47">
        <f>HYPERLINK("https://klasma.github.io/Logging_2080/tillsyn/A 4532-2024 tillsynsbegäran.docx", "A 4532-2024")</f>
        <v/>
      </c>
      <c r="AD47">
        <f>HYPERLINK("https://klasma.github.io/Logging_2080/tillsynsmail/A 4532-2024 tillsynsbegäran mail.docx", "A 4532-2024")</f>
        <v/>
      </c>
      <c r="AE47">
        <f>HYPERLINK("https://klasma.github.io/Logging_2080/fåglar/A 4532-2024 prioriterade fågelarter.docx", "A 4532-2024")</f>
        <v/>
      </c>
    </row>
    <row r="48" ht="15" customHeight="1">
      <c r="A48" t="inlineStr">
        <is>
          <t>A 28119-2025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46273</v>
      </c>
      <c r="F48" t="inlineStr">
        <is>
          <t>DALARNAS LÄN</t>
        </is>
      </c>
      <c r="G48" t="inlineStr">
        <is>
          <t>FALUN</t>
        </is>
      </c>
      <c r="I48" t="n">
        <v>7.4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1</v>
      </c>
      <c r="V48" s="2" t="inlineStr">
        <is>
          <t>Tallticka
Bred kärrtrollslända
Pudrad kärrtrollslända
Vattenfladdermus</t>
        </is>
      </c>
      <c r="W48">
        <f>HYPERLINK("https://klasma.github.io/Logging_2080/artfynd/A 28119-2025 artfynd.xlsx", "A 28119-2025")</f>
        <v/>
      </c>
      <c r="X48">
        <f>HYPERLINK("https://klasma.github.io/Logging_2080/kartor/A 28119-2025 karta.png", "A 28119-2025")</f>
        <v/>
      </c>
      <c r="Y48">
        <f>HYPERLINK("https://klasma.github.io/Logging_2080/kartor_geotiff/A 28119-2025 georefererad karta.tif", "A 28119-2025")</f>
        <v/>
      </c>
      <c r="AA48">
        <f>HYPERLINK("https://klasma.github.io/Logging_2080/klagomål/A 28119-2025 FSC-klagomål.docx", "A 28119-2025")</f>
        <v/>
      </c>
      <c r="AB48">
        <f>HYPERLINK("https://klasma.github.io/Logging_2080/klagomålsmail/A 28119-2025 FSC-klagomål mail.docx", "A 28119-2025")</f>
        <v/>
      </c>
      <c r="AC48">
        <f>HYPERLINK("https://klasma.github.io/Logging_2080/tillsyn/A 28119-2025 tillsynsbegäran.docx", "A 28119-2025")</f>
        <v/>
      </c>
      <c r="AD48">
        <f>HYPERLINK("https://klasma.github.io/Logging_2080/tillsynsmail/A 28119-2025 tillsynsbegäran mail.docx", "A 28119-2025")</f>
        <v/>
      </c>
    </row>
    <row r="49" ht="15" customHeight="1">
      <c r="A49" t="inlineStr">
        <is>
          <t>A 33525-2025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46273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0.6</v>
      </c>
      <c r="J49" t="n">
        <v>0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5</v>
      </c>
      <c r="U49" t="n">
        <v>0</v>
      </c>
      <c r="V49" s="2" t="inlineStr">
        <is>
          <t>Garnlav
Dropptaggsvamp
Ullticka
Vedskivlav</t>
        </is>
      </c>
      <c r="W49">
        <f>HYPERLINK("https://klasma.github.io/Logging_2080/artfynd/A 33525-2025 artfynd.xlsx", "A 33525-2025")</f>
        <v/>
      </c>
      <c r="X49">
        <f>HYPERLINK("https://klasma.github.io/Logging_2080/kartor/A 33525-2025 karta.png", "A 33525-2025")</f>
        <v/>
      </c>
      <c r="Y49">
        <f>HYPERLINK("https://klasma.github.io/Logging_2080/kartor_geotiff/A 33525-2025 georefererad karta.tif", "A 33525-2025")</f>
        <v/>
      </c>
      <c r="AA49">
        <f>HYPERLINK("https://klasma.github.io/Logging_2080/klagomål/A 33525-2025 FSC-klagomål.docx", "A 33525-2025")</f>
        <v/>
      </c>
      <c r="AB49">
        <f>HYPERLINK("https://klasma.github.io/Logging_2080/klagomålsmail/A 33525-2025 FSC-klagomål mail.docx", "A 33525-2025")</f>
        <v/>
      </c>
      <c r="AC49">
        <f>HYPERLINK("https://klasma.github.io/Logging_2080/tillsyn/A 33525-2025 tillsynsbegäran.docx", "A 33525-2025")</f>
        <v/>
      </c>
      <c r="AD49">
        <f>HYPERLINK("https://klasma.github.io/Logging_2080/tillsynsmail/A 33525-2025 tillsynsbegäran mail.docx", "A 33525-2025")</f>
        <v/>
      </c>
    </row>
    <row r="50" ht="15" customHeight="1">
      <c r="A50" t="inlineStr">
        <is>
          <t>A 36197-2025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45867</v>
      </c>
      <c r="E50" s="1" t="n">
        <v>46273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27.9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19</v>
      </c>
      <c r="U50" t="n">
        <v>19</v>
      </c>
      <c r="V50" s="2" t="inlineStr">
        <is>
          <t>Knärot
Rynkskinn
Skarp dropptaggsvamp
Svavelriska</t>
        </is>
      </c>
      <c r="W50">
        <f>HYPERLINK("https://klasma.github.io/Logging_2080/artfynd/A 36197-2025 artfynd.xlsx", "A 36197-2025")</f>
        <v/>
      </c>
      <c r="X50">
        <f>HYPERLINK("https://klasma.github.io/Logging_2080/kartor/A 36197-2025 karta.png", "A 36197-2025")</f>
        <v/>
      </c>
      <c r="Y50">
        <f>HYPERLINK("https://klasma.github.io/Logging_2080/kartor_geotiff/A 36197-2025 georefererad karta.tif", "A 36197-2025")</f>
        <v/>
      </c>
      <c r="Z50">
        <f>HYPERLINK("https://klasma.github.io/Logging_2080/knärot/A 36197-2025 karta knärot.png", "A 36197-2025")</f>
        <v/>
      </c>
      <c r="AA50">
        <f>HYPERLINK("https://klasma.github.io/Logging_2080/klagomål/A 36197-2025 FSC-klagomål.docx", "A 36197-2025")</f>
        <v/>
      </c>
      <c r="AB50">
        <f>HYPERLINK("https://klasma.github.io/Logging_2080/klagomålsmail/A 36197-2025 FSC-klagomål mail.docx", "A 36197-2025")</f>
        <v/>
      </c>
      <c r="AC50">
        <f>HYPERLINK("https://klasma.github.io/Logging_2080/tillsyn/A 36197-2025 tillsynsbegäran.docx", "A 36197-2025")</f>
        <v/>
      </c>
      <c r="AD50">
        <f>HYPERLINK("https://klasma.github.io/Logging_2080/tillsynsmail/A 36197-2025 tillsynsbegäran mail.docx", "A 36197-2025")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46273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46273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46273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6317-2023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46273</v>
      </c>
      <c r="F54" t="inlineStr">
        <is>
          <t>DALARNAS LÄN</t>
        </is>
      </c>
      <c r="G54" t="inlineStr">
        <is>
          <t>FALUN</t>
        </is>
      </c>
      <c r="I54" t="n">
        <v>1.4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Gullpudra
Sparvuggla
Svavelriska</t>
        </is>
      </c>
      <c r="W54">
        <f>HYPERLINK("https://klasma.github.io/Logging_2080/artfynd/A 6317-2023 artfynd.xlsx", "A 6317-2023")</f>
        <v/>
      </c>
      <c r="X54">
        <f>HYPERLINK("https://klasma.github.io/Logging_2080/kartor/A 6317-2023 karta.png", "A 6317-2023")</f>
        <v/>
      </c>
      <c r="Y54">
        <f>HYPERLINK("https://klasma.github.io/Logging_2080/kartor_geotiff/A 6317-2023 georefererad karta.tif", "A 6317-2023")</f>
        <v/>
      </c>
      <c r="AA54">
        <f>HYPERLINK("https://klasma.github.io/Logging_2080/klagomål/A 6317-2023 FSC-klagomål.docx", "A 6317-2023")</f>
        <v/>
      </c>
      <c r="AB54">
        <f>HYPERLINK("https://klasma.github.io/Logging_2080/klagomålsmail/A 6317-2023 FSC-klagomål mail.docx", "A 6317-2023")</f>
        <v/>
      </c>
      <c r="AC54">
        <f>HYPERLINK("https://klasma.github.io/Logging_2080/tillsyn/A 6317-2023 tillsynsbegäran.docx", "A 6317-2023")</f>
        <v/>
      </c>
      <c r="AD54">
        <f>HYPERLINK("https://klasma.github.io/Logging_2080/tillsynsmail/A 6317-2023 tillsynsbegäran mail.docx", "A 6317-2023")</f>
        <v/>
      </c>
      <c r="AE54">
        <f>HYPERLINK("https://klasma.github.io/Logging_2080/fåglar/A 6317-2023 prioriterade fågelarter.docx", "A 6317-2023")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46273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46273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46273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46273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50417-2025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45944</v>
      </c>
      <c r="E59" s="1" t="n">
        <v>46273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Kattfotslav
Ullticka
Bollvitmossa</t>
        </is>
      </c>
      <c r="W59">
        <f>HYPERLINK("https://klasma.github.io/Logging_2080/artfynd/A 50417-2025 artfynd.xlsx", "A 50417-2025")</f>
        <v/>
      </c>
      <c r="X59">
        <f>HYPERLINK("https://klasma.github.io/Logging_2080/kartor/A 50417-2025 karta.png", "A 50417-2025")</f>
        <v/>
      </c>
      <c r="Y59">
        <f>HYPERLINK("https://klasma.github.io/Logging_2080/kartor_geotiff/A 50417-2025 georefererad karta.tif", "A 50417-2025")</f>
        <v/>
      </c>
      <c r="AA59">
        <f>HYPERLINK("https://klasma.github.io/Logging_2080/klagomål/A 50417-2025 FSC-klagomål.docx", "A 50417-2025")</f>
        <v/>
      </c>
      <c r="AB59">
        <f>HYPERLINK("https://klasma.github.io/Logging_2080/klagomålsmail/A 50417-2025 FSC-klagomål mail.docx", "A 50417-2025")</f>
        <v/>
      </c>
      <c r="AC59">
        <f>HYPERLINK("https://klasma.github.io/Logging_2080/tillsyn/A 50417-2025 tillsynsbegäran.docx", "A 50417-2025")</f>
        <v/>
      </c>
      <c r="AD59">
        <f>HYPERLINK("https://klasma.github.io/Logging_2080/tillsynsmail/A 50417-2025 tillsynsbegäran mail.docx", "A 50417-2025")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46273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46273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60940-2025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45999</v>
      </c>
      <c r="E62" s="1" t="n">
        <v>46273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13.7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Kortskaftad ärgspik
Tallticka
Tjäder</t>
        </is>
      </c>
      <c r="W62">
        <f>HYPERLINK("https://klasma.github.io/Logging_2080/artfynd/A 60940-2025 artfynd.xlsx", "A 60940-2025")</f>
        <v/>
      </c>
      <c r="X62">
        <f>HYPERLINK("https://klasma.github.io/Logging_2080/kartor/A 60940-2025 karta.png", "A 60940-2025")</f>
        <v/>
      </c>
      <c r="Y62">
        <f>HYPERLINK("https://klasma.github.io/Logging_2080/kartor_geotiff/A 60940-2025 georefererad karta.tif", "A 60940-2025")</f>
        <v/>
      </c>
      <c r="AA62">
        <f>HYPERLINK("https://klasma.github.io/Logging_2080/klagomål/A 60940-2025 FSC-klagomål.docx", "A 60940-2025")</f>
        <v/>
      </c>
      <c r="AB62">
        <f>HYPERLINK("https://klasma.github.io/Logging_2080/klagomålsmail/A 60940-2025 FSC-klagomål mail.docx", "A 60940-2025")</f>
        <v/>
      </c>
      <c r="AC62">
        <f>HYPERLINK("https://klasma.github.io/Logging_2080/tillsyn/A 60940-2025 tillsynsbegäran.docx", "A 60940-2025")</f>
        <v/>
      </c>
      <c r="AD62">
        <f>HYPERLINK("https://klasma.github.io/Logging_2080/tillsynsmail/A 60940-2025 tillsynsbegäran mail.docx", "A 60940-2025")</f>
        <v/>
      </c>
      <c r="AE62">
        <f>HYPERLINK("https://klasma.github.io/Logging_2080/fåglar/A 60940-2025 prioriterade fågelarter.docx", "A 60940-2025")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46273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3208-2026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46273</v>
      </c>
      <c r="F64" t="inlineStr">
        <is>
          <t>DALARNAS LÄN</t>
        </is>
      </c>
      <c r="G64" t="inlineStr">
        <is>
          <t>FALUN</t>
        </is>
      </c>
      <c r="I64" t="n">
        <v>5.3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Kolflarnlav
Mörk kolflarnlav</t>
        </is>
      </c>
      <c r="W64">
        <f>HYPERLINK("https://klasma.github.io/Logging_2080/artfynd/A 3208-2026 artfynd.xlsx", "A 3208-2026")</f>
        <v/>
      </c>
      <c r="X64">
        <f>HYPERLINK("https://klasma.github.io/Logging_2080/kartor/A 3208-2026 karta.png", "A 3208-2026")</f>
        <v/>
      </c>
      <c r="Y64">
        <f>HYPERLINK("https://klasma.github.io/Logging_2080/kartor_geotiff/A 3208-2026 georefererad karta.tif", "A 3208-2026")</f>
        <v/>
      </c>
      <c r="AA64">
        <f>HYPERLINK("https://klasma.github.io/Logging_2080/klagomål/A 3208-2026 FSC-klagomål.docx", "A 3208-2026")</f>
        <v/>
      </c>
      <c r="AB64">
        <f>HYPERLINK("https://klasma.github.io/Logging_2080/klagomålsmail/A 3208-2026 FSC-klagomål mail.docx", "A 3208-2026")</f>
        <v/>
      </c>
      <c r="AC64">
        <f>HYPERLINK("https://klasma.github.io/Logging_2080/tillsyn/A 3208-2026 tillsynsbegäran.docx", "A 3208-2026")</f>
        <v/>
      </c>
      <c r="AD64">
        <f>HYPERLINK("https://klasma.github.io/Logging_2080/tillsynsmail/A 3208-2026 tillsynsbegäran mail.docx", "A 3208-2026")</f>
        <v/>
      </c>
    </row>
    <row r="65" ht="15" customHeight="1">
      <c r="A65" t="inlineStr">
        <is>
          <t>A 17628-2026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46121</v>
      </c>
      <c r="E65" s="1" t="n">
        <v>46273</v>
      </c>
      <c r="F65" t="inlineStr">
        <is>
          <t>DALARNAS LÄN</t>
        </is>
      </c>
      <c r="G65" t="inlineStr">
        <is>
          <t>FALUN</t>
        </is>
      </c>
      <c r="I65" t="n">
        <v>4.6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Kolflarnlav
Vedskivlav
Mindre märgborre</t>
        </is>
      </c>
      <c r="W65">
        <f>HYPERLINK("https://klasma.github.io/Logging_2080/artfynd/A 17628-2026 artfynd.xlsx", "A 17628-2026")</f>
        <v/>
      </c>
      <c r="X65">
        <f>HYPERLINK("https://klasma.github.io/Logging_2080/kartor/A 17628-2026 karta.png", "A 17628-2026")</f>
        <v/>
      </c>
      <c r="Y65">
        <f>HYPERLINK("https://klasma.github.io/Logging_2080/kartor_geotiff/A 17628-2026 georefererad karta.tif", "A 17628-2026")</f>
        <v/>
      </c>
      <c r="AA65">
        <f>HYPERLINK("https://klasma.github.io/Logging_2080/klagomål/A 17628-2026 FSC-klagomål.docx", "A 17628-2026")</f>
        <v/>
      </c>
      <c r="AB65">
        <f>HYPERLINK("https://klasma.github.io/Logging_2080/klagomålsmail/A 17628-2026 FSC-klagomål mail.docx", "A 17628-2026")</f>
        <v/>
      </c>
      <c r="AC65">
        <f>HYPERLINK("https://klasma.github.io/Logging_2080/tillsyn/A 17628-2026 tillsynsbegäran.docx", "A 17628-2026")</f>
        <v/>
      </c>
      <c r="AD65">
        <f>HYPERLINK("https://klasma.github.io/Logging_2080/tillsynsmail/A 17628-2026 tillsynsbegäran mail.docx", "A 17628-2026")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46273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46273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46273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46273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8751-2024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46273</v>
      </c>
      <c r="F70" t="inlineStr">
        <is>
          <t>DALARNAS LÄN</t>
        </is>
      </c>
      <c r="G70" t="inlineStr">
        <is>
          <t>FALUN</t>
        </is>
      </c>
      <c r="I70" t="n">
        <v>6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Vanlig groda</t>
        </is>
      </c>
      <c r="W70">
        <f>HYPERLINK("https://klasma.github.io/Logging_2080/artfynd/A 8751-2024 artfynd.xlsx", "A 8751-2024")</f>
        <v/>
      </c>
      <c r="X70">
        <f>HYPERLINK("https://klasma.github.io/Logging_2080/kartor/A 8751-2024 karta.png", "A 8751-2024")</f>
        <v/>
      </c>
      <c r="Y70">
        <f>HYPERLINK("https://klasma.github.io/Logging_2080/kartor_geotiff/A 8751-2024 georefererad karta.tif", "A 8751-2024")</f>
        <v/>
      </c>
      <c r="Z70">
        <f>HYPERLINK("https://klasma.github.io/Logging_2080/knärot/A 8751-2024 karta knärot.png", "A 8751-2024")</f>
        <v/>
      </c>
      <c r="AA70">
        <f>HYPERLINK("https://klasma.github.io/Logging_2080/klagomål/A 8751-2024 FSC-klagomål.docx", "A 8751-2024")</f>
        <v/>
      </c>
      <c r="AB70">
        <f>HYPERLINK("https://klasma.github.io/Logging_2080/klagomålsmail/A 8751-2024 FSC-klagomål mail.docx", "A 8751-2024")</f>
        <v/>
      </c>
      <c r="AC70">
        <f>HYPERLINK("https://klasma.github.io/Logging_2080/tillsyn/A 8751-2024 tillsynsbegäran.docx", "A 8751-2024")</f>
        <v/>
      </c>
      <c r="AD70">
        <f>HYPERLINK("https://klasma.github.io/Logging_2080/tillsynsmail/A 8751-2024 tillsynsbegäran mail.docx", "A 8751-2024")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46273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2968-2026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46037</v>
      </c>
      <c r="E72" s="1" t="n">
        <v>46273</v>
      </c>
      <c r="F72" t="inlineStr">
        <is>
          <t>DALARNAS LÄN</t>
        </is>
      </c>
      <c r="G72" t="inlineStr">
        <is>
          <t>FALUN</t>
        </is>
      </c>
      <c r="I72" t="n">
        <v>12.6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1</v>
      </c>
      <c r="V72" s="2" t="inlineStr">
        <is>
          <t>Garnlav
Tjäder</t>
        </is>
      </c>
      <c r="W72">
        <f>HYPERLINK("https://klasma.github.io/Logging_2080/artfynd/A 2968-2026 artfynd.xlsx", "A 2968-2026")</f>
        <v/>
      </c>
      <c r="X72">
        <f>HYPERLINK("https://klasma.github.io/Logging_2080/kartor/A 2968-2026 karta.png", "A 2968-2026")</f>
        <v/>
      </c>
      <c r="Y72">
        <f>HYPERLINK("https://klasma.github.io/Logging_2080/kartor_geotiff/A 2968-2026 georefererad karta.tif", "A 2968-2026")</f>
        <v/>
      </c>
      <c r="AA72">
        <f>HYPERLINK("https://klasma.github.io/Logging_2080/klagomål/A 2968-2026 FSC-klagomål.docx", "A 2968-2026")</f>
        <v/>
      </c>
      <c r="AB72">
        <f>HYPERLINK("https://klasma.github.io/Logging_2080/klagomålsmail/A 2968-2026 FSC-klagomål mail.docx", "A 2968-2026")</f>
        <v/>
      </c>
      <c r="AC72">
        <f>HYPERLINK("https://klasma.github.io/Logging_2080/tillsyn/A 2968-2026 tillsynsbegäran.docx", "A 2968-2026")</f>
        <v/>
      </c>
      <c r="AD72">
        <f>HYPERLINK("https://klasma.github.io/Logging_2080/tillsynsmail/A 2968-2026 tillsynsbegäran mail.docx", "A 2968-2026")</f>
        <v/>
      </c>
      <c r="AE72">
        <f>HYPERLINK("https://klasma.github.io/Logging_2080/fåglar/A 2968-2026 prioriterade fågelarter.docx", "A 2968-2026")</f>
        <v/>
      </c>
    </row>
    <row r="73" ht="15" customHeight="1">
      <c r="A73" t="inlineStr">
        <is>
          <t>A 20658-2026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46141</v>
      </c>
      <c r="E73" s="1" t="n">
        <v>46273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2.2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Tretåig hackspett
Ullticka</t>
        </is>
      </c>
      <c r="W73">
        <f>HYPERLINK("https://klasma.github.io/Logging_2080/artfynd/A 20658-2026 artfynd.xlsx", "A 20658-2026")</f>
        <v/>
      </c>
      <c r="X73">
        <f>HYPERLINK("https://klasma.github.io/Logging_2080/kartor/A 20658-2026 karta.png", "A 20658-2026")</f>
        <v/>
      </c>
      <c r="Y73">
        <f>HYPERLINK("https://klasma.github.io/Logging_2080/kartor_geotiff/A 20658-2026 georefererad karta.tif", "A 20658-2026")</f>
        <v/>
      </c>
      <c r="AA73">
        <f>HYPERLINK("https://klasma.github.io/Logging_2080/klagomål/A 20658-2026 FSC-klagomål.docx", "A 20658-2026")</f>
        <v/>
      </c>
      <c r="AB73">
        <f>HYPERLINK("https://klasma.github.io/Logging_2080/klagomålsmail/A 20658-2026 FSC-klagomål mail.docx", "A 20658-2026")</f>
        <v/>
      </c>
      <c r="AC73">
        <f>HYPERLINK("https://klasma.github.io/Logging_2080/tillsyn/A 20658-2026 tillsynsbegäran.docx", "A 20658-2026")</f>
        <v/>
      </c>
      <c r="AD73">
        <f>HYPERLINK("https://klasma.github.io/Logging_2080/tillsynsmail/A 20658-2026 tillsynsbegäran mail.docx", "A 20658-2026")</f>
        <v/>
      </c>
      <c r="AE73">
        <f>HYPERLINK("https://klasma.github.io/Logging_2080/fåglar/A 20658-2026 prioriterade fågelarter.docx", "A 20658-2026")</f>
        <v/>
      </c>
    </row>
    <row r="74" ht="15" customHeight="1">
      <c r="A74" t="inlineStr">
        <is>
          <t>A 44727-2025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46273</v>
      </c>
      <c r="F74" t="inlineStr">
        <is>
          <t>DALARNAS LÄN</t>
        </is>
      </c>
      <c r="G74" t="inlineStr">
        <is>
          <t>FALUN</t>
        </is>
      </c>
      <c r="I74" t="n">
        <v>1.7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Dropptaggsvamp</t>
        </is>
      </c>
      <c r="W74">
        <f>HYPERLINK("https://klasma.github.io/Logging_2080/artfynd/A 44727-2025 artfynd.xlsx", "A 44727-2025")</f>
        <v/>
      </c>
      <c r="X74">
        <f>HYPERLINK("https://klasma.github.io/Logging_2080/kartor/A 44727-2025 karta.png", "A 44727-2025")</f>
        <v/>
      </c>
      <c r="Y74">
        <f>HYPERLINK("https://klasma.github.io/Logging_2080/kartor_geotiff/A 44727-2025 georefererad karta.tif", "A 44727-2025")</f>
        <v/>
      </c>
      <c r="Z74">
        <f>HYPERLINK("https://klasma.github.io/Logging_2080/knärot/A 44727-2025 karta knärot.png", "A 44727-2025")</f>
        <v/>
      </c>
      <c r="AA74">
        <f>HYPERLINK("https://klasma.github.io/Logging_2080/klagomål/A 44727-2025 FSC-klagomål.docx", "A 44727-2025")</f>
        <v/>
      </c>
      <c r="AB74">
        <f>HYPERLINK("https://klasma.github.io/Logging_2080/klagomålsmail/A 44727-2025 FSC-klagomål mail.docx", "A 44727-2025")</f>
        <v/>
      </c>
      <c r="AC74">
        <f>HYPERLINK("https://klasma.github.io/Logging_2080/tillsyn/A 44727-2025 tillsynsbegäran.docx", "A 44727-2025")</f>
        <v/>
      </c>
      <c r="AD74">
        <f>HYPERLINK("https://klasma.github.io/Logging_2080/tillsynsmail/A 44727-2025 tillsynsbegäran mail.docx", "A 44727-2025")</f>
        <v/>
      </c>
    </row>
    <row r="75" ht="15" customHeight="1">
      <c r="A75" t="inlineStr">
        <is>
          <t>A 42302-2023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45175</v>
      </c>
      <c r="E75" s="1" t="n">
        <v>46273</v>
      </c>
      <c r="F75" t="inlineStr">
        <is>
          <t>DALARNAS LÄN</t>
        </is>
      </c>
      <c r="G75" t="inlineStr">
        <is>
          <t>FALUN</t>
        </is>
      </c>
      <c r="I75" t="n">
        <v>8.5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Silverblåvinge
Brunklöver</t>
        </is>
      </c>
      <c r="W75">
        <f>HYPERLINK("https://klasma.github.io/Logging_2080/artfynd/A 42302-2023 artfynd.xlsx", "A 42302-2023")</f>
        <v/>
      </c>
      <c r="X75">
        <f>HYPERLINK("https://klasma.github.io/Logging_2080/kartor/A 42302-2023 karta.png", "A 42302-2023")</f>
        <v/>
      </c>
      <c r="Y75">
        <f>HYPERLINK("https://klasma.github.io/Logging_2080/kartor_geotiff/A 42302-2023 georefererad karta.tif", "A 42302-2023")</f>
        <v/>
      </c>
      <c r="AA75">
        <f>HYPERLINK("https://klasma.github.io/Logging_2080/klagomål/A 42302-2023 FSC-klagomål.docx", "A 42302-2023")</f>
        <v/>
      </c>
      <c r="AB75">
        <f>HYPERLINK("https://klasma.github.io/Logging_2080/klagomålsmail/A 42302-2023 FSC-klagomål mail.docx", "A 42302-2023")</f>
        <v/>
      </c>
      <c r="AC75">
        <f>HYPERLINK("https://klasma.github.io/Logging_2080/tillsyn/A 42302-2023 tillsynsbegäran.docx", "A 42302-2023")</f>
        <v/>
      </c>
      <c r="AD75">
        <f>HYPERLINK("https://klasma.github.io/Logging_2080/tillsynsmail/A 42302-2023 tillsynsbegäran mail.docx", "A 42302-2023")</f>
        <v/>
      </c>
    </row>
    <row r="76" ht="15" customHeight="1">
      <c r="A76" t="inlineStr">
        <is>
          <t>A 18714-2023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46273</v>
      </c>
      <c r="F76" t="inlineStr">
        <is>
          <t>DALARNAS LÄN</t>
        </is>
      </c>
      <c r="G76" t="inlineStr">
        <is>
          <t>FALUN</t>
        </is>
      </c>
      <c r="I76" t="n">
        <v>1.8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Bronshjon</t>
        </is>
      </c>
      <c r="W76">
        <f>HYPERLINK("https://klasma.github.io/Logging_2080/artfynd/A 18714-2023 artfynd.xlsx", "A 18714-2023")</f>
        <v/>
      </c>
      <c r="X76">
        <f>HYPERLINK("https://klasma.github.io/Logging_2080/kartor/A 18714-2023 karta.png", "A 18714-2023")</f>
        <v/>
      </c>
      <c r="Y76">
        <f>HYPERLINK("https://klasma.github.io/Logging_2080/kartor_geotiff/A 18714-2023 georefererad karta.tif", "A 18714-2023")</f>
        <v/>
      </c>
      <c r="AA76">
        <f>HYPERLINK("https://klasma.github.io/Logging_2080/klagomål/A 18714-2023 FSC-klagomål.docx", "A 18714-2023")</f>
        <v/>
      </c>
      <c r="AB76">
        <f>HYPERLINK("https://klasma.github.io/Logging_2080/klagomålsmail/A 18714-2023 FSC-klagomål mail.docx", "A 18714-2023")</f>
        <v/>
      </c>
      <c r="AC76">
        <f>HYPERLINK("https://klasma.github.io/Logging_2080/tillsyn/A 18714-2023 tillsynsbegäran.docx", "A 18714-2023")</f>
        <v/>
      </c>
      <c r="AD76">
        <f>HYPERLINK("https://klasma.github.io/Logging_2080/tillsynsmail/A 18714-2023 tillsynsbegäran mail.docx", "A 18714-2023")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46273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3280-2026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46273</v>
      </c>
      <c r="F78" t="inlineStr">
        <is>
          <t>DALARNAS LÄN</t>
        </is>
      </c>
      <c r="G78" t="inlineStr">
        <is>
          <t>FALUN</t>
        </is>
      </c>
      <c r="I78" t="n">
        <v>30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Spillkråka
Gröngöling</t>
        </is>
      </c>
      <c r="W78">
        <f>HYPERLINK("https://klasma.github.io/Logging_2080/artfynd/A 3280-2026 artfynd.xlsx", "A 3280-2026")</f>
        <v/>
      </c>
      <c r="X78">
        <f>HYPERLINK("https://klasma.github.io/Logging_2080/kartor/A 3280-2026 karta.png", "A 3280-2026")</f>
        <v/>
      </c>
      <c r="Y78">
        <f>HYPERLINK("https://klasma.github.io/Logging_2080/kartor_geotiff/A 3280-2026 georefererad karta.tif", "A 3280-2026")</f>
        <v/>
      </c>
      <c r="AA78">
        <f>HYPERLINK("https://klasma.github.io/Logging_2080/klagomål/A 3280-2026 FSC-klagomål.docx", "A 3280-2026")</f>
        <v/>
      </c>
      <c r="AB78">
        <f>HYPERLINK("https://klasma.github.io/Logging_2080/klagomålsmail/A 3280-2026 FSC-klagomål mail.docx", "A 3280-2026")</f>
        <v/>
      </c>
      <c r="AC78">
        <f>HYPERLINK("https://klasma.github.io/Logging_2080/tillsyn/A 3280-2026 tillsynsbegäran.docx", "A 3280-2026")</f>
        <v/>
      </c>
      <c r="AD78">
        <f>HYPERLINK("https://klasma.github.io/Logging_2080/tillsynsmail/A 3280-2026 tillsynsbegäran mail.docx", "A 3280-2026")</f>
        <v/>
      </c>
      <c r="AE78">
        <f>HYPERLINK("https://klasma.github.io/Logging_2080/fåglar/A 3280-2026 prioriterade fågelarter.docx", "A 3280-2026")</f>
        <v/>
      </c>
    </row>
    <row r="79" ht="15" customHeight="1">
      <c r="A79" t="inlineStr">
        <is>
          <t>A 4244-2026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46045</v>
      </c>
      <c r="E79" s="1" t="n">
        <v>46273</v>
      </c>
      <c r="F79" t="inlineStr">
        <is>
          <t>DALARNAS LÄN</t>
        </is>
      </c>
      <c r="G79" t="inlineStr">
        <is>
          <t>FALUN</t>
        </is>
      </c>
      <c r="I79" t="n">
        <v>3.2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Rynkskinn
Ullticka</t>
        </is>
      </c>
      <c r="W79">
        <f>HYPERLINK("https://klasma.github.io/Logging_2080/artfynd/A 4244-2026 artfynd.xlsx", "A 4244-2026")</f>
        <v/>
      </c>
      <c r="X79">
        <f>HYPERLINK("https://klasma.github.io/Logging_2080/kartor/A 4244-2026 karta.png", "A 4244-2026")</f>
        <v/>
      </c>
      <c r="Y79">
        <f>HYPERLINK("https://klasma.github.io/Logging_2080/kartor_geotiff/A 4244-2026 georefererad karta.tif", "A 4244-2026")</f>
        <v/>
      </c>
      <c r="AA79">
        <f>HYPERLINK("https://klasma.github.io/Logging_2080/klagomål/A 4244-2026 FSC-klagomål.docx", "A 4244-2026")</f>
        <v/>
      </c>
      <c r="AB79">
        <f>HYPERLINK("https://klasma.github.io/Logging_2080/klagomålsmail/A 4244-2026 FSC-klagomål mail.docx", "A 4244-2026")</f>
        <v/>
      </c>
      <c r="AC79">
        <f>HYPERLINK("https://klasma.github.io/Logging_2080/tillsyn/A 4244-2026 tillsynsbegäran.docx", "A 4244-2026")</f>
        <v/>
      </c>
      <c r="AD79">
        <f>HYPERLINK("https://klasma.github.io/Logging_2080/tillsynsmail/A 4244-2026 tillsynsbegäran mail.docx", "A 4244-2026")</f>
        <v/>
      </c>
    </row>
    <row r="80" ht="15" customHeight="1">
      <c r="A80" t="inlineStr">
        <is>
          <t>A 3284-2026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46273</v>
      </c>
      <c r="F80" t="inlineStr">
        <is>
          <t>DALARNAS LÄN</t>
        </is>
      </c>
      <c r="G80" t="inlineStr">
        <is>
          <t>FALUN</t>
        </is>
      </c>
      <c r="I80" t="n">
        <v>3.5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Blåbär
Spillkråka</t>
        </is>
      </c>
      <c r="W80">
        <f>HYPERLINK("https://klasma.github.io/Logging_2080/artfynd/A 3284-2026 artfynd.xlsx", "A 3284-2026")</f>
        <v/>
      </c>
      <c r="X80">
        <f>HYPERLINK("https://klasma.github.io/Logging_2080/kartor/A 3284-2026 karta.png", "A 3284-2026")</f>
        <v/>
      </c>
      <c r="Y80">
        <f>HYPERLINK("https://klasma.github.io/Logging_2080/kartor_geotiff/A 3284-2026 georefererad karta.tif", "A 3284-2026")</f>
        <v/>
      </c>
      <c r="AA80">
        <f>HYPERLINK("https://klasma.github.io/Logging_2080/klagomål/A 3284-2026 FSC-klagomål.docx", "A 3284-2026")</f>
        <v/>
      </c>
      <c r="AB80">
        <f>HYPERLINK("https://klasma.github.io/Logging_2080/klagomålsmail/A 3284-2026 FSC-klagomål mail.docx", "A 3284-2026")</f>
        <v/>
      </c>
      <c r="AC80">
        <f>HYPERLINK("https://klasma.github.io/Logging_2080/tillsyn/A 3284-2026 tillsynsbegäran.docx", "A 3284-2026")</f>
        <v/>
      </c>
      <c r="AD80">
        <f>HYPERLINK("https://klasma.github.io/Logging_2080/tillsynsmail/A 3284-2026 tillsynsbegäran mail.docx", "A 3284-2026")</f>
        <v/>
      </c>
      <c r="AE80">
        <f>HYPERLINK("https://klasma.github.io/Logging_2080/fåglar/A 3284-2026 prioriterade fågelarter.docx", "A 3284-2026")</f>
        <v/>
      </c>
    </row>
    <row r="81" ht="15" customHeight="1">
      <c r="A81" t="inlineStr">
        <is>
          <t>A 6400-2026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46273</v>
      </c>
      <c r="F81" t="inlineStr">
        <is>
          <t>DALARNAS LÄN</t>
        </is>
      </c>
      <c r="G81" t="inlineStr">
        <is>
          <t>FALUN</t>
        </is>
      </c>
      <c r="I81" t="n">
        <v>3.3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HYPERLINK("https://klasma.github.io/Logging_2080/artfynd/A 6400-2026 artfynd.xlsx", "A 6400-2026")</f>
        <v/>
      </c>
      <c r="X81">
        <f>HYPERLINK("https://klasma.github.io/Logging_2080/kartor/A 6400-2026 karta.png", "A 6400-2026")</f>
        <v/>
      </c>
      <c r="Y81">
        <f>HYPERLINK("https://klasma.github.io/Logging_2080/kartor_geotiff/A 6400-2026 georefererad karta.tif", "A 6400-2026")</f>
        <v/>
      </c>
      <c r="AA81">
        <f>HYPERLINK("https://klasma.github.io/Logging_2080/klagomål/A 6400-2026 FSC-klagomål.docx", "A 6400-2026")</f>
        <v/>
      </c>
      <c r="AB81">
        <f>HYPERLINK("https://klasma.github.io/Logging_2080/klagomålsmail/A 6400-2026 FSC-klagomål mail.docx", "A 6400-2026")</f>
        <v/>
      </c>
      <c r="AC81">
        <f>HYPERLINK("https://klasma.github.io/Logging_2080/tillsyn/A 6400-2026 tillsynsbegäran.docx", "A 6400-2026")</f>
        <v/>
      </c>
      <c r="AD81">
        <f>HYPERLINK("https://klasma.github.io/Logging_2080/tillsynsmail/A 6400-2026 tillsynsbegäran mail.docx", "A 6400-2026")</f>
        <v/>
      </c>
      <c r="AE81">
        <f>HYPERLINK("https://klasma.github.io/Logging_2080/fåglar/A 6400-2026 prioriterade fågelarter.docx", "A 6400-2026")</f>
        <v/>
      </c>
    </row>
    <row r="82" ht="15" customHeight="1">
      <c r="A82" t="inlineStr">
        <is>
          <t>A 19015-2024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45427</v>
      </c>
      <c r="E82" s="1" t="n">
        <v>46273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13.8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HYPERLINK("https://klasma.github.io/Logging_2080/artfynd/A 19015-2024 artfynd.xlsx", "A 19015-2024")</f>
        <v/>
      </c>
      <c r="X82">
        <f>HYPERLINK("https://klasma.github.io/Logging_2080/kartor/A 19015-2024 karta.png", "A 19015-2024")</f>
        <v/>
      </c>
      <c r="Y82">
        <f>HYPERLINK("https://klasma.github.io/Logging_2080/kartor_geotiff/A 19015-2024 georefererad karta.tif", "A 19015-2024")</f>
        <v/>
      </c>
      <c r="AA82">
        <f>HYPERLINK("https://klasma.github.io/Logging_2080/klagomål/A 19015-2024 FSC-klagomål.docx", "A 19015-2024")</f>
        <v/>
      </c>
      <c r="AB82">
        <f>HYPERLINK("https://klasma.github.io/Logging_2080/klagomålsmail/A 19015-2024 FSC-klagomål mail.docx", "A 19015-2024")</f>
        <v/>
      </c>
      <c r="AC82">
        <f>HYPERLINK("https://klasma.github.io/Logging_2080/tillsyn/A 19015-2024 tillsynsbegäran.docx", "A 19015-2024")</f>
        <v/>
      </c>
      <c r="AD82">
        <f>HYPERLINK("https://klasma.github.io/Logging_2080/tillsynsmail/A 19015-2024 tillsynsbegäran mail.docx", "A 19015-2024")</f>
        <v/>
      </c>
      <c r="AE82">
        <f>HYPERLINK("https://klasma.github.io/Logging_2080/fåglar/A 19015-2024 prioriterade fågelarter.docx", "A 19015-2024")</f>
        <v/>
      </c>
    </row>
    <row r="83" ht="15" customHeight="1">
      <c r="A83" t="inlineStr">
        <is>
          <t>A 43266-2023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46273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0.7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Brun gräsfjäril
Törnskata</t>
        </is>
      </c>
      <c r="W83">
        <f>HYPERLINK("https://klasma.github.io/Logging_2080/artfynd/A 43266-2023 artfynd.xlsx", "A 43266-2023")</f>
        <v/>
      </c>
      <c r="X83">
        <f>HYPERLINK("https://klasma.github.io/Logging_2080/kartor/A 43266-2023 karta.png", "A 43266-2023")</f>
        <v/>
      </c>
      <c r="Y83">
        <f>HYPERLINK("https://klasma.github.io/Logging_2080/kartor_geotiff/A 43266-2023 georefererad karta.tif", "A 43266-2023")</f>
        <v/>
      </c>
      <c r="AA83">
        <f>HYPERLINK("https://klasma.github.io/Logging_2080/klagomål/A 43266-2023 FSC-klagomål.docx", "A 43266-2023")</f>
        <v/>
      </c>
      <c r="AB83">
        <f>HYPERLINK("https://klasma.github.io/Logging_2080/klagomålsmail/A 43266-2023 FSC-klagomål mail.docx", "A 43266-2023")</f>
        <v/>
      </c>
      <c r="AC83">
        <f>HYPERLINK("https://klasma.github.io/Logging_2080/tillsyn/A 43266-2023 tillsynsbegäran.docx", "A 43266-2023")</f>
        <v/>
      </c>
      <c r="AD83">
        <f>HYPERLINK("https://klasma.github.io/Logging_2080/tillsynsmail/A 43266-2023 tillsynsbegäran mail.docx", "A 43266-2023")</f>
        <v/>
      </c>
      <c r="AE83">
        <f>HYPERLINK("https://klasma.github.io/Logging_2080/fåglar/A 43266-2023 prioriterade fågelarter.docx", "A 43266-2023")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46273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33811-2026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46251</v>
      </c>
      <c r="E85" s="1" t="n">
        <v>46273</v>
      </c>
      <c r="F85" t="inlineStr">
        <is>
          <t>DALARNAS LÄN</t>
        </is>
      </c>
      <c r="G85" t="inlineStr">
        <is>
          <t>FALUN</t>
        </is>
      </c>
      <c r="I85" t="n">
        <v>2.6</v>
      </c>
      <c r="J85" t="n">
        <v>1</v>
      </c>
      <c r="K85" t="n">
        <v>0</v>
      </c>
      <c r="L85" t="n">
        <v>0</v>
      </c>
      <c r="M85" t="n">
        <v>2</v>
      </c>
      <c r="N85" t="n">
        <v>0</v>
      </c>
      <c r="O85" t="n">
        <v>0</v>
      </c>
      <c r="P85" t="n">
        <v>0</v>
      </c>
      <c r="Q85" t="n">
        <v>2</v>
      </c>
      <c r="R85" t="n">
        <v>2</v>
      </c>
      <c r="S85" t="n">
        <v>2</v>
      </c>
      <c r="T85" t="n">
        <v>6</v>
      </c>
      <c r="U85" t="n">
        <v>6</v>
      </c>
      <c r="V85" s="2" t="inlineStr">
        <is>
          <t>Garnlav
Knärot</t>
        </is>
      </c>
      <c r="W85">
        <f>HYPERLINK("https://klasma.github.io/Logging_2080/artfynd/A 33811-2026 artfynd.xlsx", "A 33811-2026")</f>
        <v/>
      </c>
      <c r="X85">
        <f>HYPERLINK("https://klasma.github.io/Logging_2080/kartor/A 33811-2026 karta.png", "A 33811-2026")</f>
        <v/>
      </c>
      <c r="Y85">
        <f>HYPERLINK("https://klasma.github.io/Logging_2080/kartor_geotiff/A 33811-2026 georefererad karta.tif", "A 33811-2026")</f>
        <v/>
      </c>
      <c r="Z85">
        <f>HYPERLINK("https://klasma.github.io/Logging_2080/knärot/A 33811-2026 karta knärot.png", "A 33811-2026")</f>
        <v/>
      </c>
      <c r="AA85">
        <f>HYPERLINK("https://klasma.github.io/Logging_2080/klagomål/A 33811-2026 FSC-klagomål.docx", "A 33811-2026")</f>
        <v/>
      </c>
      <c r="AB85">
        <f>HYPERLINK("https://klasma.github.io/Logging_2080/klagomålsmail/A 33811-2026 FSC-klagomål mail.docx", "A 33811-2026")</f>
        <v/>
      </c>
      <c r="AC85">
        <f>HYPERLINK("https://klasma.github.io/Logging_2080/tillsyn/A 33811-2026 tillsynsbegäran.docx", "A 33811-2026")</f>
        <v/>
      </c>
      <c r="AD85">
        <f>HYPERLINK("https://klasma.github.io/Logging_2080/tillsynsmail/A 33811-2026 tillsynsbegäran mail.docx", "A 33811-2026")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46273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46273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Tjäder
Kungsfågel</t>
        </is>
      </c>
      <c r="W87">
        <f>HYPERLINK("https://klasma.github.io/Logging_2080/artfynd/A 12420-2026 artfynd.xlsx", "A 12420-2026")</f>
        <v/>
      </c>
      <c r="X87">
        <f>HYPERLINK("https://klasma.github.io/Logging_2080/kartor/A 12420-2026 karta.png", "A 12420-2026")</f>
        <v/>
      </c>
      <c r="Y87">
        <f>HYPERLINK("https://klasma.github.io/Logging_2080/kartor_geotiff/A 12420-2026 georefererad karta.tif", "A 12420-2026")</f>
        <v/>
      </c>
      <c r="AA87">
        <f>HYPERLINK("https://klasma.github.io/Logging_2080/klagomål/A 12420-2026 FSC-klagomål.docx", "A 12420-2026")</f>
        <v/>
      </c>
      <c r="AB87">
        <f>HYPERLINK("https://klasma.github.io/Logging_2080/klagomålsmail/A 12420-2026 FSC-klagomål mail.docx", "A 12420-2026")</f>
        <v/>
      </c>
      <c r="AC87">
        <f>HYPERLINK("https://klasma.github.io/Logging_2080/tillsyn/A 12420-2026 tillsynsbegäran.docx", "A 12420-2026")</f>
        <v/>
      </c>
      <c r="AD87">
        <f>HYPERLINK("https://klasma.github.io/Logging_2080/tillsynsmail/A 12420-2026 tillsynsbegäran mail.docx", "A 12420-2026")</f>
        <v/>
      </c>
      <c r="AE87">
        <f>HYPERLINK("https://klasma.github.io/Logging_2080/fåglar/A 12420-2026 prioriterade fågelarter.docx", "A 12420-2026")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46273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17368-2026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46273</v>
      </c>
      <c r="F89" t="inlineStr">
        <is>
          <t>DALARNAS LÄN</t>
        </is>
      </c>
      <c r="G89" t="inlineStr">
        <is>
          <t>FALUN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Rosenticka
Ullticka</t>
        </is>
      </c>
      <c r="W89">
        <f>HYPERLINK("https://klasma.github.io/Logging_2080/artfynd/A 17368-2026 artfynd.xlsx", "A 17368-2026")</f>
        <v/>
      </c>
      <c r="X89">
        <f>HYPERLINK("https://klasma.github.io/Logging_2080/kartor/A 17368-2026 karta.png", "A 17368-2026")</f>
        <v/>
      </c>
      <c r="Y89">
        <f>HYPERLINK("https://klasma.github.io/Logging_2080/kartor_geotiff/A 17368-2026 georefererad karta.tif", "A 17368-2026")</f>
        <v/>
      </c>
      <c r="AA89">
        <f>HYPERLINK("https://klasma.github.io/Logging_2080/klagomål/A 17368-2026 FSC-klagomål.docx", "A 17368-2026")</f>
        <v/>
      </c>
      <c r="AB89">
        <f>HYPERLINK("https://klasma.github.io/Logging_2080/klagomålsmail/A 17368-2026 FSC-klagomål mail.docx", "A 17368-2026")</f>
        <v/>
      </c>
      <c r="AC89">
        <f>HYPERLINK("https://klasma.github.io/Logging_2080/tillsyn/A 17368-2026 tillsynsbegäran.docx", "A 17368-2026")</f>
        <v/>
      </c>
      <c r="AD89">
        <f>HYPERLINK("https://klasma.github.io/Logging_2080/tillsynsmail/A 17368-2026 tillsynsbegäran mail.docx", "A 17368-2026")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46273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15875-2026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46273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Fläcknycklar
Revlummer</t>
        </is>
      </c>
      <c r="W91">
        <f>HYPERLINK("https://klasma.github.io/Logging_2080/artfynd/A 15875-2026 artfynd.xlsx", "A 15875-2026")</f>
        <v/>
      </c>
      <c r="X91">
        <f>HYPERLINK("https://klasma.github.io/Logging_2080/kartor/A 15875-2026 karta.png", "A 15875-2026")</f>
        <v/>
      </c>
      <c r="Y91">
        <f>HYPERLINK("https://klasma.github.io/Logging_2080/kartor_geotiff/A 15875-2026 georefererad karta.tif", "A 15875-2026")</f>
        <v/>
      </c>
      <c r="AA91">
        <f>HYPERLINK("https://klasma.github.io/Logging_2080/klagomål/A 15875-2026 FSC-klagomål.docx", "A 15875-2026")</f>
        <v/>
      </c>
      <c r="AB91">
        <f>HYPERLINK("https://klasma.github.io/Logging_2080/klagomålsmail/A 15875-2026 FSC-klagomål mail.docx", "A 15875-2026")</f>
        <v/>
      </c>
      <c r="AC91">
        <f>HYPERLINK("https://klasma.github.io/Logging_2080/tillsyn/A 15875-2026 tillsynsbegäran.docx", "A 15875-2026")</f>
        <v/>
      </c>
      <c r="AD91">
        <f>HYPERLINK("https://klasma.github.io/Logging_2080/tillsynsmail/A 15875-2026 tillsynsbegäran mail.docx", "A 15875-2026")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46273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46273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46273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Kungsfågel</t>
        </is>
      </c>
      <c r="W94">
        <f>HYPERLINK("https://klasma.github.io/Logging_2080/artfynd/A 19752-2026 artfynd.xlsx", "A 19752-2026")</f>
        <v/>
      </c>
      <c r="X94">
        <f>HYPERLINK("https://klasma.github.io/Logging_2080/kartor/A 19752-2026 karta.png", "A 19752-2026")</f>
        <v/>
      </c>
      <c r="Y94">
        <f>HYPERLINK("https://klasma.github.io/Logging_2080/kartor_geotiff/A 19752-2026 georefererad karta.tif", "A 19752-2026")</f>
        <v/>
      </c>
      <c r="AA94">
        <f>HYPERLINK("https://klasma.github.io/Logging_2080/klagomål/A 19752-2026 FSC-klagomål.docx", "A 19752-2026")</f>
        <v/>
      </c>
      <c r="AB94">
        <f>HYPERLINK("https://klasma.github.io/Logging_2080/klagomålsmail/A 19752-2026 FSC-klagomål mail.docx", "A 19752-2026")</f>
        <v/>
      </c>
      <c r="AC94">
        <f>HYPERLINK("https://klasma.github.io/Logging_2080/tillsyn/A 19752-2026 tillsynsbegäran.docx", "A 19752-2026")</f>
        <v/>
      </c>
      <c r="AD94">
        <f>HYPERLINK("https://klasma.github.io/Logging_2080/tillsynsmail/A 19752-2026 tillsynsbegäran mail.docx", "A 19752-2026")</f>
        <v/>
      </c>
      <c r="AE94">
        <f>HYPERLINK("https://klasma.github.io/Logging_2080/fåglar/A 19752-2026 prioriterade fågelarter.docx", "A 19752-2026")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46273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46273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46273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A 29791-2025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46273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6.7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Knärot
Ullticka</t>
        </is>
      </c>
      <c r="W98">
        <f>HYPERLINK("https://klasma.github.io/Logging_2080/artfynd/A 29791-2025 artfynd.xlsx", "A 29791-2025")</f>
        <v/>
      </c>
      <c r="X98">
        <f>HYPERLINK("https://klasma.github.io/Logging_2080/kartor/A 29791-2025 karta.png", "A 29791-2025")</f>
        <v/>
      </c>
      <c r="Y98">
        <f>HYPERLINK("https://klasma.github.io/Logging_2080/kartor_geotiff/A 29791-2025 georefererad karta.tif", "A 29791-2025")</f>
        <v/>
      </c>
      <c r="Z98">
        <f>HYPERLINK("https://klasma.github.io/Logging_2080/knärot/A 29791-2025 karta knärot.png", "A 29791-2025")</f>
        <v/>
      </c>
      <c r="AA98">
        <f>HYPERLINK("https://klasma.github.io/Logging_2080/klagomål/A 29791-2025 FSC-klagomål.docx", "A 29791-2025")</f>
        <v/>
      </c>
      <c r="AB98">
        <f>HYPERLINK("https://klasma.github.io/Logging_2080/klagomålsmail/A 29791-2025 FSC-klagomål mail.docx", "A 29791-2025")</f>
        <v/>
      </c>
      <c r="AC98">
        <f>HYPERLINK("https://klasma.github.io/Logging_2080/tillsyn/A 29791-2025 tillsynsbegäran.docx", "A 29791-2025")</f>
        <v/>
      </c>
      <c r="AD98">
        <f>HYPERLINK("https://klasma.github.io/Logging_2080/tillsynsmail/A 29791-2025 tillsynsbegäran mail.docx", "A 29791-2025")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46273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46273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46273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46273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46273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46273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46273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46273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19421-2024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46273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HYPERLINK("https://klasma.github.io/Logging_2080/artfynd/A 19421-2024 artfynd.xlsx", "A 19421-2024")</f>
        <v/>
      </c>
      <c r="X107">
        <f>HYPERLINK("https://klasma.github.io/Logging_2080/kartor/A 19421-2024 karta.png", "A 19421-2024")</f>
        <v/>
      </c>
      <c r="Y107">
        <f>HYPERLINK("https://klasma.github.io/Logging_2080/kartor_geotiff/A 19421-2024 georefererad karta.tif", "A 19421-2024")</f>
        <v/>
      </c>
      <c r="AA107">
        <f>HYPERLINK("https://klasma.github.io/Logging_2080/klagomål/A 19421-2024 FSC-klagomål.docx", "A 19421-2024")</f>
        <v/>
      </c>
      <c r="AB107">
        <f>HYPERLINK("https://klasma.github.io/Logging_2080/klagomålsmail/A 19421-2024 FSC-klagomål mail.docx", "A 19421-2024")</f>
        <v/>
      </c>
      <c r="AC107">
        <f>HYPERLINK("https://klasma.github.io/Logging_2080/tillsyn/A 19421-2024 tillsynsbegäran.docx", "A 19421-2024")</f>
        <v/>
      </c>
      <c r="AD107">
        <f>HYPERLINK("https://klasma.github.io/Logging_2080/tillsynsmail/A 19421-2024 tillsynsbegäran mail.docx", "A 19421-2024")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46273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22069-2023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46273</v>
      </c>
      <c r="F109" t="inlineStr">
        <is>
          <t>DALARNAS LÄN</t>
        </is>
      </c>
      <c r="G109" t="inlineStr">
        <is>
          <t>FALUN</t>
        </is>
      </c>
      <c r="I109" t="n">
        <v>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Brun gräsfjäril</t>
        </is>
      </c>
      <c r="W109">
        <f>HYPERLINK("https://klasma.github.io/Logging_2080/artfynd/A 22069-2023 artfynd.xlsx", "A 22069-2023")</f>
        <v/>
      </c>
      <c r="X109">
        <f>HYPERLINK("https://klasma.github.io/Logging_2080/kartor/A 22069-2023 karta.png", "A 22069-2023")</f>
        <v/>
      </c>
      <c r="Y109">
        <f>HYPERLINK("https://klasma.github.io/Logging_2080/kartor_geotiff/A 22069-2023 georefererad karta.tif", "A 22069-2023")</f>
        <v/>
      </c>
      <c r="AA109">
        <f>HYPERLINK("https://klasma.github.io/Logging_2080/klagomål/A 22069-2023 FSC-klagomål.docx", "A 22069-2023")</f>
        <v/>
      </c>
      <c r="AB109">
        <f>HYPERLINK("https://klasma.github.io/Logging_2080/klagomålsmail/A 22069-2023 FSC-klagomål mail.docx", "A 22069-2023")</f>
        <v/>
      </c>
      <c r="AC109">
        <f>HYPERLINK("https://klasma.github.io/Logging_2080/tillsyn/A 22069-2023 tillsynsbegäran.docx", "A 22069-2023")</f>
        <v/>
      </c>
      <c r="AD109">
        <f>HYPERLINK("https://klasma.github.io/Logging_2080/tillsynsmail/A 22069-2023 tillsynsbegäran mail.docx", "A 22069-2023")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46273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35379-2022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46273</v>
      </c>
      <c r="F111" t="inlineStr">
        <is>
          <t>DALARNAS LÄN</t>
        </is>
      </c>
      <c r="G111" t="inlineStr">
        <is>
          <t>FALUN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Garnlav</t>
        </is>
      </c>
      <c r="W111">
        <f>HYPERLINK("https://klasma.github.io/Logging_2080/artfynd/A 35379-2022 artfynd.xlsx", "A 35379-2022")</f>
        <v/>
      </c>
      <c r="X111">
        <f>HYPERLINK("https://klasma.github.io/Logging_2080/kartor/A 35379-2022 karta.png", "A 35379-2022")</f>
        <v/>
      </c>
      <c r="Y111">
        <f>HYPERLINK("https://klasma.github.io/Logging_2080/kartor_geotiff/A 35379-2022 georefererad karta.tif", "A 35379-2022")</f>
        <v/>
      </c>
      <c r="AA111">
        <f>HYPERLINK("https://klasma.github.io/Logging_2080/klagomål/A 35379-2022 FSC-klagomål.docx", "A 35379-2022")</f>
        <v/>
      </c>
      <c r="AB111">
        <f>HYPERLINK("https://klasma.github.io/Logging_2080/klagomålsmail/A 35379-2022 FSC-klagomål mail.docx", "A 35379-2022")</f>
        <v/>
      </c>
      <c r="AC111">
        <f>HYPERLINK("https://klasma.github.io/Logging_2080/tillsyn/A 35379-2022 tillsynsbegäran.docx", "A 35379-2022")</f>
        <v/>
      </c>
      <c r="AD111">
        <f>HYPERLINK("https://klasma.github.io/Logging_2080/tillsynsmail/A 35379-2022 tillsynsbegäran mail.docx", "A 35379-2022")</f>
        <v/>
      </c>
    </row>
    <row r="112" ht="15" customHeight="1">
      <c r="A112" t="inlineStr">
        <is>
          <t>A 12927-2023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45001</v>
      </c>
      <c r="E112" s="1" t="n">
        <v>46273</v>
      </c>
      <c r="F112" t="inlineStr">
        <is>
          <t>DALARNAS LÄN</t>
        </is>
      </c>
      <c r="G112" t="inlineStr">
        <is>
          <t>FALUN</t>
        </is>
      </c>
      <c r="I112" t="n">
        <v>0.3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HYPERLINK("https://klasma.github.io/Logging_2080/artfynd/A 12927-2023 artfynd.xlsx", "A 12927-2023")</f>
        <v/>
      </c>
      <c r="X112">
        <f>HYPERLINK("https://klasma.github.io/Logging_2080/kartor/A 12927-2023 karta.png", "A 12927-2023")</f>
        <v/>
      </c>
      <c r="Y112">
        <f>HYPERLINK("https://klasma.github.io/Logging_2080/kartor_geotiff/A 12927-2023 georefererad karta.tif", "A 12927-2023")</f>
        <v/>
      </c>
      <c r="Z112">
        <f>HYPERLINK("https://klasma.github.io/Logging_2080/knärot/A 12927-2023 karta knärot.png", "A 12927-2023")</f>
        <v/>
      </c>
      <c r="AA112">
        <f>HYPERLINK("https://klasma.github.io/Logging_2080/klagomål/A 12927-2023 FSC-klagomål.docx", "A 12927-2023")</f>
        <v/>
      </c>
      <c r="AB112">
        <f>HYPERLINK("https://klasma.github.io/Logging_2080/klagomålsmail/A 12927-2023 FSC-klagomål mail.docx", "A 12927-2023")</f>
        <v/>
      </c>
      <c r="AC112">
        <f>HYPERLINK("https://klasma.github.io/Logging_2080/tillsyn/A 12927-2023 tillsynsbegäran.docx", "A 12927-2023")</f>
        <v/>
      </c>
      <c r="AD112">
        <f>HYPERLINK("https://klasma.github.io/Logging_2080/tillsynsmail/A 12927-2023 tillsynsbegäran mail.docx", "A 12927-2023")</f>
        <v/>
      </c>
    </row>
    <row r="113" ht="15" customHeight="1">
      <c r="A113" t="inlineStr">
        <is>
          <t>A 22784-2024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46273</v>
      </c>
      <c r="F113" t="inlineStr">
        <is>
          <t>DALARNAS LÄN</t>
        </is>
      </c>
      <c r="G113" t="inlineStr">
        <is>
          <t>FALUN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22784-2024 artfynd.xlsx", "A 22784-2024")</f>
        <v/>
      </c>
      <c r="X113">
        <f>HYPERLINK("https://klasma.github.io/Logging_2080/kartor/A 22784-2024 karta.png", "A 22784-2024")</f>
        <v/>
      </c>
      <c r="Y113">
        <f>HYPERLINK("https://klasma.github.io/Logging_2080/kartor_geotiff/A 22784-2024 georefererad karta.tif", "A 22784-2024")</f>
        <v/>
      </c>
      <c r="AA113">
        <f>HYPERLINK("https://klasma.github.io/Logging_2080/klagomål/A 22784-2024 FSC-klagomål.docx", "A 22784-2024")</f>
        <v/>
      </c>
      <c r="AB113">
        <f>HYPERLINK("https://klasma.github.io/Logging_2080/klagomålsmail/A 22784-2024 FSC-klagomål mail.docx", "A 22784-2024")</f>
        <v/>
      </c>
      <c r="AC113">
        <f>HYPERLINK("https://klasma.github.io/Logging_2080/tillsyn/A 22784-2024 tillsynsbegäran.docx", "A 22784-2024")</f>
        <v/>
      </c>
      <c r="AD113">
        <f>HYPERLINK("https://klasma.github.io/Logging_2080/tillsynsmail/A 22784-2024 tillsynsbegäran mail.docx", "A 22784-2024")</f>
        <v/>
      </c>
      <c r="AE113">
        <f>HYPERLINK("https://klasma.github.io/Logging_2080/fåglar/A 22784-2024 prioriterade fågelarter.docx", "A 22784-2024")</f>
        <v/>
      </c>
    </row>
    <row r="114" ht="15" customHeight="1">
      <c r="A114" t="inlineStr">
        <is>
          <t>A 54134-2024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45616</v>
      </c>
      <c r="E114" s="1" t="n">
        <v>46273</v>
      </c>
      <c r="F114" t="inlineStr">
        <is>
          <t>DALARNAS LÄN</t>
        </is>
      </c>
      <c r="G114" t="inlineStr">
        <is>
          <t>FALUN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Ullticka</t>
        </is>
      </c>
      <c r="W114">
        <f>HYPERLINK("https://klasma.github.io/Logging_2080/artfynd/A 54134-2024 artfynd.xlsx", "A 54134-2024")</f>
        <v/>
      </c>
      <c r="X114">
        <f>HYPERLINK("https://klasma.github.io/Logging_2080/kartor/A 54134-2024 karta.png", "A 54134-2024")</f>
        <v/>
      </c>
      <c r="Y114">
        <f>HYPERLINK("https://klasma.github.io/Logging_2080/kartor_geotiff/A 54134-2024 georefererad karta.tif", "A 54134-2024")</f>
        <v/>
      </c>
      <c r="AA114">
        <f>HYPERLINK("https://klasma.github.io/Logging_2080/klagomål/A 54134-2024 FSC-klagomål.docx", "A 54134-2024")</f>
        <v/>
      </c>
      <c r="AB114">
        <f>HYPERLINK("https://klasma.github.io/Logging_2080/klagomålsmail/A 54134-2024 FSC-klagomål mail.docx", "A 54134-2024")</f>
        <v/>
      </c>
      <c r="AC114">
        <f>HYPERLINK("https://klasma.github.io/Logging_2080/tillsyn/A 54134-2024 tillsynsbegäran.docx", "A 54134-2024")</f>
        <v/>
      </c>
      <c r="AD114">
        <f>HYPERLINK("https://klasma.github.io/Logging_2080/tillsynsmail/A 54134-2024 tillsynsbegäran mail.docx", "A 54134-2024")</f>
        <v/>
      </c>
    </row>
    <row r="115" ht="15" customHeight="1">
      <c r="A115" t="inlineStr">
        <is>
          <t>A 20419-2026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46273</v>
      </c>
      <c r="F115" t="inlineStr">
        <is>
          <t>DALARNAS LÄN</t>
        </is>
      </c>
      <c r="G115" t="inlineStr">
        <is>
          <t>FALUN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Mindre märgborre</t>
        </is>
      </c>
      <c r="W115">
        <f>HYPERLINK("https://klasma.github.io/Logging_2080/artfynd/A 20419-2026 artfynd.xlsx", "A 20419-2026")</f>
        <v/>
      </c>
      <c r="X115">
        <f>HYPERLINK("https://klasma.github.io/Logging_2080/kartor/A 20419-2026 karta.png", "A 20419-2026")</f>
        <v/>
      </c>
      <c r="Y115">
        <f>HYPERLINK("https://klasma.github.io/Logging_2080/kartor_geotiff/A 20419-2026 georefererad karta.tif", "A 20419-2026")</f>
        <v/>
      </c>
      <c r="AA115">
        <f>HYPERLINK("https://klasma.github.io/Logging_2080/klagomål/A 20419-2026 FSC-klagomål.docx", "A 20419-2026")</f>
        <v/>
      </c>
      <c r="AB115">
        <f>HYPERLINK("https://klasma.github.io/Logging_2080/klagomålsmail/A 20419-2026 FSC-klagomål mail.docx", "A 20419-2026")</f>
        <v/>
      </c>
      <c r="AC115">
        <f>HYPERLINK("https://klasma.github.io/Logging_2080/tillsyn/A 20419-2026 tillsynsbegäran.docx", "A 20419-2026")</f>
        <v/>
      </c>
      <c r="AD115">
        <f>HYPERLINK("https://klasma.github.io/Logging_2080/tillsynsmail/A 20419-2026 tillsynsbegäran mail.docx", "A 20419-2026")</f>
        <v/>
      </c>
    </row>
    <row r="116" ht="15" customHeight="1">
      <c r="A116" t="inlineStr">
        <is>
          <t>A 21813-2023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46273</v>
      </c>
      <c r="F116" t="inlineStr">
        <is>
          <t>DALARNAS LÄN</t>
        </is>
      </c>
      <c r="G116" t="inlineStr">
        <is>
          <t>FALUN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Brun gräsfjäril</t>
        </is>
      </c>
      <c r="W116">
        <f>HYPERLINK("https://klasma.github.io/Logging_2080/artfynd/A 21813-2023 artfynd.xlsx", "A 21813-2023")</f>
        <v/>
      </c>
      <c r="X116">
        <f>HYPERLINK("https://klasma.github.io/Logging_2080/kartor/A 21813-2023 karta.png", "A 21813-2023")</f>
        <v/>
      </c>
      <c r="Y116">
        <f>HYPERLINK("https://klasma.github.io/Logging_2080/kartor_geotiff/A 21813-2023 georefererad karta.tif", "A 21813-2023")</f>
        <v/>
      </c>
      <c r="AA116">
        <f>HYPERLINK("https://klasma.github.io/Logging_2080/klagomål/A 21813-2023 FSC-klagomål.docx", "A 21813-2023")</f>
        <v/>
      </c>
      <c r="AB116">
        <f>HYPERLINK("https://klasma.github.io/Logging_2080/klagomålsmail/A 21813-2023 FSC-klagomål mail.docx", "A 21813-2023")</f>
        <v/>
      </c>
      <c r="AC116">
        <f>HYPERLINK("https://klasma.github.io/Logging_2080/tillsyn/A 21813-2023 tillsynsbegäran.docx", "A 21813-2023")</f>
        <v/>
      </c>
      <c r="AD116">
        <f>HYPERLINK("https://klasma.github.io/Logging_2080/tillsynsmail/A 21813-2023 tillsynsbegäran mail.docx", "A 21813-2023")</f>
        <v/>
      </c>
    </row>
    <row r="117" ht="15" customHeight="1">
      <c r="A117" t="inlineStr">
        <is>
          <t>A 40853-2022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46273</v>
      </c>
      <c r="F117" t="inlineStr">
        <is>
          <t>DALARNAS LÄN</t>
        </is>
      </c>
      <c r="G117" t="inlineStr">
        <is>
          <t>FALUN</t>
        </is>
      </c>
      <c r="I117" t="n">
        <v>7.2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Sparvuggla</t>
        </is>
      </c>
      <c r="W117">
        <f>HYPERLINK("https://klasma.github.io/Logging_2080/artfynd/A 40853-2022 artfynd.xlsx", "A 40853-2022")</f>
        <v/>
      </c>
      <c r="X117">
        <f>HYPERLINK("https://klasma.github.io/Logging_2080/kartor/A 40853-2022 karta.png", "A 40853-2022")</f>
        <v/>
      </c>
      <c r="Y117">
        <f>HYPERLINK("https://klasma.github.io/Logging_2080/kartor_geotiff/A 40853-2022 georefererad karta.tif", "A 40853-2022")</f>
        <v/>
      </c>
      <c r="AA117">
        <f>HYPERLINK("https://klasma.github.io/Logging_2080/klagomål/A 40853-2022 FSC-klagomål.docx", "A 40853-2022")</f>
        <v/>
      </c>
      <c r="AB117">
        <f>HYPERLINK("https://klasma.github.io/Logging_2080/klagomålsmail/A 40853-2022 FSC-klagomål mail.docx", "A 40853-2022")</f>
        <v/>
      </c>
      <c r="AC117">
        <f>HYPERLINK("https://klasma.github.io/Logging_2080/tillsyn/A 40853-2022 tillsynsbegäran.docx", "A 40853-2022")</f>
        <v/>
      </c>
      <c r="AD117">
        <f>HYPERLINK("https://klasma.github.io/Logging_2080/tillsynsmail/A 40853-2022 tillsynsbegäran mail.docx", "A 40853-2022")</f>
        <v/>
      </c>
      <c r="AE117">
        <f>HYPERLINK("https://klasma.github.io/Logging_2080/fåglar/A 40853-2022 prioriterade fågelarter.docx", "A 40853-2022")</f>
        <v/>
      </c>
    </row>
    <row r="118" ht="15" customHeight="1">
      <c r="A118" t="inlineStr">
        <is>
          <t>A 5764-2026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46273</v>
      </c>
      <c r="F118" t="inlineStr">
        <is>
          <t>DALARNAS LÄN</t>
        </is>
      </c>
      <c r="G118" t="inlineStr">
        <is>
          <t>FALUN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Nattviol</t>
        </is>
      </c>
      <c r="W118">
        <f>HYPERLINK("https://klasma.github.io/Logging_2080/artfynd/A 5764-2026 artfynd.xlsx", "A 5764-2026")</f>
        <v/>
      </c>
      <c r="X118">
        <f>HYPERLINK("https://klasma.github.io/Logging_2080/kartor/A 5764-2026 karta.png", "A 5764-2026")</f>
        <v/>
      </c>
      <c r="Y118">
        <f>HYPERLINK("https://klasma.github.io/Logging_2080/kartor_geotiff/A 5764-2026 georefererad karta.tif", "A 5764-2026")</f>
        <v/>
      </c>
      <c r="AA118">
        <f>HYPERLINK("https://klasma.github.io/Logging_2080/klagomål/A 5764-2026 FSC-klagomål.docx", "A 5764-2026")</f>
        <v/>
      </c>
      <c r="AB118">
        <f>HYPERLINK("https://klasma.github.io/Logging_2080/klagomålsmail/A 5764-2026 FSC-klagomål mail.docx", "A 5764-2026")</f>
        <v/>
      </c>
      <c r="AC118">
        <f>HYPERLINK("https://klasma.github.io/Logging_2080/tillsyn/A 5764-2026 tillsynsbegäran.docx", "A 5764-2026")</f>
        <v/>
      </c>
      <c r="AD118">
        <f>HYPERLINK("https://klasma.github.io/Logging_2080/tillsynsmail/A 5764-2026 tillsynsbegäran mail.docx", "A 5764-2026")</f>
        <v/>
      </c>
    </row>
    <row r="119" ht="15" customHeight="1">
      <c r="A119" t="inlineStr">
        <is>
          <t>A 20701-2026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46273</v>
      </c>
      <c r="F119" t="inlineStr">
        <is>
          <t>DALARNAS LÄN</t>
        </is>
      </c>
      <c r="G119" t="inlineStr">
        <is>
          <t>FALUN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Grönsiska</t>
        </is>
      </c>
      <c r="W119">
        <f>HYPERLINK("https://klasma.github.io/Logging_2080/artfynd/A 20701-2026 artfynd.xlsx", "A 20701-2026")</f>
        <v/>
      </c>
      <c r="X119">
        <f>HYPERLINK("https://klasma.github.io/Logging_2080/kartor/A 20701-2026 karta.png", "A 20701-2026")</f>
        <v/>
      </c>
      <c r="Y119">
        <f>HYPERLINK("https://klasma.github.io/Logging_2080/kartor_geotiff/A 20701-2026 georefererad karta.tif", "A 20701-2026")</f>
        <v/>
      </c>
      <c r="AA119">
        <f>HYPERLINK("https://klasma.github.io/Logging_2080/klagomål/A 20701-2026 FSC-klagomål.docx", "A 20701-2026")</f>
        <v/>
      </c>
      <c r="AB119">
        <f>HYPERLINK("https://klasma.github.io/Logging_2080/klagomålsmail/A 20701-2026 FSC-klagomål mail.docx", "A 20701-2026")</f>
        <v/>
      </c>
      <c r="AC119">
        <f>HYPERLINK("https://klasma.github.io/Logging_2080/tillsyn/A 20701-2026 tillsynsbegäran.docx", "A 20701-2026")</f>
        <v/>
      </c>
      <c r="AD119">
        <f>HYPERLINK("https://klasma.github.io/Logging_2080/tillsynsmail/A 20701-2026 tillsynsbegäran mail.docx", "A 20701-2026")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46273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22345-2026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46273</v>
      </c>
      <c r="F121" t="inlineStr">
        <is>
          <t>DALARNAS LÄN</t>
        </is>
      </c>
      <c r="G121" t="inlineStr">
        <is>
          <t>FALUN</t>
        </is>
      </c>
      <c r="I121" t="n">
        <v>1.7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22345-2026 artfynd.xlsx", "A 22345-2026")</f>
        <v/>
      </c>
      <c r="X121">
        <f>HYPERLINK("https://klasma.github.io/Logging_2080/kartor/A 22345-2026 karta.png", "A 22345-2026")</f>
        <v/>
      </c>
      <c r="Y121">
        <f>HYPERLINK("https://klasma.github.io/Logging_2080/kartor_geotiff/A 22345-2026 georefererad karta.tif", "A 22345-2026")</f>
        <v/>
      </c>
      <c r="AA121">
        <f>HYPERLINK("https://klasma.github.io/Logging_2080/klagomål/A 22345-2026 FSC-klagomål.docx", "A 22345-2026")</f>
        <v/>
      </c>
      <c r="AB121">
        <f>HYPERLINK("https://klasma.github.io/Logging_2080/klagomålsmail/A 22345-2026 FSC-klagomål mail.docx", "A 22345-2026")</f>
        <v/>
      </c>
      <c r="AC121">
        <f>HYPERLINK("https://klasma.github.io/Logging_2080/tillsyn/A 22345-2026 tillsynsbegäran.docx", "A 22345-2026")</f>
        <v/>
      </c>
      <c r="AD121">
        <f>HYPERLINK("https://klasma.github.io/Logging_2080/tillsynsmail/A 22345-2026 tillsynsbegäran mail.docx", "A 22345-2026")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46273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4393-2026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46273</v>
      </c>
      <c r="F123" t="inlineStr">
        <is>
          <t>DALARNAS LÄN</t>
        </is>
      </c>
      <c r="G123" t="inlineStr">
        <is>
          <t>FALUN</t>
        </is>
      </c>
      <c r="I123" t="n">
        <v>10.2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Järpe</t>
        </is>
      </c>
      <c r="W123">
        <f>HYPERLINK("https://klasma.github.io/Logging_2080/artfynd/A 4393-2026 artfynd.xlsx", "A 4393-2026")</f>
        <v/>
      </c>
      <c r="X123">
        <f>HYPERLINK("https://klasma.github.io/Logging_2080/kartor/A 4393-2026 karta.png", "A 4393-2026")</f>
        <v/>
      </c>
      <c r="Y123">
        <f>HYPERLINK("https://klasma.github.io/Logging_2080/kartor_geotiff/A 4393-2026 georefererad karta.tif", "A 4393-2026")</f>
        <v/>
      </c>
      <c r="AA123">
        <f>HYPERLINK("https://klasma.github.io/Logging_2080/klagomål/A 4393-2026 FSC-klagomål.docx", "A 4393-2026")</f>
        <v/>
      </c>
      <c r="AB123">
        <f>HYPERLINK("https://klasma.github.io/Logging_2080/klagomålsmail/A 4393-2026 FSC-klagomål mail.docx", "A 4393-2026")</f>
        <v/>
      </c>
      <c r="AC123">
        <f>HYPERLINK("https://klasma.github.io/Logging_2080/tillsyn/A 4393-2026 tillsynsbegäran.docx", "A 4393-2026")</f>
        <v/>
      </c>
      <c r="AD123">
        <f>HYPERLINK("https://klasma.github.io/Logging_2080/tillsynsmail/A 4393-2026 tillsynsbegäran mail.docx", "A 4393-2026")</f>
        <v/>
      </c>
      <c r="AE123">
        <f>HYPERLINK("https://klasma.github.io/Logging_2080/fåglar/A 4393-2026 prioriterade fågelarter.docx", "A 4393-2026")</f>
        <v/>
      </c>
    </row>
    <row r="124" ht="15" customHeight="1">
      <c r="A124" t="inlineStr">
        <is>
          <t>A 13830-2026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46098</v>
      </c>
      <c r="E124" s="1" t="n">
        <v>46273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40.2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Talltita</t>
        </is>
      </c>
      <c r="W124">
        <f>HYPERLINK("https://klasma.github.io/Logging_2080/artfynd/A 13830-2026 artfynd.xlsx", "A 13830-2026")</f>
        <v/>
      </c>
      <c r="X124">
        <f>HYPERLINK("https://klasma.github.io/Logging_2080/kartor/A 13830-2026 karta.png", "A 13830-2026")</f>
        <v/>
      </c>
      <c r="Y124">
        <f>HYPERLINK("https://klasma.github.io/Logging_2080/kartor_geotiff/A 13830-2026 georefererad karta.tif", "A 13830-2026")</f>
        <v/>
      </c>
      <c r="AA124">
        <f>HYPERLINK("https://klasma.github.io/Logging_2080/klagomål/A 13830-2026 FSC-klagomål.docx", "A 13830-2026")</f>
        <v/>
      </c>
      <c r="AB124">
        <f>HYPERLINK("https://klasma.github.io/Logging_2080/klagomålsmail/A 13830-2026 FSC-klagomål mail.docx", "A 13830-2026")</f>
        <v/>
      </c>
      <c r="AC124">
        <f>HYPERLINK("https://klasma.github.io/Logging_2080/tillsyn/A 13830-2026 tillsynsbegäran.docx", "A 13830-2026")</f>
        <v/>
      </c>
      <c r="AD124">
        <f>HYPERLINK("https://klasma.github.io/Logging_2080/tillsynsmail/A 13830-2026 tillsynsbegäran mail.docx", "A 13830-2026")</f>
        <v/>
      </c>
      <c r="AE124">
        <f>HYPERLINK("https://klasma.github.io/Logging_2080/fåglar/A 13830-2026 prioriterade fågelarter.docx", "A 13830-2026")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46273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25540-2026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46273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HYPERLINK("https://klasma.github.io/Logging_2080/artfynd/A 25540-2026 artfynd.xlsx", "A 25540-2026")</f>
        <v/>
      </c>
      <c r="X126">
        <f>HYPERLINK("https://klasma.github.io/Logging_2080/kartor/A 25540-2026 karta.png", "A 25540-2026")</f>
        <v/>
      </c>
      <c r="Y126">
        <f>HYPERLINK("https://klasma.github.io/Logging_2080/kartor_geotiff/A 25540-2026 georefererad karta.tif", "A 25540-2026")</f>
        <v/>
      </c>
      <c r="AA126">
        <f>HYPERLINK("https://klasma.github.io/Logging_2080/klagomål/A 25540-2026 FSC-klagomål.docx", "A 25540-2026")</f>
        <v/>
      </c>
      <c r="AB126">
        <f>HYPERLINK("https://klasma.github.io/Logging_2080/klagomålsmail/A 25540-2026 FSC-klagomål mail.docx", "A 25540-2026")</f>
        <v/>
      </c>
      <c r="AC126">
        <f>HYPERLINK("https://klasma.github.io/Logging_2080/tillsyn/A 25540-2026 tillsynsbegäran.docx", "A 25540-2026")</f>
        <v/>
      </c>
      <c r="AD126">
        <f>HYPERLINK("https://klasma.github.io/Logging_2080/tillsynsmail/A 25540-2026 tillsynsbegäran mail.docx", "A 25540-2026")</f>
        <v/>
      </c>
    </row>
    <row r="127" ht="15" customHeight="1">
      <c r="A127" t="inlineStr">
        <is>
          <t>A 26096-2026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46273</v>
      </c>
      <c r="F127" t="inlineStr">
        <is>
          <t>DALARNAS LÄN</t>
        </is>
      </c>
      <c r="G127" t="inlineStr">
        <is>
          <t>FALUN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Mattlummer</t>
        </is>
      </c>
      <c r="W127">
        <f>HYPERLINK("https://klasma.github.io/Logging_2080/artfynd/A 26096-2026 artfynd.xlsx", "A 26096-2026")</f>
        <v/>
      </c>
      <c r="X127">
        <f>HYPERLINK("https://klasma.github.io/Logging_2080/kartor/A 26096-2026 karta.png", "A 26096-2026")</f>
        <v/>
      </c>
      <c r="Y127">
        <f>HYPERLINK("https://klasma.github.io/Logging_2080/kartor_geotiff/A 26096-2026 georefererad karta.tif", "A 26096-2026")</f>
        <v/>
      </c>
      <c r="AA127">
        <f>HYPERLINK("https://klasma.github.io/Logging_2080/klagomål/A 26096-2026 FSC-klagomål.docx", "A 26096-2026")</f>
        <v/>
      </c>
      <c r="AB127">
        <f>HYPERLINK("https://klasma.github.io/Logging_2080/klagomålsmail/A 26096-2026 FSC-klagomål mail.docx", "A 26096-2026")</f>
        <v/>
      </c>
      <c r="AC127">
        <f>HYPERLINK("https://klasma.github.io/Logging_2080/tillsyn/A 26096-2026 tillsynsbegäran.docx", "A 26096-2026")</f>
        <v/>
      </c>
      <c r="AD127">
        <f>HYPERLINK("https://klasma.github.io/Logging_2080/tillsynsmail/A 26096-2026 tillsynsbegäran mail.docx", "A 26096-2026")</f>
        <v/>
      </c>
    </row>
    <row r="128" ht="15" customHeight="1">
      <c r="A128" t="inlineStr">
        <is>
          <t>A 15601-2026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46273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35.5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15601-2026 artfynd.xlsx", "A 15601-2026")</f>
        <v/>
      </c>
      <c r="X128">
        <f>HYPERLINK("https://klasma.github.io/Logging_2080/kartor/A 15601-2026 karta.png", "A 15601-2026")</f>
        <v/>
      </c>
      <c r="Y128">
        <f>HYPERLINK("https://klasma.github.io/Logging_2080/kartor_geotiff/A 15601-2026 georefererad karta.tif", "A 15601-2026")</f>
        <v/>
      </c>
      <c r="AA128">
        <f>HYPERLINK("https://klasma.github.io/Logging_2080/klagomål/A 15601-2026 FSC-klagomål.docx", "A 15601-2026")</f>
        <v/>
      </c>
      <c r="AB128">
        <f>HYPERLINK("https://klasma.github.io/Logging_2080/klagomålsmail/A 15601-2026 FSC-klagomål mail.docx", "A 15601-2026")</f>
        <v/>
      </c>
      <c r="AC128">
        <f>HYPERLINK("https://klasma.github.io/Logging_2080/tillsyn/A 15601-2026 tillsynsbegäran.docx", "A 15601-2026")</f>
        <v/>
      </c>
      <c r="AD128">
        <f>HYPERLINK("https://klasma.github.io/Logging_2080/tillsynsmail/A 15601-2026 tillsynsbegäran mail.docx", "A 15601-2026")</f>
        <v/>
      </c>
    </row>
    <row r="129" ht="15" customHeight="1">
      <c r="A129" t="inlineStr">
        <is>
          <t>A 15598-2026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46273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18.2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15598-2026 artfynd.xlsx", "A 15598-2026")</f>
        <v/>
      </c>
      <c r="X129">
        <f>HYPERLINK("https://klasma.github.io/Logging_2080/kartor/A 15598-2026 karta.png", "A 15598-2026")</f>
        <v/>
      </c>
      <c r="Y129">
        <f>HYPERLINK("https://klasma.github.io/Logging_2080/kartor_geotiff/A 15598-2026 georefererad karta.tif", "A 15598-2026")</f>
        <v/>
      </c>
      <c r="AA129">
        <f>HYPERLINK("https://klasma.github.io/Logging_2080/klagomål/A 15598-2026 FSC-klagomål.docx", "A 15598-2026")</f>
        <v/>
      </c>
      <c r="AB129">
        <f>HYPERLINK("https://klasma.github.io/Logging_2080/klagomålsmail/A 15598-2026 FSC-klagomål mail.docx", "A 15598-2026")</f>
        <v/>
      </c>
      <c r="AC129">
        <f>HYPERLINK("https://klasma.github.io/Logging_2080/tillsyn/A 15598-2026 tillsynsbegäran.docx", "A 15598-2026")</f>
        <v/>
      </c>
      <c r="AD129">
        <f>HYPERLINK("https://klasma.github.io/Logging_2080/tillsynsmail/A 15598-2026 tillsynsbegäran mail.docx", "A 15598-2026")</f>
        <v/>
      </c>
      <c r="AE129">
        <f>HYPERLINK("https://klasma.github.io/Logging_2080/fåglar/A 15598-2026 prioriterade fågelarter.docx", "A 15598-2026")</f>
        <v/>
      </c>
    </row>
    <row r="130" ht="15" customHeight="1">
      <c r="A130" t="inlineStr">
        <is>
          <t>A 27263-2026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46273</v>
      </c>
      <c r="F130" t="inlineStr">
        <is>
          <t>DALARNAS LÄN</t>
        </is>
      </c>
      <c r="G130" t="inlineStr">
        <is>
          <t>FALUN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Dropptaggsvamp</t>
        </is>
      </c>
      <c r="W130">
        <f>HYPERLINK("https://klasma.github.io/Logging_2080/artfynd/A 27263-2026 artfynd.xlsx", "A 27263-2026")</f>
        <v/>
      </c>
      <c r="X130">
        <f>HYPERLINK("https://klasma.github.io/Logging_2080/kartor/A 27263-2026 karta.png", "A 27263-2026")</f>
        <v/>
      </c>
      <c r="Y130">
        <f>HYPERLINK("https://klasma.github.io/Logging_2080/kartor_geotiff/A 27263-2026 georefererad karta.tif", "A 27263-2026")</f>
        <v/>
      </c>
      <c r="AA130">
        <f>HYPERLINK("https://klasma.github.io/Logging_2080/klagomål/A 27263-2026 FSC-klagomål.docx", "A 27263-2026")</f>
        <v/>
      </c>
      <c r="AB130">
        <f>HYPERLINK("https://klasma.github.io/Logging_2080/klagomålsmail/A 27263-2026 FSC-klagomål mail.docx", "A 27263-2026")</f>
        <v/>
      </c>
      <c r="AC130">
        <f>HYPERLINK("https://klasma.github.io/Logging_2080/tillsyn/A 27263-2026 tillsynsbegäran.docx", "A 27263-2026")</f>
        <v/>
      </c>
      <c r="AD130">
        <f>HYPERLINK("https://klasma.github.io/Logging_2080/tillsynsmail/A 27263-2026 tillsynsbegäran mail.docx", "A 27263-2026")</f>
        <v/>
      </c>
    </row>
    <row r="131" ht="15" customHeight="1">
      <c r="A131" t="inlineStr">
        <is>
          <t>A 27316-2026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46273</v>
      </c>
      <c r="F131" t="inlineStr">
        <is>
          <t>DALARNAS LÄN</t>
        </is>
      </c>
      <c r="G131" t="inlineStr">
        <is>
          <t>FALUN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27316-2026 artfynd.xlsx", "A 27316-2026")</f>
        <v/>
      </c>
      <c r="X131">
        <f>HYPERLINK("https://klasma.github.io/Logging_2080/kartor/A 27316-2026 karta.png", "A 27316-2026")</f>
        <v/>
      </c>
      <c r="Y131">
        <f>HYPERLINK("https://klasma.github.io/Logging_2080/kartor_geotiff/A 27316-2026 georefererad karta.tif", "A 27316-2026")</f>
        <v/>
      </c>
      <c r="AA131">
        <f>HYPERLINK("https://klasma.github.io/Logging_2080/klagomål/A 27316-2026 FSC-klagomål.docx", "A 27316-2026")</f>
        <v/>
      </c>
      <c r="AB131">
        <f>HYPERLINK("https://klasma.github.io/Logging_2080/klagomålsmail/A 27316-2026 FSC-klagomål mail.docx", "A 27316-2026")</f>
        <v/>
      </c>
      <c r="AC131">
        <f>HYPERLINK("https://klasma.github.io/Logging_2080/tillsyn/A 27316-2026 tillsynsbegäran.docx", "A 27316-2026")</f>
        <v/>
      </c>
      <c r="AD131">
        <f>HYPERLINK("https://klasma.github.io/Logging_2080/tillsynsmail/A 27316-2026 tillsynsbegäran mail.docx", "A 27316-2026")</f>
        <v/>
      </c>
    </row>
    <row r="132" ht="15" customHeight="1">
      <c r="A132" t="inlineStr">
        <is>
          <t>A 27831-2026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46191</v>
      </c>
      <c r="E132" s="1" t="n">
        <v>46273</v>
      </c>
      <c r="F132" t="inlineStr">
        <is>
          <t>DALARNAS LÄN</t>
        </is>
      </c>
      <c r="G132" t="inlineStr">
        <is>
          <t>FALUN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Nattviol</t>
        </is>
      </c>
      <c r="W132">
        <f>HYPERLINK("https://klasma.github.io/Logging_2080/artfynd/A 27831-2026 artfynd.xlsx", "A 27831-2026")</f>
        <v/>
      </c>
      <c r="X132">
        <f>HYPERLINK("https://klasma.github.io/Logging_2080/kartor/A 27831-2026 karta.png", "A 27831-2026")</f>
        <v/>
      </c>
      <c r="Y132">
        <f>HYPERLINK("https://klasma.github.io/Logging_2080/kartor_geotiff/A 27831-2026 georefererad karta.tif", "A 27831-2026")</f>
        <v/>
      </c>
      <c r="AA132">
        <f>HYPERLINK("https://klasma.github.io/Logging_2080/klagomål/A 27831-2026 FSC-klagomål.docx", "A 27831-2026")</f>
        <v/>
      </c>
      <c r="AB132">
        <f>HYPERLINK("https://klasma.github.io/Logging_2080/klagomålsmail/A 27831-2026 FSC-klagomål mail.docx", "A 27831-2026")</f>
        <v/>
      </c>
      <c r="AC132">
        <f>HYPERLINK("https://klasma.github.io/Logging_2080/tillsyn/A 27831-2026 tillsynsbegäran.docx", "A 27831-2026")</f>
        <v/>
      </c>
      <c r="AD132">
        <f>HYPERLINK("https://klasma.github.io/Logging_2080/tillsynsmail/A 27831-2026 tillsynsbegäran mail.docx", "A 27831-2026")</f>
        <v/>
      </c>
    </row>
    <row r="133" ht="15" customHeight="1">
      <c r="A133" t="inlineStr">
        <is>
          <t>A 27627-2026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46190</v>
      </c>
      <c r="E133" s="1" t="n">
        <v>46273</v>
      </c>
      <c r="F133" t="inlineStr">
        <is>
          <t>DALARNAS LÄN</t>
        </is>
      </c>
      <c r="G133" t="inlineStr">
        <is>
          <t>FALUN</t>
        </is>
      </c>
      <c r="I133" t="n">
        <v>1.7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Knärot</t>
        </is>
      </c>
      <c r="W133">
        <f>HYPERLINK("https://klasma.github.io/Logging_2080/artfynd/A 27627-2026 artfynd.xlsx", "A 27627-2026")</f>
        <v/>
      </c>
      <c r="X133">
        <f>HYPERLINK("https://klasma.github.io/Logging_2080/kartor/A 27627-2026 karta.png", "A 27627-2026")</f>
        <v/>
      </c>
      <c r="Y133">
        <f>HYPERLINK("https://klasma.github.io/Logging_2080/kartor_geotiff/A 27627-2026 georefererad karta.tif", "A 27627-2026")</f>
        <v/>
      </c>
      <c r="Z133">
        <f>HYPERLINK("https://klasma.github.io/Logging_2080/knärot/A 27627-2026 karta knärot.png", "A 27627-2026")</f>
        <v/>
      </c>
      <c r="AA133">
        <f>HYPERLINK("https://klasma.github.io/Logging_2080/klagomål/A 27627-2026 FSC-klagomål.docx", "A 27627-2026")</f>
        <v/>
      </c>
      <c r="AB133">
        <f>HYPERLINK("https://klasma.github.io/Logging_2080/klagomålsmail/A 27627-2026 FSC-klagomål mail.docx", "A 27627-2026")</f>
        <v/>
      </c>
      <c r="AC133">
        <f>HYPERLINK("https://klasma.github.io/Logging_2080/tillsyn/A 27627-2026 tillsynsbegäran.docx", "A 27627-2026")</f>
        <v/>
      </c>
      <c r="AD133">
        <f>HYPERLINK("https://klasma.github.io/Logging_2080/tillsynsmail/A 27627-2026 tillsynsbegäran mail.docx", "A 27627-2026")</f>
        <v/>
      </c>
    </row>
    <row r="134" ht="15" customHeight="1">
      <c r="A134" t="inlineStr">
        <is>
          <t>A 28096-2026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46273</v>
      </c>
      <c r="F134" t="inlineStr">
        <is>
          <t>DALARNAS LÄN</t>
        </is>
      </c>
      <c r="G134" t="inlineStr">
        <is>
          <t>FALUN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28096-2026 artfynd.xlsx", "A 28096-2026")</f>
        <v/>
      </c>
      <c r="X134">
        <f>HYPERLINK("https://klasma.github.io/Logging_2080/kartor/A 28096-2026 karta.png", "A 28096-2026")</f>
        <v/>
      </c>
      <c r="Y134">
        <f>HYPERLINK("https://klasma.github.io/Logging_2080/kartor_geotiff/A 28096-2026 georefererad karta.tif", "A 28096-2026")</f>
        <v/>
      </c>
      <c r="AA134">
        <f>HYPERLINK("https://klasma.github.io/Logging_2080/klagomål/A 28096-2026 FSC-klagomål.docx", "A 28096-2026")</f>
        <v/>
      </c>
      <c r="AB134">
        <f>HYPERLINK("https://klasma.github.io/Logging_2080/klagomålsmail/A 28096-2026 FSC-klagomål mail.docx", "A 28096-2026")</f>
        <v/>
      </c>
      <c r="AC134">
        <f>HYPERLINK("https://klasma.github.io/Logging_2080/tillsyn/A 28096-2026 tillsynsbegäran.docx", "A 28096-2026")</f>
        <v/>
      </c>
      <c r="AD134">
        <f>HYPERLINK("https://klasma.github.io/Logging_2080/tillsynsmail/A 28096-2026 tillsynsbegäran mail.docx", "A 28096-2026")</f>
        <v/>
      </c>
    </row>
    <row r="135" ht="15" customHeight="1">
      <c r="A135" t="inlineStr">
        <is>
          <t>A 19727-2026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46135</v>
      </c>
      <c r="E135" s="1" t="n">
        <v>46273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24.3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Flodpärlmussla</t>
        </is>
      </c>
      <c r="W135">
        <f>HYPERLINK("https://klasma.github.io/Logging_2080/artfynd/A 19727-2026 artfynd.xlsx", "A 19727-2026")</f>
        <v/>
      </c>
      <c r="X135">
        <f>HYPERLINK("https://klasma.github.io/Logging_2080/kartor/A 19727-2026 karta.png", "A 19727-2026")</f>
        <v/>
      </c>
      <c r="Y135">
        <f>HYPERLINK("https://klasma.github.io/Logging_2080/kartor_geotiff/A 19727-2026 georefererad karta.tif", "A 19727-2026")</f>
        <v/>
      </c>
      <c r="AA135">
        <f>HYPERLINK("https://klasma.github.io/Logging_2080/klagomål/A 19727-2026 FSC-klagomål.docx", "A 19727-2026")</f>
        <v/>
      </c>
      <c r="AB135">
        <f>HYPERLINK("https://klasma.github.io/Logging_2080/klagomålsmail/A 19727-2026 FSC-klagomål mail.docx", "A 19727-2026")</f>
        <v/>
      </c>
      <c r="AC135">
        <f>HYPERLINK("https://klasma.github.io/Logging_2080/tillsyn/A 19727-2026 tillsynsbegäran.docx", "A 19727-2026")</f>
        <v/>
      </c>
      <c r="AD135">
        <f>HYPERLINK("https://klasma.github.io/Logging_2080/tillsynsmail/A 19727-2026 tillsynsbegäran mail.docx", "A 19727-2026")</f>
        <v/>
      </c>
    </row>
    <row r="136" ht="15" customHeight="1">
      <c r="A136" t="inlineStr">
        <is>
          <t>A 1342-2026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46273</v>
      </c>
      <c r="F136" t="inlineStr">
        <is>
          <t>DALARNAS LÄN</t>
        </is>
      </c>
      <c r="G136" t="inlineStr">
        <is>
          <t>FALUN</t>
        </is>
      </c>
      <c r="I136" t="n">
        <v>14.9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Igelkott</t>
        </is>
      </c>
      <c r="W136">
        <f>HYPERLINK("https://klasma.github.io/Logging_2080/artfynd/A 1342-2026 artfynd.xlsx", "A 1342-2026")</f>
        <v/>
      </c>
      <c r="X136">
        <f>HYPERLINK("https://klasma.github.io/Logging_2080/kartor/A 1342-2026 karta.png", "A 1342-2026")</f>
        <v/>
      </c>
      <c r="Y136">
        <f>HYPERLINK("https://klasma.github.io/Logging_2080/kartor_geotiff/A 1342-2026 georefererad karta.tif", "A 1342-2026")</f>
        <v/>
      </c>
      <c r="AA136">
        <f>HYPERLINK("https://klasma.github.io/Logging_2080/klagomål/A 1342-2026 FSC-klagomål.docx", "A 1342-2026")</f>
        <v/>
      </c>
      <c r="AB136">
        <f>HYPERLINK("https://klasma.github.io/Logging_2080/klagomålsmail/A 1342-2026 FSC-klagomål mail.docx", "A 1342-2026")</f>
        <v/>
      </c>
      <c r="AC136">
        <f>HYPERLINK("https://klasma.github.io/Logging_2080/tillsyn/A 1342-2026 tillsynsbegäran.docx", "A 1342-2026")</f>
        <v/>
      </c>
      <c r="AD136">
        <f>HYPERLINK("https://klasma.github.io/Logging_2080/tillsynsmail/A 1342-2026 tillsynsbegäran mail.docx", "A 1342-2026")</f>
        <v/>
      </c>
    </row>
    <row r="137" ht="15" customHeight="1">
      <c r="A137" t="inlineStr">
        <is>
          <t>A 1317-2026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46273</v>
      </c>
      <c r="F137" t="inlineStr">
        <is>
          <t>DALARNAS LÄN</t>
        </is>
      </c>
      <c r="G137" t="inlineStr">
        <is>
          <t>FALUN</t>
        </is>
      </c>
      <c r="I137" t="n">
        <v>27.3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 groddlummer</t>
        </is>
      </c>
      <c r="W137">
        <f>HYPERLINK("https://klasma.github.io/Logging_2080/artfynd/A 1317-2026 artfynd.xlsx", "A 1317-2026")</f>
        <v/>
      </c>
      <c r="X137">
        <f>HYPERLINK("https://klasma.github.io/Logging_2080/kartor/A 1317-2026 karta.png", "A 1317-2026")</f>
        <v/>
      </c>
      <c r="Y137">
        <f>HYPERLINK("https://klasma.github.io/Logging_2080/kartor_geotiff/A 1317-2026 georefererad karta.tif", "A 1317-2026")</f>
        <v/>
      </c>
      <c r="AA137">
        <f>HYPERLINK("https://klasma.github.io/Logging_2080/klagomål/A 1317-2026 FSC-klagomål.docx", "A 1317-2026")</f>
        <v/>
      </c>
      <c r="AB137">
        <f>HYPERLINK("https://klasma.github.io/Logging_2080/klagomålsmail/A 1317-2026 FSC-klagomål mail.docx", "A 1317-2026")</f>
        <v/>
      </c>
      <c r="AC137">
        <f>HYPERLINK("https://klasma.github.io/Logging_2080/tillsyn/A 1317-2026 tillsynsbegäran.docx", "A 1317-2026")</f>
        <v/>
      </c>
      <c r="AD137">
        <f>HYPERLINK("https://klasma.github.io/Logging_2080/tillsynsmail/A 1317-2026 tillsynsbegäran mail.docx", "A 1317-2026")</f>
        <v/>
      </c>
    </row>
    <row r="138" ht="15" customHeight="1">
      <c r="A138" t="inlineStr">
        <is>
          <t>A 4921-2026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46273</v>
      </c>
      <c r="F138" t="inlineStr">
        <is>
          <t>DALARNAS LÄN</t>
        </is>
      </c>
      <c r="G138" t="inlineStr">
        <is>
          <t>FALUN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4921-2026 artfynd.xlsx", "A 4921-2026")</f>
        <v/>
      </c>
      <c r="X138">
        <f>HYPERLINK("https://klasma.github.io/Logging_2080/kartor/A 4921-2026 karta.png", "A 4921-2026")</f>
        <v/>
      </c>
      <c r="Y138">
        <f>HYPERLINK("https://klasma.github.io/Logging_2080/kartor_geotiff/A 4921-2026 georefererad karta.tif", "A 4921-2026")</f>
        <v/>
      </c>
      <c r="AA138">
        <f>HYPERLINK("https://klasma.github.io/Logging_2080/klagomål/A 4921-2026 FSC-klagomål.docx", "A 4921-2026")</f>
        <v/>
      </c>
      <c r="AB138">
        <f>HYPERLINK("https://klasma.github.io/Logging_2080/klagomålsmail/A 4921-2026 FSC-klagomål mail.docx", "A 4921-2026")</f>
        <v/>
      </c>
      <c r="AC138">
        <f>HYPERLINK("https://klasma.github.io/Logging_2080/tillsyn/A 4921-2026 tillsynsbegäran.docx", "A 4921-2026")</f>
        <v/>
      </c>
      <c r="AD138">
        <f>HYPERLINK("https://klasma.github.io/Logging_2080/tillsynsmail/A 4921-2026 tillsynsbegäran mail.docx", "A 4921-2026")</f>
        <v/>
      </c>
    </row>
    <row r="139" ht="15" customHeight="1">
      <c r="A139" t="inlineStr">
        <is>
          <t>A 4537-2026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46046</v>
      </c>
      <c r="E139" s="1" t="n">
        <v>46273</v>
      </c>
      <c r="F139" t="inlineStr">
        <is>
          <t>DALARNAS LÄN</t>
        </is>
      </c>
      <c r="G139" t="inlineStr">
        <is>
          <t>FALUN</t>
        </is>
      </c>
      <c r="I139" t="n">
        <v>4.8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Knärot</t>
        </is>
      </c>
      <c r="W139">
        <f>HYPERLINK("https://klasma.github.io/Logging_2080/artfynd/A 4537-2026 artfynd.xlsx", "A 4537-2026")</f>
        <v/>
      </c>
      <c r="X139">
        <f>HYPERLINK("https://klasma.github.io/Logging_2080/kartor/A 4537-2026 karta.png", "A 4537-2026")</f>
        <v/>
      </c>
      <c r="Y139">
        <f>HYPERLINK("https://klasma.github.io/Logging_2080/kartor_geotiff/A 4537-2026 georefererad karta.tif", "A 4537-2026")</f>
        <v/>
      </c>
      <c r="Z139">
        <f>HYPERLINK("https://klasma.github.io/Logging_2080/knärot/A 4537-2026 karta knärot.png", "A 4537-2026")</f>
        <v/>
      </c>
      <c r="AA139">
        <f>HYPERLINK("https://klasma.github.io/Logging_2080/klagomål/A 4537-2026 FSC-klagomål.docx", "A 4537-2026")</f>
        <v/>
      </c>
      <c r="AB139">
        <f>HYPERLINK("https://klasma.github.io/Logging_2080/klagomålsmail/A 4537-2026 FSC-klagomål mail.docx", "A 4537-2026")</f>
        <v/>
      </c>
      <c r="AC139">
        <f>HYPERLINK("https://klasma.github.io/Logging_2080/tillsyn/A 4537-2026 tillsynsbegäran.docx", "A 4537-2026")</f>
        <v/>
      </c>
      <c r="AD139">
        <f>HYPERLINK("https://klasma.github.io/Logging_2080/tillsynsmail/A 4537-2026 tillsynsbegäran mail.docx", "A 4537-2026")</f>
        <v/>
      </c>
    </row>
    <row r="140" ht="15" customHeight="1">
      <c r="A140" t="inlineStr">
        <is>
          <t>A 3552-2026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46273</v>
      </c>
      <c r="F140" t="inlineStr">
        <is>
          <t>DALARNAS LÄN</t>
        </is>
      </c>
      <c r="G140" t="inlineStr">
        <is>
          <t>FALUN</t>
        </is>
      </c>
      <c r="I140" t="n">
        <v>3.8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HYPERLINK("https://klasma.github.io/Logging_2080/artfynd/A 3552-2026 artfynd.xlsx", "A 3552-2026")</f>
        <v/>
      </c>
      <c r="X140">
        <f>HYPERLINK("https://klasma.github.io/Logging_2080/kartor/A 3552-2026 karta.png", "A 3552-2026")</f>
        <v/>
      </c>
      <c r="Y140">
        <f>HYPERLINK("https://klasma.github.io/Logging_2080/kartor_geotiff/A 3552-2026 georefererad karta.tif", "A 3552-2026")</f>
        <v/>
      </c>
      <c r="AA140">
        <f>HYPERLINK("https://klasma.github.io/Logging_2080/klagomål/A 3552-2026 FSC-klagomål.docx", "A 3552-2026")</f>
        <v/>
      </c>
      <c r="AB140">
        <f>HYPERLINK("https://klasma.github.io/Logging_2080/klagomålsmail/A 3552-2026 FSC-klagomål mail.docx", "A 3552-2026")</f>
        <v/>
      </c>
      <c r="AC140">
        <f>HYPERLINK("https://klasma.github.io/Logging_2080/tillsyn/A 3552-2026 tillsynsbegäran.docx", "A 3552-2026")</f>
        <v/>
      </c>
      <c r="AD140">
        <f>HYPERLINK("https://klasma.github.io/Logging_2080/tillsynsmail/A 3552-2026 tillsynsbegäran mail.docx", "A 3552-2026")</f>
        <v/>
      </c>
      <c r="AE140">
        <f>HYPERLINK("https://klasma.github.io/Logging_2080/fåglar/A 3552-2026 prioriterade fågelarter.docx", "A 3552-2026")</f>
        <v/>
      </c>
    </row>
    <row r="141" ht="15" customHeight="1">
      <c r="A141" t="inlineStr">
        <is>
          <t>A 29133-2026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46202</v>
      </c>
      <c r="E141" s="1" t="n">
        <v>46273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HYPERLINK("https://klasma.github.io/Logging_2080/artfynd/A 29133-2026 artfynd.xlsx", "A 29133-2026")</f>
        <v/>
      </c>
      <c r="X141">
        <f>HYPERLINK("https://klasma.github.io/Logging_2080/kartor/A 29133-2026 karta.png", "A 29133-2026")</f>
        <v/>
      </c>
      <c r="Y141">
        <f>HYPERLINK("https://klasma.github.io/Logging_2080/kartor_geotiff/A 29133-2026 georefererad karta.tif", "A 29133-2026")</f>
        <v/>
      </c>
      <c r="AA141">
        <f>HYPERLINK("https://klasma.github.io/Logging_2080/klagomål/A 29133-2026 FSC-klagomål.docx", "A 29133-2026")</f>
        <v/>
      </c>
      <c r="AB141">
        <f>HYPERLINK("https://klasma.github.io/Logging_2080/klagomålsmail/A 29133-2026 FSC-klagomål mail.docx", "A 29133-2026")</f>
        <v/>
      </c>
      <c r="AC141">
        <f>HYPERLINK("https://klasma.github.io/Logging_2080/tillsyn/A 29133-2026 tillsynsbegäran.docx", "A 29133-2026")</f>
        <v/>
      </c>
      <c r="AD141">
        <f>HYPERLINK("https://klasma.github.io/Logging_2080/tillsynsmail/A 29133-2026 tillsynsbegäran mail.docx", "A 29133-2026")</f>
        <v/>
      </c>
    </row>
    <row r="142" ht="15" customHeight="1">
      <c r="A142" t="inlineStr">
        <is>
          <t>A 6968-2026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46273</v>
      </c>
      <c r="F142" t="inlineStr">
        <is>
          <t>DALARNAS LÄN</t>
        </is>
      </c>
      <c r="G142" t="inlineStr">
        <is>
          <t>FALUN</t>
        </is>
      </c>
      <c r="H142" t="inlineStr">
        <is>
          <t>Allmännings- och besparingsskogar</t>
        </is>
      </c>
      <c r="I142" t="n">
        <v>14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6968-2026 artfynd.xlsx", "A 6968-2026")</f>
        <v/>
      </c>
      <c r="X142">
        <f>HYPERLINK("https://klasma.github.io/Logging_2080/kartor/A 6968-2026 karta.png", "A 6968-2026")</f>
        <v/>
      </c>
      <c r="Y142">
        <f>HYPERLINK("https://klasma.github.io/Logging_2080/kartor_geotiff/A 6968-2026 georefererad karta.tif", "A 6968-2026")</f>
        <v/>
      </c>
      <c r="AA142">
        <f>HYPERLINK("https://klasma.github.io/Logging_2080/klagomål/A 6968-2026 FSC-klagomål.docx", "A 6968-2026")</f>
        <v/>
      </c>
      <c r="AB142">
        <f>HYPERLINK("https://klasma.github.io/Logging_2080/klagomålsmail/A 6968-2026 FSC-klagomål mail.docx", "A 6968-2026")</f>
        <v/>
      </c>
      <c r="AC142">
        <f>HYPERLINK("https://klasma.github.io/Logging_2080/tillsyn/A 6968-2026 tillsynsbegäran.docx", "A 6968-2026")</f>
        <v/>
      </c>
      <c r="AD142">
        <f>HYPERLINK("https://klasma.github.io/Logging_2080/tillsynsmail/A 6968-2026 tillsynsbegäran mail.docx", "A 6968-2026")</f>
        <v/>
      </c>
    </row>
    <row r="143" ht="15" customHeight="1">
      <c r="A143" t="inlineStr">
        <is>
          <t>A 6962-2026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46273</v>
      </c>
      <c r="F143" t="inlineStr">
        <is>
          <t>DALARNAS LÄN</t>
        </is>
      </c>
      <c r="G143" t="inlineStr">
        <is>
          <t>FALUN</t>
        </is>
      </c>
      <c r="H143" t="inlineStr">
        <is>
          <t>Allmännings- och besparingsskogar</t>
        </is>
      </c>
      <c r="I143" t="n">
        <v>20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6962-2026 artfynd.xlsx", "A 6962-2026")</f>
        <v/>
      </c>
      <c r="X143">
        <f>HYPERLINK("https://klasma.github.io/Logging_2080/kartor/A 6962-2026 karta.png", "A 6962-2026")</f>
        <v/>
      </c>
      <c r="Y143">
        <f>HYPERLINK("https://klasma.github.io/Logging_2080/kartor_geotiff/A 6962-2026 georefererad karta.tif", "A 6962-2026")</f>
        <v/>
      </c>
      <c r="AA143">
        <f>HYPERLINK("https://klasma.github.io/Logging_2080/klagomål/A 6962-2026 FSC-klagomål.docx", "A 6962-2026")</f>
        <v/>
      </c>
      <c r="AB143">
        <f>HYPERLINK("https://klasma.github.io/Logging_2080/klagomålsmail/A 6962-2026 FSC-klagomål mail.docx", "A 6962-2026")</f>
        <v/>
      </c>
      <c r="AC143">
        <f>HYPERLINK("https://klasma.github.io/Logging_2080/tillsyn/A 6962-2026 tillsynsbegäran.docx", "A 6962-2026")</f>
        <v/>
      </c>
      <c r="AD143">
        <f>HYPERLINK("https://klasma.github.io/Logging_2080/tillsynsmail/A 6962-2026 tillsynsbegäran mail.docx", "A 6962-2026")</f>
        <v/>
      </c>
    </row>
    <row r="144" ht="15" customHeight="1">
      <c r="A144" t="inlineStr">
        <is>
          <t>A 6951-2026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46057</v>
      </c>
      <c r="E144" s="1" t="n">
        <v>46273</v>
      </c>
      <c r="F144" t="inlineStr">
        <is>
          <t>DALARNAS LÄN</t>
        </is>
      </c>
      <c r="G144" t="inlineStr">
        <is>
          <t>FALUN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6951-2026 artfynd.xlsx", "A 6951-2026")</f>
        <v/>
      </c>
      <c r="X144">
        <f>HYPERLINK("https://klasma.github.io/Logging_2080/kartor/A 6951-2026 karta.png", "A 6951-2026")</f>
        <v/>
      </c>
      <c r="Y144">
        <f>HYPERLINK("https://klasma.github.io/Logging_2080/kartor_geotiff/A 6951-2026 georefererad karta.tif", "A 6951-2026")</f>
        <v/>
      </c>
      <c r="AA144">
        <f>HYPERLINK("https://klasma.github.io/Logging_2080/klagomål/A 6951-2026 FSC-klagomål.docx", "A 6951-2026")</f>
        <v/>
      </c>
      <c r="AB144">
        <f>HYPERLINK("https://klasma.github.io/Logging_2080/klagomålsmail/A 6951-2026 FSC-klagomål mail.docx", "A 6951-2026")</f>
        <v/>
      </c>
      <c r="AC144">
        <f>HYPERLINK("https://klasma.github.io/Logging_2080/tillsyn/A 6951-2026 tillsynsbegäran.docx", "A 6951-2026")</f>
        <v/>
      </c>
      <c r="AD144">
        <f>HYPERLINK("https://klasma.github.io/Logging_2080/tillsynsmail/A 6951-2026 tillsynsbegäran mail.docx", "A 6951-2026")</f>
        <v/>
      </c>
    </row>
    <row r="145" ht="15" customHeight="1">
      <c r="A145" t="inlineStr">
        <is>
          <t>A 33676-2026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46248</v>
      </c>
      <c r="E145" s="1" t="n">
        <v>46273</v>
      </c>
      <c r="F145" t="inlineStr">
        <is>
          <t>DALARNAS LÄN</t>
        </is>
      </c>
      <c r="G145" t="inlineStr">
        <is>
          <t>FALUN</t>
        </is>
      </c>
      <c r="I145" t="n">
        <v>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HYPERLINK("https://klasma.github.io/Logging_2080/artfynd/A 33676-2026 artfynd.xlsx", "A 33676-2026")</f>
        <v/>
      </c>
      <c r="X145">
        <f>HYPERLINK("https://klasma.github.io/Logging_2080/kartor/A 33676-2026 karta.png", "A 33676-2026")</f>
        <v/>
      </c>
      <c r="Y145">
        <f>HYPERLINK("https://klasma.github.io/Logging_2080/kartor_geotiff/A 33676-2026 georefererad karta.tif", "A 33676-2026")</f>
        <v/>
      </c>
      <c r="AA145">
        <f>HYPERLINK("https://klasma.github.io/Logging_2080/klagomål/A 33676-2026 FSC-klagomål.docx", "A 33676-2026")</f>
        <v/>
      </c>
      <c r="AB145">
        <f>HYPERLINK("https://klasma.github.io/Logging_2080/klagomålsmail/A 33676-2026 FSC-klagomål mail.docx", "A 33676-2026")</f>
        <v/>
      </c>
      <c r="AC145">
        <f>HYPERLINK("https://klasma.github.io/Logging_2080/tillsyn/A 33676-2026 tillsynsbegäran.docx", "A 33676-2026")</f>
        <v/>
      </c>
      <c r="AD145">
        <f>HYPERLINK("https://klasma.github.io/Logging_2080/tillsynsmail/A 33676-2026 tillsynsbegäran mail.docx", "A 33676-2026")</f>
        <v/>
      </c>
      <c r="AE145">
        <f>HYPERLINK("https://klasma.github.io/Logging_2080/fåglar/A 33676-2026 prioriterade fågelarter.docx", "A 33676-2026")</f>
        <v/>
      </c>
    </row>
    <row r="146" ht="15" customHeight="1">
      <c r="A146" t="inlineStr">
        <is>
          <t>A 11038-2026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46273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HYPERLINK("https://klasma.github.io/Logging_2080/artfynd/A 11038-2026 artfynd.xlsx", "A 11038-2026")</f>
        <v/>
      </c>
      <c r="X146">
        <f>HYPERLINK("https://klasma.github.io/Logging_2080/kartor/A 11038-2026 karta.png", "A 11038-2026")</f>
        <v/>
      </c>
      <c r="Y146">
        <f>HYPERLINK("https://klasma.github.io/Logging_2080/kartor_geotiff/A 11038-2026 georefererad karta.tif", "A 11038-2026")</f>
        <v/>
      </c>
      <c r="AA146">
        <f>HYPERLINK("https://klasma.github.io/Logging_2080/klagomål/A 11038-2026 FSC-klagomål.docx", "A 11038-2026")</f>
        <v/>
      </c>
      <c r="AB146">
        <f>HYPERLINK("https://klasma.github.io/Logging_2080/klagomålsmail/A 11038-2026 FSC-klagomål mail.docx", "A 11038-2026")</f>
        <v/>
      </c>
      <c r="AC146">
        <f>HYPERLINK("https://klasma.github.io/Logging_2080/tillsyn/A 11038-2026 tillsynsbegäran.docx", "A 11038-2026")</f>
        <v/>
      </c>
      <c r="AD146">
        <f>HYPERLINK("https://klasma.github.io/Logging_2080/tillsynsmail/A 11038-2026 tillsynsbegäran mail.docx", "A 11038-2026")</f>
        <v/>
      </c>
    </row>
    <row r="147" ht="15" customHeight="1">
      <c r="A147" t="inlineStr">
        <is>
          <t>A 12257-2026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46273</v>
      </c>
      <c r="F147" t="inlineStr">
        <is>
          <t>DALARNAS LÄN</t>
        </is>
      </c>
      <c r="G147" t="inlineStr">
        <is>
          <t>FALUN</t>
        </is>
      </c>
      <c r="I147" t="n">
        <v>1.6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12257-2026 artfynd.xlsx", "A 12257-2026")</f>
        <v/>
      </c>
      <c r="X147">
        <f>HYPERLINK("https://klasma.github.io/Logging_2080/kartor/A 12257-2026 karta.png", "A 12257-2026")</f>
        <v/>
      </c>
      <c r="Y147">
        <f>HYPERLINK("https://klasma.github.io/Logging_2080/kartor_geotiff/A 12257-2026 georefererad karta.tif", "A 12257-2026")</f>
        <v/>
      </c>
      <c r="AA147">
        <f>HYPERLINK("https://klasma.github.io/Logging_2080/klagomål/A 12257-2026 FSC-klagomål.docx", "A 12257-2026")</f>
        <v/>
      </c>
      <c r="AB147">
        <f>HYPERLINK("https://klasma.github.io/Logging_2080/klagomålsmail/A 12257-2026 FSC-klagomål mail.docx", "A 12257-2026")</f>
        <v/>
      </c>
      <c r="AC147">
        <f>HYPERLINK("https://klasma.github.io/Logging_2080/tillsyn/A 12257-2026 tillsynsbegäran.docx", "A 12257-2026")</f>
        <v/>
      </c>
      <c r="AD147">
        <f>HYPERLINK("https://klasma.github.io/Logging_2080/tillsynsmail/A 12257-2026 tillsynsbegäran mail.docx", "A 12257-2026")</f>
        <v/>
      </c>
      <c r="AE147">
        <f>HYPERLINK("https://klasma.github.io/Logging_2080/fåglar/A 12257-2026 prioriterade fågelarter.docx", "A 12257-2026")</f>
        <v/>
      </c>
    </row>
    <row r="148" ht="15" customHeight="1">
      <c r="A148" t="inlineStr">
        <is>
          <t>A 13205-2026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46273</v>
      </c>
      <c r="F148" t="inlineStr">
        <is>
          <t>DALARNAS LÄN</t>
        </is>
      </c>
      <c r="G148" t="inlineStr">
        <is>
          <t>FALUN</t>
        </is>
      </c>
      <c r="I148" t="n">
        <v>4.6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Sotriska</t>
        </is>
      </c>
      <c r="W148">
        <f>HYPERLINK("https://klasma.github.io/Logging_2080/artfynd/A 13205-2026 artfynd.xlsx", "A 13205-2026")</f>
        <v/>
      </c>
      <c r="X148">
        <f>HYPERLINK("https://klasma.github.io/Logging_2080/kartor/A 13205-2026 karta.png", "A 13205-2026")</f>
        <v/>
      </c>
      <c r="Y148">
        <f>HYPERLINK("https://klasma.github.io/Logging_2080/kartor_geotiff/A 13205-2026 georefererad karta.tif", "A 13205-2026")</f>
        <v/>
      </c>
      <c r="AA148">
        <f>HYPERLINK("https://klasma.github.io/Logging_2080/klagomål/A 13205-2026 FSC-klagomål.docx", "A 13205-2026")</f>
        <v/>
      </c>
      <c r="AB148">
        <f>HYPERLINK("https://klasma.github.io/Logging_2080/klagomålsmail/A 13205-2026 FSC-klagomål mail.docx", "A 13205-2026")</f>
        <v/>
      </c>
      <c r="AC148">
        <f>HYPERLINK("https://klasma.github.io/Logging_2080/tillsyn/A 13205-2026 tillsynsbegäran.docx", "A 13205-2026")</f>
        <v/>
      </c>
      <c r="AD148">
        <f>HYPERLINK("https://klasma.github.io/Logging_2080/tillsynsmail/A 13205-2026 tillsynsbegäran mail.docx", "A 13205-2026")</f>
        <v/>
      </c>
    </row>
    <row r="149" ht="15" customHeight="1">
      <c r="A149" t="inlineStr">
        <is>
          <t>A 16084-2026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46273</v>
      </c>
      <c r="F149" t="inlineStr">
        <is>
          <t>DALARNAS LÄN</t>
        </is>
      </c>
      <c r="G149" t="inlineStr">
        <is>
          <t>FALUN</t>
        </is>
      </c>
      <c r="H149" t="inlineStr">
        <is>
          <t>Allmännings- och besparingsskogar</t>
        </is>
      </c>
      <c r="I149" t="n">
        <v>10.4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Älg</t>
        </is>
      </c>
      <c r="W149">
        <f>HYPERLINK("https://klasma.github.io/Logging_2080/artfynd/A 16084-2026 artfynd.xlsx", "A 16084-2026")</f>
        <v/>
      </c>
      <c r="X149">
        <f>HYPERLINK("https://klasma.github.io/Logging_2080/kartor/A 16084-2026 karta.png", "A 16084-2026")</f>
        <v/>
      </c>
      <c r="Y149">
        <f>HYPERLINK("https://klasma.github.io/Logging_2080/kartor_geotiff/A 16084-2026 georefererad karta.tif", "A 16084-2026")</f>
        <v/>
      </c>
      <c r="AA149">
        <f>HYPERLINK("https://klasma.github.io/Logging_2080/klagomål/A 16084-2026 FSC-klagomål.docx", "A 16084-2026")</f>
        <v/>
      </c>
      <c r="AB149">
        <f>HYPERLINK("https://klasma.github.io/Logging_2080/klagomålsmail/A 16084-2026 FSC-klagomål mail.docx", "A 16084-2026")</f>
        <v/>
      </c>
      <c r="AC149">
        <f>HYPERLINK("https://klasma.github.io/Logging_2080/tillsyn/A 16084-2026 tillsynsbegäran.docx", "A 16084-2026")</f>
        <v/>
      </c>
      <c r="AD149">
        <f>HYPERLINK("https://klasma.github.io/Logging_2080/tillsynsmail/A 16084-2026 tillsynsbegäran mail.docx", "A 16084-2026")</f>
        <v/>
      </c>
    </row>
    <row r="150" ht="15" customHeight="1">
      <c r="A150" t="inlineStr">
        <is>
          <t>A 35000-2026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46259</v>
      </c>
      <c r="E150" s="1" t="n">
        <v>46273</v>
      </c>
      <c r="F150" t="inlineStr">
        <is>
          <t>DALARNAS LÄN</t>
        </is>
      </c>
      <c r="G150" t="inlineStr">
        <is>
          <t>FALUN</t>
        </is>
      </c>
      <c r="H150" t="inlineStr">
        <is>
          <t>Sveaskog</t>
        </is>
      </c>
      <c r="I150" t="n">
        <v>18.4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35000-2026 artfynd.xlsx", "A 35000-2026")</f>
        <v/>
      </c>
      <c r="X150">
        <f>HYPERLINK("https://klasma.github.io/Logging_2080/kartor/A 35000-2026 karta.png", "A 35000-2026")</f>
        <v/>
      </c>
      <c r="Y150">
        <f>HYPERLINK("https://klasma.github.io/Logging_2080/kartor_geotiff/A 35000-2026 georefererad karta.tif", "A 35000-2026")</f>
        <v/>
      </c>
      <c r="AA150">
        <f>HYPERLINK("https://klasma.github.io/Logging_2080/klagomål/A 35000-2026 FSC-klagomål.docx", "A 35000-2026")</f>
        <v/>
      </c>
      <c r="AB150">
        <f>HYPERLINK("https://klasma.github.io/Logging_2080/klagomålsmail/A 35000-2026 FSC-klagomål mail.docx", "A 35000-2026")</f>
        <v/>
      </c>
      <c r="AC150">
        <f>HYPERLINK("https://klasma.github.io/Logging_2080/tillsyn/A 35000-2026 tillsynsbegäran.docx", "A 35000-2026")</f>
        <v/>
      </c>
      <c r="AD150">
        <f>HYPERLINK("https://klasma.github.io/Logging_2080/tillsynsmail/A 35000-2026 tillsynsbegäran mail.docx", "A 35000-2026")</f>
        <v/>
      </c>
    </row>
    <row r="151" ht="15" customHeight="1">
      <c r="A151" t="inlineStr">
        <is>
          <t>A 15178-2026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46273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17.1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Stjärntagging</t>
        </is>
      </c>
      <c r="W151">
        <f>HYPERLINK("https://klasma.github.io/Logging_2080/artfynd/A 15178-2026 artfynd.xlsx", "A 15178-2026")</f>
        <v/>
      </c>
      <c r="X151">
        <f>HYPERLINK("https://klasma.github.io/Logging_2080/kartor/A 15178-2026 karta.png", "A 15178-2026")</f>
        <v/>
      </c>
      <c r="Y151">
        <f>HYPERLINK("https://klasma.github.io/Logging_2080/kartor_geotiff/A 15178-2026 georefererad karta.tif", "A 15178-2026")</f>
        <v/>
      </c>
      <c r="AA151">
        <f>HYPERLINK("https://klasma.github.io/Logging_2080/klagomål/A 15178-2026 FSC-klagomål.docx", "A 15178-2026")</f>
        <v/>
      </c>
      <c r="AB151">
        <f>HYPERLINK("https://klasma.github.io/Logging_2080/klagomålsmail/A 15178-2026 FSC-klagomål mail.docx", "A 15178-2026")</f>
        <v/>
      </c>
      <c r="AC151">
        <f>HYPERLINK("https://klasma.github.io/Logging_2080/tillsyn/A 15178-2026 tillsynsbegäran.docx", "A 15178-2026")</f>
        <v/>
      </c>
      <c r="AD151">
        <f>HYPERLINK("https://klasma.github.io/Logging_2080/tillsynsmail/A 15178-2026 tillsynsbegäran mail.docx", "A 15178-2026")</f>
        <v/>
      </c>
    </row>
    <row r="152" ht="15" customHeight="1">
      <c r="A152" t="inlineStr">
        <is>
          <t>A 35218-2026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46260</v>
      </c>
      <c r="E152" s="1" t="n">
        <v>46273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4.5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HYPERLINK("https://klasma.github.io/Logging_2080/artfynd/A 35218-2026 artfynd.xlsx", "A 35218-2026")</f>
        <v/>
      </c>
      <c r="X152">
        <f>HYPERLINK("https://klasma.github.io/Logging_2080/kartor/A 35218-2026 karta.png", "A 35218-2026")</f>
        <v/>
      </c>
      <c r="Y152">
        <f>HYPERLINK("https://klasma.github.io/Logging_2080/kartor_geotiff/A 35218-2026 georefererad karta.tif", "A 35218-2026")</f>
        <v/>
      </c>
      <c r="AA152">
        <f>HYPERLINK("https://klasma.github.io/Logging_2080/klagomål/A 35218-2026 FSC-klagomål.docx", "A 35218-2026")</f>
        <v/>
      </c>
      <c r="AB152">
        <f>HYPERLINK("https://klasma.github.io/Logging_2080/klagomålsmail/A 35218-2026 FSC-klagomål mail.docx", "A 35218-2026")</f>
        <v/>
      </c>
      <c r="AC152">
        <f>HYPERLINK("https://klasma.github.io/Logging_2080/tillsyn/A 35218-2026 tillsynsbegäran.docx", "A 35218-2026")</f>
        <v/>
      </c>
      <c r="AD152">
        <f>HYPERLINK("https://klasma.github.io/Logging_2080/tillsynsmail/A 35218-2026 tillsynsbegäran mail.docx", "A 35218-2026")</f>
        <v/>
      </c>
    </row>
    <row r="153" ht="15" customHeight="1">
      <c r="A153" t="inlineStr">
        <is>
          <t>A 18067-2023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46273</v>
      </c>
      <c r="F153" t="inlineStr">
        <is>
          <t>DALARNAS LÄN</t>
        </is>
      </c>
      <c r="G153" t="inlineStr">
        <is>
          <t>FALUN</t>
        </is>
      </c>
      <c r="I153" t="n">
        <v>7.7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Ögonpyrola</t>
        </is>
      </c>
      <c r="W153">
        <f>HYPERLINK("https://klasma.github.io/Logging_2080/artfynd/A 18067-2023 artfynd.xlsx", "A 18067-2023")</f>
        <v/>
      </c>
      <c r="X153">
        <f>HYPERLINK("https://klasma.github.io/Logging_2080/kartor/A 18067-2023 karta.png", "A 18067-2023")</f>
        <v/>
      </c>
      <c r="Y153">
        <f>HYPERLINK("https://klasma.github.io/Logging_2080/kartor_geotiff/A 18067-2023 georefererad karta.tif", "A 18067-2023")</f>
        <v/>
      </c>
      <c r="AA153">
        <f>HYPERLINK("https://klasma.github.io/Logging_2080/klagomål/A 18067-2023 FSC-klagomål.docx", "A 18067-2023")</f>
        <v/>
      </c>
      <c r="AB153">
        <f>HYPERLINK("https://klasma.github.io/Logging_2080/klagomålsmail/A 18067-2023 FSC-klagomål mail.docx", "A 18067-2023")</f>
        <v/>
      </c>
      <c r="AC153">
        <f>HYPERLINK("https://klasma.github.io/Logging_2080/tillsyn/A 18067-2023 tillsynsbegäran.docx", "A 18067-2023")</f>
        <v/>
      </c>
      <c r="AD153">
        <f>HYPERLINK("https://klasma.github.io/Logging_2080/tillsynsmail/A 18067-2023 tillsynsbegäran mail.docx", "A 18067-2023")</f>
        <v/>
      </c>
    </row>
    <row r="154" ht="15" customHeight="1">
      <c r="A154" t="inlineStr">
        <is>
          <t>A 17252-2026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46273</v>
      </c>
      <c r="F154" t="inlineStr">
        <is>
          <t>DALARNAS LÄN</t>
        </is>
      </c>
      <c r="G154" t="inlineStr">
        <is>
          <t>FALUN</t>
        </is>
      </c>
      <c r="I154" t="n">
        <v>88.90000000000001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HYPERLINK("https://klasma.github.io/Logging_2080/artfynd/A 17252-2026 artfynd.xlsx", "A 17252-2026")</f>
        <v/>
      </c>
      <c r="X154">
        <f>HYPERLINK("https://klasma.github.io/Logging_2080/kartor/A 17252-2026 karta.png", "A 17252-2026")</f>
        <v/>
      </c>
      <c r="Y154">
        <f>HYPERLINK("https://klasma.github.io/Logging_2080/kartor_geotiff/A 17252-2026 georefererad karta.tif", "A 17252-2026")</f>
        <v/>
      </c>
      <c r="AA154">
        <f>HYPERLINK("https://klasma.github.io/Logging_2080/klagomål/A 17252-2026 FSC-klagomål.docx", "A 17252-2026")</f>
        <v/>
      </c>
      <c r="AB154">
        <f>HYPERLINK("https://klasma.github.io/Logging_2080/klagomålsmail/A 17252-2026 FSC-klagomål mail.docx", "A 17252-2026")</f>
        <v/>
      </c>
      <c r="AC154">
        <f>HYPERLINK("https://klasma.github.io/Logging_2080/tillsyn/A 17252-2026 tillsynsbegäran.docx", "A 17252-2026")</f>
        <v/>
      </c>
      <c r="AD154">
        <f>HYPERLINK("https://klasma.github.io/Logging_2080/tillsynsmail/A 17252-2026 tillsynsbegäran mail.docx", "A 17252-2026")</f>
        <v/>
      </c>
    </row>
    <row r="155" ht="15" customHeight="1">
      <c r="A155" t="inlineStr">
        <is>
          <t>A 18707-2026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46273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13.1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Blanksvart spiklav</t>
        </is>
      </c>
      <c r="W155">
        <f>HYPERLINK("https://klasma.github.io/Logging_2080/artfynd/A 18707-2026 artfynd.xlsx", "A 18707-2026")</f>
        <v/>
      </c>
      <c r="X155">
        <f>HYPERLINK("https://klasma.github.io/Logging_2080/kartor/A 18707-2026 karta.png", "A 18707-2026")</f>
        <v/>
      </c>
      <c r="Y155">
        <f>HYPERLINK("https://klasma.github.io/Logging_2080/kartor_geotiff/A 18707-2026 georefererad karta.tif", "A 18707-2026")</f>
        <v/>
      </c>
      <c r="AA155">
        <f>HYPERLINK("https://klasma.github.io/Logging_2080/klagomål/A 18707-2026 FSC-klagomål.docx", "A 18707-2026")</f>
        <v/>
      </c>
      <c r="AB155">
        <f>HYPERLINK("https://klasma.github.io/Logging_2080/klagomålsmail/A 18707-2026 FSC-klagomål mail.docx", "A 18707-2026")</f>
        <v/>
      </c>
      <c r="AC155">
        <f>HYPERLINK("https://klasma.github.io/Logging_2080/tillsyn/A 18707-2026 tillsynsbegäran.docx", "A 18707-2026")</f>
        <v/>
      </c>
      <c r="AD155">
        <f>HYPERLINK("https://klasma.github.io/Logging_2080/tillsynsmail/A 18707-2026 tillsynsbegäran mail.docx", "A 18707-2026")</f>
        <v/>
      </c>
    </row>
    <row r="156" ht="15" customHeight="1">
      <c r="A156" t="inlineStr">
        <is>
          <t>A 20186-2024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45434</v>
      </c>
      <c r="E156" s="1" t="n">
        <v>46273</v>
      </c>
      <c r="F156" t="inlineStr">
        <is>
          <t>DALARNAS LÄN</t>
        </is>
      </c>
      <c r="G156" t="inlineStr">
        <is>
          <t>FALUN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Knärot</t>
        </is>
      </c>
      <c r="W156">
        <f>HYPERLINK("https://klasma.github.io/Logging_2080/artfynd/A 20186-2024 artfynd.xlsx", "A 20186-2024")</f>
        <v/>
      </c>
      <c r="X156">
        <f>HYPERLINK("https://klasma.github.io/Logging_2080/kartor/A 20186-2024 karta.png", "A 20186-2024")</f>
        <v/>
      </c>
      <c r="Y156">
        <f>HYPERLINK("https://klasma.github.io/Logging_2080/kartor_geotiff/A 20186-2024 georefererad karta.tif", "A 20186-2024")</f>
        <v/>
      </c>
      <c r="Z156">
        <f>HYPERLINK("https://klasma.github.io/Logging_2080/knärot/A 20186-2024 karta knärot.png", "A 20186-2024")</f>
        <v/>
      </c>
      <c r="AA156">
        <f>HYPERLINK("https://klasma.github.io/Logging_2080/klagomål/A 20186-2024 FSC-klagomål.docx", "A 20186-2024")</f>
        <v/>
      </c>
      <c r="AB156">
        <f>HYPERLINK("https://klasma.github.io/Logging_2080/klagomålsmail/A 20186-2024 FSC-klagomål mail.docx", "A 20186-2024")</f>
        <v/>
      </c>
      <c r="AC156">
        <f>HYPERLINK("https://klasma.github.io/Logging_2080/tillsyn/A 20186-2024 tillsynsbegäran.docx", "A 20186-2024")</f>
        <v/>
      </c>
      <c r="AD156">
        <f>HYPERLINK("https://klasma.github.io/Logging_2080/tillsynsmail/A 20186-2024 tillsynsbegäran mail.docx", "A 20186-2024")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46273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Revlummer</t>
        </is>
      </c>
      <c r="W157">
        <f>HYPERLINK("https://klasma.github.io/Logging_2080/artfynd/A 48693-2023 artfynd.xlsx", "A 48693-2023")</f>
        <v/>
      </c>
      <c r="X157">
        <f>HYPERLINK("https://klasma.github.io/Logging_2080/kartor/A 48693-2023 karta.png", "A 48693-2023")</f>
        <v/>
      </c>
      <c r="Y157">
        <f>HYPERLINK("https://klasma.github.io/Logging_2080/kartor_geotiff/A 48693-2023 georefererad karta.tif", "A 48693-2023")</f>
        <v/>
      </c>
      <c r="AA157">
        <f>HYPERLINK("https://klasma.github.io/Logging_2080/klagomål/A 48693-2023 FSC-klagomål.docx", "A 48693-2023")</f>
        <v/>
      </c>
      <c r="AB157">
        <f>HYPERLINK("https://klasma.github.io/Logging_2080/klagomålsmail/A 48693-2023 FSC-klagomål mail.docx", "A 48693-2023")</f>
        <v/>
      </c>
      <c r="AC157">
        <f>HYPERLINK("https://klasma.github.io/Logging_2080/tillsyn/A 48693-2023 tillsynsbegäran.docx", "A 48693-2023")</f>
        <v/>
      </c>
      <c r="AD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46963-2023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46273</v>
      </c>
      <c r="F158" t="inlineStr">
        <is>
          <t>DALARNAS LÄN</t>
        </is>
      </c>
      <c r="G158" t="inlineStr">
        <is>
          <t>FALUN</t>
        </is>
      </c>
      <c r="I158" t="n">
        <v>13.6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HYPERLINK("https://klasma.github.io/Logging_2080/artfynd/A 46963-2023 artfynd.xlsx", "A 46963-2023")</f>
        <v/>
      </c>
      <c r="X158">
        <f>HYPERLINK("https://klasma.github.io/Logging_2080/kartor/A 46963-2023 karta.png", "A 46963-2023")</f>
        <v/>
      </c>
      <c r="Y158">
        <f>HYPERLINK("https://klasma.github.io/Logging_2080/kartor_geotiff/A 46963-2023 georefererad karta.tif", "A 46963-2023")</f>
        <v/>
      </c>
      <c r="AA158">
        <f>HYPERLINK("https://klasma.github.io/Logging_2080/klagomål/A 46963-2023 FSC-klagomål.docx", "A 46963-2023")</f>
        <v/>
      </c>
      <c r="AB158">
        <f>HYPERLINK("https://klasma.github.io/Logging_2080/klagomålsmail/A 46963-2023 FSC-klagomål mail.docx", "A 46963-2023")</f>
        <v/>
      </c>
      <c r="AC158">
        <f>HYPERLINK("https://klasma.github.io/Logging_2080/tillsyn/A 46963-2023 tillsynsbegäran.docx", "A 46963-2023")</f>
        <v/>
      </c>
      <c r="AD158">
        <f>HYPERLINK("https://klasma.github.io/Logging_2080/tillsynsmail/A 46963-2023 tillsynsbegäran mail.docx", "A 46963-2023")</f>
        <v/>
      </c>
      <c r="AE158">
        <f>HYPERLINK("https://klasma.github.io/Logging_2080/fåglar/A 46963-2023 prioriterade fågelarter.docx", "A 46963-2023")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46273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A 26721-2025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46273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14.5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Doftskinn</t>
        </is>
      </c>
      <c r="W160">
        <f>HYPERLINK("https://klasma.github.io/Logging_2080/artfynd/A 26721-2025 artfynd.xlsx", "A 26721-2025")</f>
        <v/>
      </c>
      <c r="X160">
        <f>HYPERLINK("https://klasma.github.io/Logging_2080/kartor/A 26721-2025 karta.png", "A 26721-2025")</f>
        <v/>
      </c>
      <c r="Y160">
        <f>HYPERLINK("https://klasma.github.io/Logging_2080/kartor_geotiff/A 26721-2025 georefererad karta.tif", "A 26721-2025")</f>
        <v/>
      </c>
      <c r="AA160">
        <f>HYPERLINK("https://klasma.github.io/Logging_2080/klagomål/A 26721-2025 FSC-klagomål.docx", "A 26721-2025")</f>
        <v/>
      </c>
      <c r="AB160">
        <f>HYPERLINK("https://klasma.github.io/Logging_2080/klagomålsmail/A 26721-2025 FSC-klagomål mail.docx", "A 26721-2025")</f>
        <v/>
      </c>
      <c r="AC160">
        <f>HYPERLINK("https://klasma.github.io/Logging_2080/tillsyn/A 26721-2025 tillsynsbegäran.docx", "A 26721-2025")</f>
        <v/>
      </c>
      <c r="AD160">
        <f>HYPERLINK("https://klasma.github.io/Logging_2080/tillsynsmail/A 26721-2025 tillsynsbegäran mail.docx", "A 26721-2025")</f>
        <v/>
      </c>
    </row>
    <row r="161" ht="15" customHeight="1">
      <c r="A161" t="inlineStr">
        <is>
          <t>A 26776-2025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46273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Skör kvastmossa</t>
        </is>
      </c>
      <c r="W161">
        <f>HYPERLINK("https://klasma.github.io/Logging_2080/artfynd/A 26776-2025 artfynd.xlsx", "A 26776-2025")</f>
        <v/>
      </c>
      <c r="X161">
        <f>HYPERLINK("https://klasma.github.io/Logging_2080/kartor/A 26776-2025 karta.png", "A 26776-2025")</f>
        <v/>
      </c>
      <c r="Y161">
        <f>HYPERLINK("https://klasma.github.io/Logging_2080/kartor_geotiff/A 26776-2025 georefererad karta.tif", "A 26776-2025")</f>
        <v/>
      </c>
      <c r="AA161">
        <f>HYPERLINK("https://klasma.github.io/Logging_2080/klagomål/A 26776-2025 FSC-klagomål.docx", "A 26776-2025")</f>
        <v/>
      </c>
      <c r="AB161">
        <f>HYPERLINK("https://klasma.github.io/Logging_2080/klagomålsmail/A 26776-2025 FSC-klagomål mail.docx", "A 26776-2025")</f>
        <v/>
      </c>
      <c r="AC161">
        <f>HYPERLINK("https://klasma.github.io/Logging_2080/tillsyn/A 26776-2025 tillsynsbegäran.docx", "A 26776-2025")</f>
        <v/>
      </c>
      <c r="AD161">
        <f>HYPERLINK("https://klasma.github.io/Logging_2080/tillsynsmail/A 26776-2025 tillsynsbegäran mail.docx", "A 26776-2025")</f>
        <v/>
      </c>
    </row>
    <row r="162" ht="15" customHeight="1">
      <c r="A162" t="inlineStr">
        <is>
          <t>A 28679-2025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46273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HYPERLINK("https://klasma.github.io/Logging_2080/artfynd/A 28679-2025 artfynd.xlsx", "A 28679-2025")</f>
        <v/>
      </c>
      <c r="X162">
        <f>HYPERLINK("https://klasma.github.io/Logging_2080/kartor/A 28679-2025 karta.png", "A 28679-2025")</f>
        <v/>
      </c>
      <c r="Y162">
        <f>HYPERLINK("https://klasma.github.io/Logging_2080/kartor_geotiff/A 28679-2025 georefererad karta.tif", "A 28679-2025")</f>
        <v/>
      </c>
      <c r="AA162">
        <f>HYPERLINK("https://klasma.github.io/Logging_2080/klagomål/A 28679-2025 FSC-klagomål.docx", "A 28679-2025")</f>
        <v/>
      </c>
      <c r="AB162">
        <f>HYPERLINK("https://klasma.github.io/Logging_2080/klagomålsmail/A 28679-2025 FSC-klagomål mail.docx", "A 28679-2025")</f>
        <v/>
      </c>
      <c r="AC162">
        <f>HYPERLINK("https://klasma.github.io/Logging_2080/tillsyn/A 28679-2025 tillsynsbegäran.docx", "A 28679-2025")</f>
        <v/>
      </c>
      <c r="AD162">
        <f>HYPERLINK("https://klasma.github.io/Logging_2080/tillsynsmail/A 28679-2025 tillsynsbegäran mail.docx", "A 28679-2025")</f>
        <v/>
      </c>
    </row>
    <row r="163" ht="15" customHeight="1">
      <c r="A163" t="inlineStr">
        <is>
          <t>A 36199-2025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45867</v>
      </c>
      <c r="E163" s="1" t="n">
        <v>46273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3.7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Rynkskinn</t>
        </is>
      </c>
      <c r="W163">
        <f>HYPERLINK("https://klasma.github.io/Logging_2080/artfynd/A 36199-2025 artfynd.xlsx", "A 36199-2025")</f>
        <v/>
      </c>
      <c r="X163">
        <f>HYPERLINK("https://klasma.github.io/Logging_2080/kartor/A 36199-2025 karta.png", "A 36199-2025")</f>
        <v/>
      </c>
      <c r="Y163">
        <f>HYPERLINK("https://klasma.github.io/Logging_2080/kartor_geotiff/A 36199-2025 georefererad karta.tif", "A 36199-2025")</f>
        <v/>
      </c>
      <c r="AA163">
        <f>HYPERLINK("https://klasma.github.io/Logging_2080/klagomål/A 36199-2025 FSC-klagomål.docx", "A 36199-2025")</f>
        <v/>
      </c>
      <c r="AB163">
        <f>HYPERLINK("https://klasma.github.io/Logging_2080/klagomålsmail/A 36199-2025 FSC-klagomål mail.docx", "A 36199-2025")</f>
        <v/>
      </c>
      <c r="AC163">
        <f>HYPERLINK("https://klasma.github.io/Logging_2080/tillsyn/A 36199-2025 tillsynsbegäran.docx", "A 36199-2025")</f>
        <v/>
      </c>
      <c r="AD163">
        <f>HYPERLINK("https://klasma.github.io/Logging_2080/tillsynsmail/A 36199-2025 tillsynsbegäran mail.docx", "A 36199-2025")</f>
        <v/>
      </c>
    </row>
    <row r="164" ht="15" customHeight="1">
      <c r="A164" t="inlineStr">
        <is>
          <t>A 61661-2024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46273</v>
      </c>
      <c r="F164" t="inlineStr">
        <is>
          <t>DALARNAS LÄN</t>
        </is>
      </c>
      <c r="G164" t="inlineStr">
        <is>
          <t>FALUN</t>
        </is>
      </c>
      <c r="I164" t="n">
        <v>9.300000000000001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HYPERLINK("https://klasma.github.io/Logging_2080/artfynd/A 61661-2024 artfynd.xlsx", "A 61661-2024")</f>
        <v/>
      </c>
      <c r="X164">
        <f>HYPERLINK("https://klasma.github.io/Logging_2080/kartor/A 61661-2024 karta.png", "A 61661-2024")</f>
        <v/>
      </c>
      <c r="Y164">
        <f>HYPERLINK("https://klasma.github.io/Logging_2080/kartor_geotiff/A 61661-2024 georefererad karta.tif", "A 61661-2024")</f>
        <v/>
      </c>
      <c r="AA164">
        <f>HYPERLINK("https://klasma.github.io/Logging_2080/klagomål/A 61661-2024 FSC-klagomål.docx", "A 61661-2024")</f>
        <v/>
      </c>
      <c r="AB164">
        <f>HYPERLINK("https://klasma.github.io/Logging_2080/klagomålsmail/A 61661-2024 FSC-klagomål mail.docx", "A 61661-2024")</f>
        <v/>
      </c>
      <c r="AC164">
        <f>HYPERLINK("https://klasma.github.io/Logging_2080/tillsyn/A 61661-2024 tillsynsbegäran.docx", "A 61661-2024")</f>
        <v/>
      </c>
      <c r="AD164">
        <f>HYPERLINK("https://klasma.github.io/Logging_2080/tillsynsmail/A 61661-2024 tillsynsbegäran mail.docx", "A 61661-2024")</f>
        <v/>
      </c>
    </row>
    <row r="165" ht="15" customHeight="1">
      <c r="A165" t="inlineStr">
        <is>
          <t>S 1023-2023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45008</v>
      </c>
      <c r="E165" s="1" t="n">
        <v>46273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282.5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HYPERLINK("https://klasma.github.io/Logging_2080/artfynd/S 1023-2023 artfynd.xlsx", "S 1023-2023")</f>
        <v/>
      </c>
      <c r="X165">
        <f>HYPERLINK("https://klasma.github.io/Logging_2080/kartor/S 1023-2023 karta.png", "S 1023-2023")</f>
        <v/>
      </c>
      <c r="Y165">
        <f>HYPERLINK("https://klasma.github.io/Logging_2080/kartor_geotiff/S 1023-2023 georefererad karta.tif", "S 1023-2023")</f>
        <v/>
      </c>
      <c r="AA165">
        <f>HYPERLINK("https://klasma.github.io/Logging_2080/klagomål/S 1023-2023 FSC-klagomål.docx", "S 1023-2023")</f>
        <v/>
      </c>
      <c r="AB165">
        <f>HYPERLINK("https://klasma.github.io/Logging_2080/klagomålsmail/S 1023-2023 FSC-klagomål mail.docx", "S 1023-2023")</f>
        <v/>
      </c>
      <c r="AC165">
        <f>HYPERLINK("https://klasma.github.io/Logging_2080/tillsyn/S 1023-2023 tillsynsbegäran.docx", "S 1023-2023")</f>
        <v/>
      </c>
      <c r="AD165">
        <f>HYPERLINK("https://klasma.github.io/Logging_2080/tillsynsmail/S 1023-2023 tillsynsbegäran mail.docx", "S 1023-2023")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46273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S 809-2026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46100</v>
      </c>
      <c r="E167" s="1" t="n">
        <v>46273</v>
      </c>
      <c r="F167" t="inlineStr">
        <is>
          <t>DALARNAS LÄN</t>
        </is>
      </c>
      <c r="G167" t="inlineStr">
        <is>
          <t>FALUN</t>
        </is>
      </c>
      <c r="H167" t="inlineStr">
        <is>
          <t>Allmännings- och besparingsskogar</t>
        </is>
      </c>
      <c r="I167" t="n">
        <v>13.1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5</v>
      </c>
      <c r="U167" t="n">
        <v>0</v>
      </c>
      <c r="V167" s="2" t="inlineStr">
        <is>
          <t>Garnlav</t>
        </is>
      </c>
      <c r="W167">
        <f>HYPERLINK("https://klasma.github.io/Logging_2080/artfynd/S 809-2026 artfynd.xlsx", "S 809-2026")</f>
        <v/>
      </c>
      <c r="X167">
        <f>HYPERLINK("https://klasma.github.io/Logging_2080/kartor/S 809-2026 karta.png", "S 809-2026")</f>
        <v/>
      </c>
      <c r="Y167">
        <f>HYPERLINK("https://klasma.github.io/Logging_2080/kartor_geotiff/S 809-2026 georefererad karta.tif", "S 809-2026")</f>
        <v/>
      </c>
      <c r="AA167">
        <f>HYPERLINK("https://klasma.github.io/Logging_2080/klagomål/S 809-2026 FSC-klagomål.docx", "S 809-2026")</f>
        <v/>
      </c>
      <c r="AB167">
        <f>HYPERLINK("https://klasma.github.io/Logging_2080/klagomålsmail/S 809-2026 FSC-klagomål mail.docx", "S 809-2026")</f>
        <v/>
      </c>
      <c r="AC167">
        <f>HYPERLINK("https://klasma.github.io/Logging_2080/tillsyn/S 809-2026 tillsynsbegäran.docx", "S 809-2026")</f>
        <v/>
      </c>
      <c r="AD167">
        <f>HYPERLINK("https://klasma.github.io/Logging_2080/tillsynsmail/S 809-2026 tillsynsbegäran mail.docx", "S 809-2026")</f>
        <v/>
      </c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46273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46273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46273</v>
      </c>
      <c r="F170" t="inlineStr">
        <is>
          <t>DALARNAS LÄN</t>
        </is>
      </c>
      <c r="G170" t="inlineStr">
        <is>
          <t>FALUN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46273</v>
      </c>
      <c r="F171" t="inlineStr">
        <is>
          <t>DALARNAS LÄN</t>
        </is>
      </c>
      <c r="G171" t="inlineStr">
        <is>
          <t>FALUN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46273</v>
      </c>
      <c r="F172" t="inlineStr">
        <is>
          <t>DALARNAS LÄN</t>
        </is>
      </c>
      <c r="G172" t="inlineStr">
        <is>
          <t>FALUN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46273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46273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53982-2021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46273</v>
      </c>
      <c r="F175" t="inlineStr">
        <is>
          <t>DALARNAS LÄN</t>
        </is>
      </c>
      <c r="G175" t="inlineStr">
        <is>
          <t>FALUN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46273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46273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46273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44826</v>
      </c>
      <c r="E179" s="1" t="n">
        <v>46273</v>
      </c>
      <c r="F179" t="inlineStr">
        <is>
          <t>DALARNAS LÄN</t>
        </is>
      </c>
      <c r="G179" t="inlineStr">
        <is>
          <t>FALUN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46273</v>
      </c>
      <c r="F180" t="inlineStr">
        <is>
          <t>DALARNAS LÄN</t>
        </is>
      </c>
      <c r="G180" t="inlineStr">
        <is>
          <t>FALUN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46273</v>
      </c>
      <c r="F181" t="inlineStr">
        <is>
          <t>DALARNAS LÄN</t>
        </is>
      </c>
      <c r="G181" t="inlineStr">
        <is>
          <t>FALUN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12049-2022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44636</v>
      </c>
      <c r="E182" s="1" t="n">
        <v>46273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46273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46273</v>
      </c>
      <c r="F184" t="inlineStr">
        <is>
          <t>DALARNAS LÄN</t>
        </is>
      </c>
      <c r="G184" t="inlineStr">
        <is>
          <t>FALUN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44827</v>
      </c>
      <c r="E185" s="1" t="n">
        <v>46273</v>
      </c>
      <c r="F185" t="inlineStr">
        <is>
          <t>DALARNAS LÄN</t>
        </is>
      </c>
      <c r="G185" t="inlineStr">
        <is>
          <t>FALUN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44571</v>
      </c>
      <c r="E186" s="1" t="n">
        <v>46273</v>
      </c>
      <c r="F186" t="inlineStr">
        <is>
          <t>DALARNAS LÄN</t>
        </is>
      </c>
      <c r="G186" t="inlineStr">
        <is>
          <t>FALUN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13531-2022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46273</v>
      </c>
      <c r="F187" t="inlineStr">
        <is>
          <t>DALARNAS LÄN</t>
        </is>
      </c>
      <c r="G187" t="inlineStr">
        <is>
          <t>FALUN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13569-2022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46273</v>
      </c>
      <c r="F188" t="inlineStr">
        <is>
          <t>DALARNAS LÄN</t>
        </is>
      </c>
      <c r="G188" t="inlineStr">
        <is>
          <t>FALUN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44466</v>
      </c>
      <c r="E189" s="1" t="n">
        <v>46273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46273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46273</v>
      </c>
      <c r="F191" t="inlineStr">
        <is>
          <t>DALARNAS LÄN</t>
        </is>
      </c>
      <c r="G191" t="inlineStr">
        <is>
          <t>FALUN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46273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46273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46273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46273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46273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46273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46273</v>
      </c>
      <c r="F198" t="inlineStr">
        <is>
          <t>DALARNAS LÄN</t>
        </is>
      </c>
      <c r="G198" t="inlineStr">
        <is>
          <t>FALUN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66006-2021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46273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73804-2021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46273</v>
      </c>
      <c r="F200" t="inlineStr">
        <is>
          <t>DALARNAS LÄN</t>
        </is>
      </c>
      <c r="G200" t="inlineStr">
        <is>
          <t>FALUN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46273</v>
      </c>
      <c r="F201" t="inlineStr">
        <is>
          <t>DALARNAS LÄN</t>
        </is>
      </c>
      <c r="G201" t="inlineStr">
        <is>
          <t>FALUN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46273</v>
      </c>
      <c r="F202" t="inlineStr">
        <is>
          <t>DALARNAS LÄN</t>
        </is>
      </c>
      <c r="G202" t="inlineStr">
        <is>
          <t>FALUN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13566-2022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46273</v>
      </c>
      <c r="F203" t="inlineStr">
        <is>
          <t>DALARNAS LÄN</t>
        </is>
      </c>
      <c r="G203" t="inlineStr">
        <is>
          <t>FALUN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46273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46273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46273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46273</v>
      </c>
      <c r="F207" t="inlineStr">
        <is>
          <t>DALARNAS LÄN</t>
        </is>
      </c>
      <c r="G207" t="inlineStr">
        <is>
          <t>FALUN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46273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46273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46273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46273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69780-2021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44532</v>
      </c>
      <c r="E212" s="1" t="n">
        <v>46273</v>
      </c>
      <c r="F212" t="inlineStr">
        <is>
          <t>DALARNAS LÄN</t>
        </is>
      </c>
      <c r="G212" t="inlineStr">
        <is>
          <t>FALUN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46273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46273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46273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46273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44819</v>
      </c>
      <c r="E217" s="1" t="n">
        <v>46273</v>
      </c>
      <c r="F217" t="inlineStr">
        <is>
          <t>DALARNAS LÄN</t>
        </is>
      </c>
      <c r="G217" t="inlineStr">
        <is>
          <t>FALUN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46273</v>
      </c>
      <c r="F218" t="inlineStr">
        <is>
          <t>DALARNAS LÄN</t>
        </is>
      </c>
      <c r="G218" t="inlineStr">
        <is>
          <t>FALUN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46273</v>
      </c>
      <c r="F219" t="inlineStr">
        <is>
          <t>DALARNAS LÄN</t>
        </is>
      </c>
      <c r="G219" t="inlineStr">
        <is>
          <t>FALUN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46273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43193-2024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45567</v>
      </c>
      <c r="E221" s="1" t="n">
        <v>46273</v>
      </c>
      <c r="F221" t="inlineStr">
        <is>
          <t>DALARNAS LÄN</t>
        </is>
      </c>
      <c r="G221" t="inlineStr">
        <is>
          <t>FALUN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33548-2022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44789</v>
      </c>
      <c r="E222" s="1" t="n">
        <v>46273</v>
      </c>
      <c r="F222" t="inlineStr">
        <is>
          <t>DALARNAS LÄN</t>
        </is>
      </c>
      <c r="G222" t="inlineStr">
        <is>
          <t>FALUN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44831</v>
      </c>
      <c r="E223" s="1" t="n">
        <v>46273</v>
      </c>
      <c r="F223" t="inlineStr">
        <is>
          <t>DALARNAS LÄN</t>
        </is>
      </c>
      <c r="G223" t="inlineStr">
        <is>
          <t>FALUN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46273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45389</v>
      </c>
      <c r="E225" s="1" t="n">
        <v>46273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46273</v>
      </c>
      <c r="F226" t="inlineStr">
        <is>
          <t>DALARNAS LÄN</t>
        </is>
      </c>
      <c r="G226" t="inlineStr">
        <is>
          <t>FALUN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46273</v>
      </c>
      <c r="F227" t="inlineStr">
        <is>
          <t>DALARNAS LÄN</t>
        </is>
      </c>
      <c r="G227" t="inlineStr">
        <is>
          <t>FALUN</t>
        </is>
      </c>
      <c r="I227" t="n">
        <v>23.3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45734</v>
      </c>
      <c r="E228" s="1" t="n">
        <v>46273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46273</v>
      </c>
      <c r="F229" t="inlineStr">
        <is>
          <t>DALARNAS LÄN</t>
        </is>
      </c>
      <c r="G229" t="inlineStr">
        <is>
          <t>FALUN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46273</v>
      </c>
      <c r="F230" t="inlineStr">
        <is>
          <t>DALARNAS LÄN</t>
        </is>
      </c>
      <c r="G230" t="inlineStr">
        <is>
          <t>FALUN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46273</v>
      </c>
      <c r="F231" t="inlineStr">
        <is>
          <t>DALARNAS LÄN</t>
        </is>
      </c>
      <c r="G231" t="inlineStr">
        <is>
          <t>FALUN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46273</v>
      </c>
      <c r="F232" t="inlineStr">
        <is>
          <t>DALARNAS LÄN</t>
        </is>
      </c>
      <c r="G232" t="inlineStr">
        <is>
          <t>FALUN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41664-2022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46273</v>
      </c>
      <c r="F233" t="inlineStr">
        <is>
          <t>DALARNAS LÄN</t>
        </is>
      </c>
      <c r="G233" t="inlineStr">
        <is>
          <t>FALUN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46273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46273</v>
      </c>
      <c r="F235" t="inlineStr">
        <is>
          <t>DALARNAS LÄN</t>
        </is>
      </c>
      <c r="G235" t="inlineStr">
        <is>
          <t>FALUN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46273</v>
      </c>
      <c r="F236" t="inlineStr">
        <is>
          <t>DALARNAS LÄN</t>
        </is>
      </c>
      <c r="G236" t="inlineStr">
        <is>
          <t>FALUN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21288-2024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45440</v>
      </c>
      <c r="E237" s="1" t="n">
        <v>46273</v>
      </c>
      <c r="F237" t="inlineStr">
        <is>
          <t>DALARNAS LÄN</t>
        </is>
      </c>
      <c r="G237" t="inlineStr">
        <is>
          <t>FALUN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45307</v>
      </c>
      <c r="E238" s="1" t="n">
        <v>46273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46273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46273</v>
      </c>
      <c r="F240" t="inlineStr">
        <is>
          <t>DALARNAS LÄN</t>
        </is>
      </c>
      <c r="G240" t="inlineStr">
        <is>
          <t>FALUN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44833</v>
      </c>
      <c r="E241" s="1" t="n">
        <v>46273</v>
      </c>
      <c r="F241" t="inlineStr">
        <is>
          <t>DALARNAS LÄN</t>
        </is>
      </c>
      <c r="G241" t="inlineStr">
        <is>
          <t>FALUN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46273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46273</v>
      </c>
      <c r="F243" t="inlineStr">
        <is>
          <t>DALARNAS LÄN</t>
        </is>
      </c>
      <c r="G243" t="inlineStr">
        <is>
          <t>FALUN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45323</v>
      </c>
      <c r="E244" s="1" t="n">
        <v>46273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46273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44889</v>
      </c>
      <c r="E246" s="1" t="n">
        <v>46273</v>
      </c>
      <c r="F246" t="inlineStr">
        <is>
          <t>DALARNAS LÄN</t>
        </is>
      </c>
      <c r="G246" t="inlineStr">
        <is>
          <t>FALUN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46273</v>
      </c>
      <c r="F247" t="inlineStr">
        <is>
          <t>DALARNAS LÄN</t>
        </is>
      </c>
      <c r="G247" t="inlineStr">
        <is>
          <t>FALUN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45531</v>
      </c>
      <c r="E248" s="1" t="n">
        <v>46273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44597-2023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45189</v>
      </c>
      <c r="E249" s="1" t="n">
        <v>46273</v>
      </c>
      <c r="F249" t="inlineStr">
        <is>
          <t>DALARNAS LÄN</t>
        </is>
      </c>
      <c r="G249" t="inlineStr">
        <is>
          <t>FALUN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46273</v>
      </c>
      <c r="F250" t="inlineStr">
        <is>
          <t>DALARNAS LÄN</t>
        </is>
      </c>
      <c r="G250" t="inlineStr">
        <is>
          <t>FALUN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45545</v>
      </c>
      <c r="E251" s="1" t="n">
        <v>46273</v>
      </c>
      <c r="F251" t="inlineStr">
        <is>
          <t>DALARNAS LÄN</t>
        </is>
      </c>
      <c r="G251" t="inlineStr">
        <is>
          <t>FALUN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44909</v>
      </c>
      <c r="E252" s="1" t="n">
        <v>46273</v>
      </c>
      <c r="F252" t="inlineStr">
        <is>
          <t>DALARNAS LÄN</t>
        </is>
      </c>
      <c r="G252" t="inlineStr">
        <is>
          <t>FALUN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11579-2024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45373</v>
      </c>
      <c r="E253" s="1" t="n">
        <v>46273</v>
      </c>
      <c r="F253" t="inlineStr">
        <is>
          <t>DALARNAS LÄN</t>
        </is>
      </c>
      <c r="G253" t="inlineStr">
        <is>
          <t>FALUN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45373</v>
      </c>
      <c r="E254" s="1" t="n">
        <v>46273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44637</v>
      </c>
      <c r="E255" s="1" t="n">
        <v>46273</v>
      </c>
      <c r="F255" t="inlineStr">
        <is>
          <t>DALARNAS LÄN</t>
        </is>
      </c>
      <c r="G255" t="inlineStr">
        <is>
          <t>FALUN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46273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44586</v>
      </c>
      <c r="E257" s="1" t="n">
        <v>46273</v>
      </c>
      <c r="F257" t="inlineStr">
        <is>
          <t>DALARNAS LÄN</t>
        </is>
      </c>
      <c r="G257" t="inlineStr">
        <is>
          <t>FALUN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45405</v>
      </c>
      <c r="E258" s="1" t="n">
        <v>46273</v>
      </c>
      <c r="F258" t="inlineStr">
        <is>
          <t>DALARNAS LÄN</t>
        </is>
      </c>
      <c r="G258" t="inlineStr">
        <is>
          <t>FALUN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44960</v>
      </c>
      <c r="E259" s="1" t="n">
        <v>46273</v>
      </c>
      <c r="F259" t="inlineStr">
        <is>
          <t>DALARNAS LÄN</t>
        </is>
      </c>
      <c r="G259" t="inlineStr">
        <is>
          <t>FALUN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45523</v>
      </c>
      <c r="E260" s="1" t="n">
        <v>46273</v>
      </c>
      <c r="F260" t="inlineStr">
        <is>
          <t>DALARNAS LÄN</t>
        </is>
      </c>
      <c r="G260" t="inlineStr">
        <is>
          <t>FALUN</t>
        </is>
      </c>
      <c r="H260" t="inlineStr">
        <is>
          <t>Allmännings- och besparingsskogar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46273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46273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46273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46273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46273</v>
      </c>
      <c r="F265" t="inlineStr">
        <is>
          <t>DALARNAS LÄN</t>
        </is>
      </c>
      <c r="G265" t="inlineStr">
        <is>
          <t>FALUN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46273</v>
      </c>
      <c r="F266" t="inlineStr">
        <is>
          <t>DALARNAS LÄN</t>
        </is>
      </c>
      <c r="G266" t="inlineStr">
        <is>
          <t>FALUN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44972</v>
      </c>
      <c r="E267" s="1" t="n">
        <v>46273</v>
      </c>
      <c r="F267" t="inlineStr">
        <is>
          <t>DALARNAS LÄN</t>
        </is>
      </c>
      <c r="G267" t="inlineStr">
        <is>
          <t>FALUN</t>
        </is>
      </c>
      <c r="I267" t="n">
        <v>26.1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45634</v>
      </c>
      <c r="E268" s="1" t="n">
        <v>46273</v>
      </c>
      <c r="F268" t="inlineStr">
        <is>
          <t>DALARNAS LÄN</t>
        </is>
      </c>
      <c r="G268" t="inlineStr">
        <is>
          <t>FALUN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22739-2022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44714</v>
      </c>
      <c r="E269" s="1" t="n">
        <v>46273</v>
      </c>
      <c r="F269" t="inlineStr">
        <is>
          <t>DALARNAS LÄN</t>
        </is>
      </c>
      <c r="G269" t="inlineStr">
        <is>
          <t>FALUN</t>
        </is>
      </c>
      <c r="H269" t="inlineStr">
        <is>
          <t>Kyrkan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46273</v>
      </c>
      <c r="F270" t="inlineStr">
        <is>
          <t>DALARNAS LÄN</t>
        </is>
      </c>
      <c r="G270" t="inlineStr">
        <is>
          <t>FALUN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46273</v>
      </c>
      <c r="F271" t="inlineStr">
        <is>
          <t>DALARNAS LÄN</t>
        </is>
      </c>
      <c r="G271" t="inlineStr">
        <is>
          <t>FALUN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44859</v>
      </c>
      <c r="E272" s="1" t="n">
        <v>46273</v>
      </c>
      <c r="F272" t="inlineStr">
        <is>
          <t>DALARNAS LÄN</t>
        </is>
      </c>
      <c r="G272" t="inlineStr">
        <is>
          <t>FALUN</t>
        </is>
      </c>
      <c r="I272" t="n">
        <v>11.6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44655</v>
      </c>
      <c r="E273" s="1" t="n">
        <v>46273</v>
      </c>
      <c r="F273" t="inlineStr">
        <is>
          <t>DALARNAS LÄN</t>
        </is>
      </c>
      <c r="G273" t="inlineStr">
        <is>
          <t>FALUN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46273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46273</v>
      </c>
      <c r="F275" t="inlineStr">
        <is>
          <t>DALARNAS LÄN</t>
        </is>
      </c>
      <c r="G275" t="inlineStr">
        <is>
          <t>FALUN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13583-2022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44648</v>
      </c>
      <c r="E276" s="1" t="n">
        <v>46273</v>
      </c>
      <c r="F276" t="inlineStr">
        <is>
          <t>DALARNAS LÄN</t>
        </is>
      </c>
      <c r="G276" t="inlineStr">
        <is>
          <t>FALUN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46273</v>
      </c>
      <c r="F277" t="inlineStr">
        <is>
          <t>DALARNAS LÄN</t>
        </is>
      </c>
      <c r="G277" t="inlineStr">
        <is>
          <t>FALUN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45072</v>
      </c>
      <c r="E278" s="1" t="n">
        <v>46273</v>
      </c>
      <c r="F278" t="inlineStr">
        <is>
          <t>DALARNAS LÄN</t>
        </is>
      </c>
      <c r="G278" t="inlineStr">
        <is>
          <t>FALUN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56136-2024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46273</v>
      </c>
      <c r="F279" t="inlineStr">
        <is>
          <t>DALARNAS LÄN</t>
        </is>
      </c>
      <c r="G279" t="inlineStr">
        <is>
          <t>FALUN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46273</v>
      </c>
      <c r="F280" t="inlineStr">
        <is>
          <t>DALARNAS LÄN</t>
        </is>
      </c>
      <c r="G280" t="inlineStr">
        <is>
          <t>FALUN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46273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46273</v>
      </c>
      <c r="F282" t="inlineStr">
        <is>
          <t>DALARNAS LÄN</t>
        </is>
      </c>
      <c r="G282" t="inlineStr">
        <is>
          <t>FALUN</t>
        </is>
      </c>
      <c r="H282" t="inlineStr">
        <is>
          <t>Övriga statliga verk och myndigheter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63312-2023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46273</v>
      </c>
      <c r="F283" t="inlineStr">
        <is>
          <t>DALARNAS LÄN</t>
        </is>
      </c>
      <c r="G283" t="inlineStr">
        <is>
          <t>FALUN</t>
        </is>
      </c>
      <c r="I283" t="n">
        <v>16.2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46273</v>
      </c>
      <c r="F284" t="inlineStr">
        <is>
          <t>DALARNAS LÄN</t>
        </is>
      </c>
      <c r="G284" t="inlineStr">
        <is>
          <t>FALUN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45624</v>
      </c>
      <c r="E285" s="1" t="n">
        <v>46273</v>
      </c>
      <c r="F285" t="inlineStr">
        <is>
          <t>DALARNAS LÄN</t>
        </is>
      </c>
      <c r="G285" t="inlineStr">
        <is>
          <t>FALUN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46273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46273</v>
      </c>
      <c r="F287" t="inlineStr">
        <is>
          <t>DALARNAS LÄN</t>
        </is>
      </c>
      <c r="G287" t="inlineStr">
        <is>
          <t>FALUN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45611</v>
      </c>
      <c r="E288" s="1" t="n">
        <v>46273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45611</v>
      </c>
      <c r="E289" s="1" t="n">
        <v>46273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46273</v>
      </c>
      <c r="F290" t="inlineStr">
        <is>
          <t>DALARNAS LÄN</t>
        </is>
      </c>
      <c r="G290" t="inlineStr">
        <is>
          <t>FALUN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46025</v>
      </c>
      <c r="E291" s="1" t="n">
        <v>46273</v>
      </c>
      <c r="F291" t="inlineStr">
        <is>
          <t>DALARNAS LÄN</t>
        </is>
      </c>
      <c r="G291" t="inlineStr">
        <is>
          <t>FALUN</t>
        </is>
      </c>
      <c r="I291" t="n">
        <v>13.4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46273</v>
      </c>
      <c r="F292" t="inlineStr">
        <is>
          <t>DALARNAS LÄN</t>
        </is>
      </c>
      <c r="G292" t="inlineStr">
        <is>
          <t>FALUN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45639</v>
      </c>
      <c r="E293" s="1" t="n">
        <v>46273</v>
      </c>
      <c r="F293" t="inlineStr">
        <is>
          <t>DALARNAS LÄN</t>
        </is>
      </c>
      <c r="G293" t="inlineStr">
        <is>
          <t>FALUN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46273</v>
      </c>
      <c r="F294" t="inlineStr">
        <is>
          <t>DALARNAS LÄN</t>
        </is>
      </c>
      <c r="G294" t="inlineStr">
        <is>
          <t>FALUN</t>
        </is>
      </c>
      <c r="H294" t="inlineStr">
        <is>
          <t>Allmännings- och besparingsskogar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46273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24.9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46273</v>
      </c>
      <c r="F296" t="inlineStr">
        <is>
          <t>DALARNAS LÄN</t>
        </is>
      </c>
      <c r="G296" t="inlineStr">
        <is>
          <t>FALUN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45792</v>
      </c>
      <c r="E297" s="1" t="n">
        <v>46273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46273</v>
      </c>
      <c r="F298" t="inlineStr">
        <is>
          <t>DALARNAS LÄN</t>
        </is>
      </c>
      <c r="G298" t="inlineStr">
        <is>
          <t>FALUN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46273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20197-2026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46273</v>
      </c>
      <c r="F300" t="inlineStr">
        <is>
          <t>DALARNAS LÄN</t>
        </is>
      </c>
      <c r="G300" t="inlineStr">
        <is>
          <t>FALUN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46273</v>
      </c>
      <c r="F301" t="inlineStr">
        <is>
          <t>DALARNAS LÄN</t>
        </is>
      </c>
      <c r="G301" t="inlineStr">
        <is>
          <t>FALUN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46273</v>
      </c>
      <c r="F302" t="inlineStr">
        <is>
          <t>DALARNAS LÄN</t>
        </is>
      </c>
      <c r="G302" t="inlineStr">
        <is>
          <t>FALUN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45457</v>
      </c>
      <c r="E303" s="1" t="n">
        <v>46273</v>
      </c>
      <c r="F303" t="inlineStr">
        <is>
          <t>DALARNAS LÄN</t>
        </is>
      </c>
      <c r="G303" t="inlineStr">
        <is>
          <t>FALUN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46273</v>
      </c>
      <c r="F304" t="inlineStr">
        <is>
          <t>DALARNAS LÄN</t>
        </is>
      </c>
      <c r="G304" t="inlineStr">
        <is>
          <t>FALUN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46273</v>
      </c>
      <c r="F305" t="inlineStr">
        <is>
          <t>DALARNAS LÄN</t>
        </is>
      </c>
      <c r="G305" t="inlineStr">
        <is>
          <t>FALUN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46273</v>
      </c>
      <c r="F306" t="inlineStr">
        <is>
          <t>DALARNAS LÄN</t>
        </is>
      </c>
      <c r="G306" t="inlineStr">
        <is>
          <t>FALUN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45634</v>
      </c>
      <c r="E307" s="1" t="n">
        <v>46273</v>
      </c>
      <c r="F307" t="inlineStr">
        <is>
          <t>DALARNAS LÄN</t>
        </is>
      </c>
      <c r="G307" t="inlineStr">
        <is>
          <t>FALUN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46273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45637</v>
      </c>
      <c r="E309" s="1" t="n">
        <v>46273</v>
      </c>
      <c r="F309" t="inlineStr">
        <is>
          <t>DALARNAS LÄN</t>
        </is>
      </c>
      <c r="G309" t="inlineStr">
        <is>
          <t>FALUN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46273</v>
      </c>
      <c r="F310" t="inlineStr">
        <is>
          <t>DALARNAS LÄN</t>
        </is>
      </c>
      <c r="G310" t="inlineStr">
        <is>
          <t>FALUN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64521-2023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45281</v>
      </c>
      <c r="E311" s="1" t="n">
        <v>46273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44889</v>
      </c>
      <c r="E312" s="1" t="n">
        <v>46273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46273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46139</v>
      </c>
      <c r="E314" s="1" t="n">
        <v>46273</v>
      </c>
      <c r="F314" t="inlineStr">
        <is>
          <t>DALARNAS LÄN</t>
        </is>
      </c>
      <c r="G314" t="inlineStr">
        <is>
          <t>FALUN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46273</v>
      </c>
      <c r="F315" t="inlineStr">
        <is>
          <t>DALARNAS LÄN</t>
        </is>
      </c>
      <c r="G315" t="inlineStr">
        <is>
          <t>FALUN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13103-2026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46273</v>
      </c>
      <c r="F316" t="inlineStr">
        <is>
          <t>DALARNAS LÄN</t>
        </is>
      </c>
      <c r="G316" t="inlineStr">
        <is>
          <t>FALUN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45329</v>
      </c>
      <c r="E317" s="1" t="n">
        <v>46273</v>
      </c>
      <c r="F317" t="inlineStr">
        <is>
          <t>DALARNAS LÄN</t>
        </is>
      </c>
      <c r="G317" t="inlineStr">
        <is>
          <t>FALUN</t>
        </is>
      </c>
      <c r="I317" t="n">
        <v>9.699999999999999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46273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46065</v>
      </c>
      <c r="E319" s="1" t="n">
        <v>46273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46064</v>
      </c>
      <c r="E320" s="1" t="n">
        <v>46273</v>
      </c>
      <c r="F320" t="inlineStr">
        <is>
          <t>DALARNAS LÄN</t>
        </is>
      </c>
      <c r="G320" t="inlineStr">
        <is>
          <t>FALUN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46273</v>
      </c>
      <c r="F321" t="inlineStr">
        <is>
          <t>DALARNAS LÄN</t>
        </is>
      </c>
      <c r="G321" t="inlineStr">
        <is>
          <t>FALUN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45659</v>
      </c>
      <c r="E322" s="1" t="n">
        <v>46273</v>
      </c>
      <c r="F322" t="inlineStr">
        <is>
          <t>DALARNAS LÄN</t>
        </is>
      </c>
      <c r="G322" t="inlineStr">
        <is>
          <t>FALUN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46273</v>
      </c>
      <c r="F323" t="inlineStr">
        <is>
          <t>DALARNAS LÄN</t>
        </is>
      </c>
      <c r="G323" t="inlineStr">
        <is>
          <t>FALUN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44715</v>
      </c>
      <c r="E324" s="1" t="n">
        <v>46273</v>
      </c>
      <c r="F324" t="inlineStr">
        <is>
          <t>DALARNAS LÄN</t>
        </is>
      </c>
      <c r="G324" t="inlineStr">
        <is>
          <t>FALUN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46273</v>
      </c>
      <c r="F325" t="inlineStr">
        <is>
          <t>DALARNAS LÄN</t>
        </is>
      </c>
      <c r="G325" t="inlineStr">
        <is>
          <t>FALUN</t>
        </is>
      </c>
      <c r="I325" t="n">
        <v>20.2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46273</v>
      </c>
      <c r="F326" t="inlineStr">
        <is>
          <t>DALARNAS LÄN</t>
        </is>
      </c>
      <c r="G326" t="inlineStr">
        <is>
          <t>FALUN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46273</v>
      </c>
      <c r="F327" t="inlineStr">
        <is>
          <t>DALARNAS LÄN</t>
        </is>
      </c>
      <c r="G327" t="inlineStr">
        <is>
          <t>FALUN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46273</v>
      </c>
      <c r="F328" t="inlineStr">
        <is>
          <t>DALARNAS LÄN</t>
        </is>
      </c>
      <c r="G328" t="inlineStr">
        <is>
          <t>FALUN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46273</v>
      </c>
      <c r="F329" t="inlineStr">
        <is>
          <t>DALARNAS LÄN</t>
        </is>
      </c>
      <c r="G329" t="inlineStr">
        <is>
          <t>FALUN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46273</v>
      </c>
      <c r="F330" t="inlineStr">
        <is>
          <t>DALARNAS LÄN</t>
        </is>
      </c>
      <c r="G330" t="inlineStr">
        <is>
          <t>FALUN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46139</v>
      </c>
      <c r="E331" s="1" t="n">
        <v>46273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46273</v>
      </c>
      <c r="F332" t="inlineStr">
        <is>
          <t>DALARNAS LÄN</t>
        </is>
      </c>
      <c r="G332" t="inlineStr">
        <is>
          <t>FALUN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46273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25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46273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46273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28.2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46273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46273</v>
      </c>
      <c r="F337" t="inlineStr">
        <is>
          <t>DALARNAS LÄN</t>
        </is>
      </c>
      <c r="G337" t="inlineStr">
        <is>
          <t>FALUN</t>
        </is>
      </c>
      <c r="I337" t="n">
        <v>11.8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46273</v>
      </c>
      <c r="F338" t="inlineStr">
        <is>
          <t>DALARNAS LÄN</t>
        </is>
      </c>
      <c r="G338" t="inlineStr">
        <is>
          <t>FALUN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43736-2024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45569</v>
      </c>
      <c r="E339" s="1" t="n">
        <v>46273</v>
      </c>
      <c r="F339" t="inlineStr">
        <is>
          <t>DALARNAS LÄN</t>
        </is>
      </c>
      <c r="G339" t="inlineStr">
        <is>
          <t>FALUN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46273</v>
      </c>
      <c r="F340" t="inlineStr">
        <is>
          <t>DALARNAS LÄN</t>
        </is>
      </c>
      <c r="G340" t="inlineStr">
        <is>
          <t>FALUN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46273</v>
      </c>
      <c r="F341" t="inlineStr">
        <is>
          <t>DALARNAS LÄN</t>
        </is>
      </c>
      <c r="G341" t="inlineStr">
        <is>
          <t>FALUN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46080</v>
      </c>
      <c r="E342" s="1" t="n">
        <v>46273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46273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46273</v>
      </c>
      <c r="F344" t="inlineStr">
        <is>
          <t>DALARNAS LÄN</t>
        </is>
      </c>
      <c r="G344" t="inlineStr">
        <is>
          <t>FALUN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46273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46273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17.2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45900</v>
      </c>
      <c r="E347" s="1" t="n">
        <v>46273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61377-2021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44500</v>
      </c>
      <c r="E348" s="1" t="n">
        <v>46273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46273</v>
      </c>
      <c r="F349" t="inlineStr">
        <is>
          <t>DALARNAS LÄN</t>
        </is>
      </c>
      <c r="G349" t="inlineStr">
        <is>
          <t>FALUN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46273</v>
      </c>
      <c r="F350" t="inlineStr">
        <is>
          <t>DALARNAS LÄN</t>
        </is>
      </c>
      <c r="G350" t="inlineStr">
        <is>
          <t>FALUN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45741</v>
      </c>
      <c r="E351" s="1" t="n">
        <v>46273</v>
      </c>
      <c r="F351" t="inlineStr">
        <is>
          <t>DALARNAS LÄN</t>
        </is>
      </c>
      <c r="G351" t="inlineStr">
        <is>
          <t>FALUN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46273</v>
      </c>
      <c r="F352" t="inlineStr">
        <is>
          <t>DALARNAS LÄN</t>
        </is>
      </c>
      <c r="G352" t="inlineStr">
        <is>
          <t>FALUN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46273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46273</v>
      </c>
      <c r="F354" t="inlineStr">
        <is>
          <t>DALARNAS LÄN</t>
        </is>
      </c>
      <c r="G354" t="inlineStr">
        <is>
          <t>FALUN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45607</v>
      </c>
      <c r="E355" s="1" t="n">
        <v>46273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7916-2023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44973</v>
      </c>
      <c r="E356" s="1" t="n">
        <v>46273</v>
      </c>
      <c r="F356" t="inlineStr">
        <is>
          <t>DALARNAS LÄN</t>
        </is>
      </c>
      <c r="G356" t="inlineStr">
        <is>
          <t>FALUN</t>
        </is>
      </c>
      <c r="I356" t="n">
        <v>22.8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45604</v>
      </c>
      <c r="E357" s="1" t="n">
        <v>46273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46273</v>
      </c>
      <c r="F358" t="inlineStr">
        <is>
          <t>DALARNAS LÄN</t>
        </is>
      </c>
      <c r="G358" t="inlineStr">
        <is>
          <t>FALUN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46273</v>
      </c>
      <c r="F359" t="inlineStr">
        <is>
          <t>DALARNAS LÄN</t>
        </is>
      </c>
      <c r="G359" t="inlineStr">
        <is>
          <t>FALUN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46273</v>
      </c>
      <c r="F360" t="inlineStr">
        <is>
          <t>DALARNAS LÄN</t>
        </is>
      </c>
      <c r="G360" t="inlineStr">
        <is>
          <t>FALUN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46273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46273</v>
      </c>
      <c r="F362" t="inlineStr">
        <is>
          <t>DALARNAS LÄN</t>
        </is>
      </c>
      <c r="G362" t="inlineStr">
        <is>
          <t>FALUN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46273</v>
      </c>
      <c r="F363" t="inlineStr">
        <is>
          <t>DALARNAS LÄN</t>
        </is>
      </c>
      <c r="G363" t="inlineStr">
        <is>
          <t>FALUN</t>
        </is>
      </c>
      <c r="H363" t="inlineStr">
        <is>
          <t>Allmännings- och besparingsskogar</t>
        </is>
      </c>
      <c r="I363" t="n">
        <v>22.5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45040-2025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46273</v>
      </c>
      <c r="F364" t="inlineStr">
        <is>
          <t>DALARNAS LÄN</t>
        </is>
      </c>
      <c r="G364" t="inlineStr">
        <is>
          <t>FALUN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46273</v>
      </c>
      <c r="F365" t="inlineStr">
        <is>
          <t>DALARNAS LÄN</t>
        </is>
      </c>
      <c r="G365" t="inlineStr">
        <is>
          <t>FALUN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46273</v>
      </c>
      <c r="F366" t="inlineStr">
        <is>
          <t>DALARNAS LÄN</t>
        </is>
      </c>
      <c r="G366" t="inlineStr">
        <is>
          <t>FALUN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46273</v>
      </c>
      <c r="F367" t="inlineStr">
        <is>
          <t>DALARNAS LÄN</t>
        </is>
      </c>
      <c r="G367" t="inlineStr">
        <is>
          <t>FALUN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46273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24.1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46273</v>
      </c>
      <c r="F369" t="inlineStr">
        <is>
          <t>DALARNAS LÄN</t>
        </is>
      </c>
      <c r="G369" t="inlineStr">
        <is>
          <t>FALUN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46273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40585-2025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45896</v>
      </c>
      <c r="E371" s="1" t="n">
        <v>46273</v>
      </c>
      <c r="F371" t="inlineStr">
        <is>
          <t>DALARNAS LÄN</t>
        </is>
      </c>
      <c r="G371" t="inlineStr">
        <is>
          <t>FALUN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45276</v>
      </c>
      <c r="E372" s="1" t="n">
        <v>46273</v>
      </c>
      <c r="F372" t="inlineStr">
        <is>
          <t>DALARNAS LÄN</t>
        </is>
      </c>
      <c r="G372" t="inlineStr">
        <is>
          <t>FALUN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46273</v>
      </c>
      <c r="F373" t="inlineStr">
        <is>
          <t>DALARNAS LÄN</t>
        </is>
      </c>
      <c r="G373" t="inlineStr">
        <is>
          <t>FALUN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46273</v>
      </c>
      <c r="F374" t="inlineStr">
        <is>
          <t>DALARNAS LÄN</t>
        </is>
      </c>
      <c r="G374" t="inlineStr">
        <is>
          <t>FALUN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43092-2025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46273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24.3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46273</v>
      </c>
      <c r="F376" t="inlineStr">
        <is>
          <t>DALARNAS LÄN</t>
        </is>
      </c>
      <c r="G376" t="inlineStr">
        <is>
          <t>FALUN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46273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45910</v>
      </c>
      <c r="E378" s="1" t="n">
        <v>46273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46273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19.4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46089</v>
      </c>
      <c r="E380" s="1" t="n">
        <v>46273</v>
      </c>
      <c r="F380" t="inlineStr">
        <is>
          <t>DALARNAS LÄN</t>
        </is>
      </c>
      <c r="G380" t="inlineStr">
        <is>
          <t>FALUN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45113</v>
      </c>
      <c r="E381" s="1" t="n">
        <v>46273</v>
      </c>
      <c r="F381" t="inlineStr">
        <is>
          <t>DALARNAS LÄN</t>
        </is>
      </c>
      <c r="G381" t="inlineStr">
        <is>
          <t>FALUN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46273</v>
      </c>
      <c r="F382" t="inlineStr">
        <is>
          <t>DALARNAS LÄN</t>
        </is>
      </c>
      <c r="G382" t="inlineStr">
        <is>
          <t>FALUN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43202-2025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45910</v>
      </c>
      <c r="E383" s="1" t="n">
        <v>46273</v>
      </c>
      <c r="F383" t="inlineStr">
        <is>
          <t>DALARNAS LÄN</t>
        </is>
      </c>
      <c r="G383" t="inlineStr">
        <is>
          <t>FALUN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46273</v>
      </c>
      <c r="F384" t="inlineStr">
        <is>
          <t>DALARNAS LÄN</t>
        </is>
      </c>
      <c r="G384" t="inlineStr">
        <is>
          <t>FALUN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46273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46273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47.3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46036</v>
      </c>
      <c r="E387" s="1" t="n">
        <v>46273</v>
      </c>
      <c r="F387" t="inlineStr">
        <is>
          <t>DALARNAS LÄN</t>
        </is>
      </c>
      <c r="G387" t="inlineStr">
        <is>
          <t>FALUN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46273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46073</v>
      </c>
      <c r="E389" s="1" t="n">
        <v>46273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46131</v>
      </c>
      <c r="E390" s="1" t="n">
        <v>46273</v>
      </c>
      <c r="F390" t="inlineStr">
        <is>
          <t>DALARNAS LÄN</t>
        </is>
      </c>
      <c r="G390" t="inlineStr">
        <is>
          <t>FALUN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45911</v>
      </c>
      <c r="E391" s="1" t="n">
        <v>46273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46024</v>
      </c>
      <c r="E392" s="1" t="n">
        <v>46273</v>
      </c>
      <c r="F392" t="inlineStr">
        <is>
          <t>DALARNAS LÄN</t>
        </is>
      </c>
      <c r="G392" t="inlineStr">
        <is>
          <t>FALUN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46273</v>
      </c>
      <c r="F393" t="inlineStr">
        <is>
          <t>DALARNAS LÄN</t>
        </is>
      </c>
      <c r="G393" t="inlineStr">
        <is>
          <t>FALUN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46273</v>
      </c>
      <c r="F394" t="inlineStr">
        <is>
          <t>DALARNAS LÄN</t>
        </is>
      </c>
      <c r="G394" t="inlineStr">
        <is>
          <t>FALUN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46273</v>
      </c>
      <c r="F395" t="inlineStr">
        <is>
          <t>DALARNAS LÄN</t>
        </is>
      </c>
      <c r="G395" t="inlineStr">
        <is>
          <t>FALUN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46273</v>
      </c>
      <c r="F396" t="inlineStr">
        <is>
          <t>DALARNAS LÄN</t>
        </is>
      </c>
      <c r="G396" t="inlineStr">
        <is>
          <t>FALUN</t>
        </is>
      </c>
      <c r="I396" t="n">
        <v>25.5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46273</v>
      </c>
      <c r="F397" t="inlineStr">
        <is>
          <t>DALARNAS LÄN</t>
        </is>
      </c>
      <c r="G397" t="inlineStr">
        <is>
          <t>FALUN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46273</v>
      </c>
      <c r="F398" t="inlineStr">
        <is>
          <t>DALARNAS LÄN</t>
        </is>
      </c>
      <c r="G398" t="inlineStr">
        <is>
          <t>FALUN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46273</v>
      </c>
      <c r="F399" t="inlineStr">
        <is>
          <t>DALARNAS LÄN</t>
        </is>
      </c>
      <c r="G399" t="inlineStr">
        <is>
          <t>FALUN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45914</v>
      </c>
      <c r="E400" s="1" t="n">
        <v>46273</v>
      </c>
      <c r="F400" t="inlineStr">
        <is>
          <t>DALARNAS LÄN</t>
        </is>
      </c>
      <c r="G400" t="inlineStr">
        <is>
          <t>FALUN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46087</v>
      </c>
      <c r="E401" s="1" t="n">
        <v>46273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46273</v>
      </c>
      <c r="F402" t="inlineStr">
        <is>
          <t>DALARNAS LÄN</t>
        </is>
      </c>
      <c r="G402" t="inlineStr">
        <is>
          <t>FALUN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46273</v>
      </c>
      <c r="F403" t="inlineStr">
        <is>
          <t>DALARNAS LÄN</t>
        </is>
      </c>
      <c r="G403" t="inlineStr">
        <is>
          <t>FALUN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46027</v>
      </c>
      <c r="E404" s="1" t="n">
        <v>46273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46027</v>
      </c>
      <c r="E405" s="1" t="n">
        <v>46273</v>
      </c>
      <c r="F405" t="inlineStr">
        <is>
          <t>DALARNAS LÄN</t>
        </is>
      </c>
      <c r="G405" t="inlineStr">
        <is>
          <t>FALUN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46273</v>
      </c>
      <c r="F406" t="inlineStr">
        <is>
          <t>DALARNAS LÄN</t>
        </is>
      </c>
      <c r="G406" t="inlineStr">
        <is>
          <t>FALUN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42952-2023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46273</v>
      </c>
      <c r="F407" t="inlineStr">
        <is>
          <t>DALARNAS LÄN</t>
        </is>
      </c>
      <c r="G407" t="inlineStr">
        <is>
          <t>FALUN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46273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7454-2026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46273</v>
      </c>
      <c r="F409" t="inlineStr">
        <is>
          <t>DALARNAS LÄN</t>
        </is>
      </c>
      <c r="G409" t="inlineStr">
        <is>
          <t>FALUN</t>
        </is>
      </c>
      <c r="H409" t="inlineStr">
        <is>
          <t>Allmännings- och besparingsskogar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46273</v>
      </c>
      <c r="F410" t="inlineStr">
        <is>
          <t>DALARNAS LÄN</t>
        </is>
      </c>
      <c r="G410" t="inlineStr">
        <is>
          <t>FALUN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14484-2024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45394</v>
      </c>
      <c r="E411" s="1" t="n">
        <v>46273</v>
      </c>
      <c r="F411" t="inlineStr">
        <is>
          <t>DALARNAS LÄN</t>
        </is>
      </c>
      <c r="G411" t="inlineStr">
        <is>
          <t>FALUN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46273</v>
      </c>
      <c r="F412" t="inlineStr">
        <is>
          <t>DALARNAS LÄN</t>
        </is>
      </c>
      <c r="G412" t="inlineStr">
        <is>
          <t>FALUN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46273</v>
      </c>
      <c r="F413" t="inlineStr">
        <is>
          <t>DALARNAS LÄN</t>
        </is>
      </c>
      <c r="G413" t="inlineStr">
        <is>
          <t>FALUN</t>
        </is>
      </c>
      <c r="I413" t="n">
        <v>15.7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46273</v>
      </c>
      <c r="F414" t="inlineStr">
        <is>
          <t>DALARNAS LÄN</t>
        </is>
      </c>
      <c r="G414" t="inlineStr">
        <is>
          <t>FALUN</t>
        </is>
      </c>
      <c r="I414" t="n">
        <v>45.9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64077-2025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46021</v>
      </c>
      <c r="E415" s="1" t="n">
        <v>46273</v>
      </c>
      <c r="F415" t="inlineStr">
        <is>
          <t>DALARNAS LÄN</t>
        </is>
      </c>
      <c r="G415" t="inlineStr">
        <is>
          <t>FALUN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44863-2025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45918</v>
      </c>
      <c r="E416" s="1" t="n">
        <v>46273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23.6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46273</v>
      </c>
      <c r="F417" t="inlineStr">
        <is>
          <t>DALARNAS LÄN</t>
        </is>
      </c>
      <c r="G417" t="inlineStr">
        <is>
          <t>FALUN</t>
        </is>
      </c>
      <c r="I417" t="n">
        <v>12.2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8590-2026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46273</v>
      </c>
      <c r="F418" t="inlineStr">
        <is>
          <t>DALARNAS LÄN</t>
        </is>
      </c>
      <c r="G418" t="inlineStr">
        <is>
          <t>FALUN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20765-2026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46141</v>
      </c>
      <c r="E419" s="1" t="n">
        <v>46273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46034</v>
      </c>
      <c r="E420" s="1" t="n">
        <v>46273</v>
      </c>
      <c r="F420" t="inlineStr">
        <is>
          <t>DALARNAS LÄN</t>
        </is>
      </c>
      <c r="G420" t="inlineStr">
        <is>
          <t>FALUN</t>
        </is>
      </c>
      <c r="I420" t="n">
        <v>11.6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46273</v>
      </c>
      <c r="F421" t="inlineStr">
        <is>
          <t>DALARNAS LÄN</t>
        </is>
      </c>
      <c r="G421" t="inlineStr">
        <is>
          <t>FALUN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46273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46273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18666-2026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46128</v>
      </c>
      <c r="E424" s="1" t="n">
        <v>46273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17313-2026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46273</v>
      </c>
      <c r="F425" t="inlineStr">
        <is>
          <t>DALARNAS LÄN</t>
        </is>
      </c>
      <c r="G425" t="inlineStr">
        <is>
          <t>FALUN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46091</v>
      </c>
      <c r="E426" s="1" t="n">
        <v>46273</v>
      </c>
      <c r="F426" t="inlineStr">
        <is>
          <t>DALARNAS LÄN</t>
        </is>
      </c>
      <c r="G426" t="inlineStr">
        <is>
          <t>FALUN</t>
        </is>
      </c>
      <c r="I426" t="n">
        <v>7.9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46273</v>
      </c>
      <c r="F427" t="inlineStr">
        <is>
          <t>DALARNAS LÄN</t>
        </is>
      </c>
      <c r="G427" t="inlineStr">
        <is>
          <t>FALUN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46273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46273</v>
      </c>
      <c r="F429" t="inlineStr">
        <is>
          <t>DALARNAS LÄN</t>
        </is>
      </c>
      <c r="G429" t="inlineStr">
        <is>
          <t>FALUN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10462-2026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46273</v>
      </c>
      <c r="F430" t="inlineStr">
        <is>
          <t>DALARNAS LÄN</t>
        </is>
      </c>
      <c r="G430" t="inlineStr">
        <is>
          <t>FALUN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46027</v>
      </c>
      <c r="E431" s="1" t="n">
        <v>46273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46041</v>
      </c>
      <c r="E432" s="1" t="n">
        <v>46273</v>
      </c>
      <c r="F432" t="inlineStr">
        <is>
          <t>DALARNAS LÄN</t>
        </is>
      </c>
      <c r="G432" t="inlineStr">
        <is>
          <t>FALUN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46273</v>
      </c>
      <c r="F433" t="inlineStr">
        <is>
          <t>DALARNAS LÄN</t>
        </is>
      </c>
      <c r="G433" t="inlineStr">
        <is>
          <t>FALUN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46273</v>
      </c>
      <c r="F434" t="inlineStr">
        <is>
          <t>DALARNAS LÄN</t>
        </is>
      </c>
      <c r="G434" t="inlineStr">
        <is>
          <t>FALUN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46273</v>
      </c>
      <c r="F435" t="inlineStr">
        <is>
          <t>DALARNAS LÄN</t>
        </is>
      </c>
      <c r="G435" t="inlineStr">
        <is>
          <t>FALUN</t>
        </is>
      </c>
      <c r="I435" t="n">
        <v>17.4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46273</v>
      </c>
      <c r="F436" t="inlineStr">
        <is>
          <t>DALARNAS LÄN</t>
        </is>
      </c>
      <c r="G436" t="inlineStr">
        <is>
          <t>FALUN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46036</v>
      </c>
      <c r="E437" s="1" t="n">
        <v>46273</v>
      </c>
      <c r="F437" t="inlineStr">
        <is>
          <t>DALARNAS LÄN</t>
        </is>
      </c>
      <c r="G437" t="inlineStr">
        <is>
          <t>FALUN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45028</v>
      </c>
      <c r="E438" s="1" t="n">
        <v>46273</v>
      </c>
      <c r="F438" t="inlineStr">
        <is>
          <t>DALARNAS LÄN</t>
        </is>
      </c>
      <c r="G438" t="inlineStr">
        <is>
          <t>FALUN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46273</v>
      </c>
      <c r="F439" t="inlineStr">
        <is>
          <t>DALARNAS LÄN</t>
        </is>
      </c>
      <c r="G439" t="inlineStr">
        <is>
          <t>FALUN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20960-2026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46273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20961-2026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46273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46139</v>
      </c>
      <c r="E442" s="1" t="n">
        <v>46273</v>
      </c>
      <c r="F442" t="inlineStr">
        <is>
          <t>DALARNAS LÄN</t>
        </is>
      </c>
      <c r="G442" t="inlineStr">
        <is>
          <t>FALUN</t>
        </is>
      </c>
      <c r="I442" t="n">
        <v>58.1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45549-2025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46273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18708-2026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46128</v>
      </c>
      <c r="E444" s="1" t="n">
        <v>46273</v>
      </c>
      <c r="F444" t="inlineStr">
        <is>
          <t>DALARNAS LÄN</t>
        </is>
      </c>
      <c r="G444" t="inlineStr">
        <is>
          <t>FALUN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46273</v>
      </c>
      <c r="F445" t="inlineStr">
        <is>
          <t>DALARNAS LÄN</t>
        </is>
      </c>
      <c r="G445" t="inlineStr">
        <is>
          <t>FALUN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15535-2023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45020</v>
      </c>
      <c r="E446" s="1" t="n">
        <v>46273</v>
      </c>
      <c r="F446" t="inlineStr">
        <is>
          <t>DALARNAS LÄN</t>
        </is>
      </c>
      <c r="G446" t="inlineStr">
        <is>
          <t>FALUN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46273</v>
      </c>
      <c r="F447" t="inlineStr">
        <is>
          <t>DALARNAS LÄN</t>
        </is>
      </c>
      <c r="G447" t="inlineStr">
        <is>
          <t>FALUN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46273</v>
      </c>
      <c r="F448" t="inlineStr">
        <is>
          <t>DALARNAS LÄN</t>
        </is>
      </c>
      <c r="G448" t="inlineStr">
        <is>
          <t>FALUN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45584-2025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45922</v>
      </c>
      <c r="E449" s="1" t="n">
        <v>46273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64103-2025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46021</v>
      </c>
      <c r="E450" s="1" t="n">
        <v>46273</v>
      </c>
      <c r="F450" t="inlineStr">
        <is>
          <t>DALARNAS LÄN</t>
        </is>
      </c>
      <c r="G450" t="inlineStr">
        <is>
          <t>FALUN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46273</v>
      </c>
      <c r="F451" t="inlineStr">
        <is>
          <t>DALARNAS LÄN</t>
        </is>
      </c>
      <c r="G451" t="inlineStr">
        <is>
          <t>FALUN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46273</v>
      </c>
      <c r="F452" t="inlineStr">
        <is>
          <t>DALARNAS LÄN</t>
        </is>
      </c>
      <c r="G452" t="inlineStr">
        <is>
          <t>FALUN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46273</v>
      </c>
      <c r="F453" t="inlineStr">
        <is>
          <t>DALARNAS LÄN</t>
        </is>
      </c>
      <c r="G453" t="inlineStr">
        <is>
          <t>FALUN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46273</v>
      </c>
      <c r="F454" t="inlineStr">
        <is>
          <t>DALARNAS LÄN</t>
        </is>
      </c>
      <c r="G454" t="inlineStr">
        <is>
          <t>FALUN</t>
        </is>
      </c>
      <c r="H454" t="inlineStr">
        <is>
          <t>Allmännings- och besparingsskogar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46273</v>
      </c>
      <c r="F455" t="inlineStr">
        <is>
          <t>DALARNAS LÄN</t>
        </is>
      </c>
      <c r="G455" t="inlineStr">
        <is>
          <t>FALUN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46273</v>
      </c>
      <c r="F456" t="inlineStr">
        <is>
          <t>DALARNAS LÄN</t>
        </is>
      </c>
      <c r="G456" t="inlineStr">
        <is>
          <t>FALUN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46273</v>
      </c>
      <c r="F457" t="inlineStr">
        <is>
          <t>DALARNAS LÄN</t>
        </is>
      </c>
      <c r="G457" t="inlineStr">
        <is>
          <t>FALUN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46273</v>
      </c>
      <c r="F458" t="inlineStr">
        <is>
          <t>DALARNAS LÄN</t>
        </is>
      </c>
      <c r="G458" t="inlineStr">
        <is>
          <t>FALUN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47328-2023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45202</v>
      </c>
      <c r="E459" s="1" t="n">
        <v>46273</v>
      </c>
      <c r="F459" t="inlineStr">
        <is>
          <t>DALARNAS LÄN</t>
        </is>
      </c>
      <c r="G459" t="inlineStr">
        <is>
          <t>FALUN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41439-2022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44826</v>
      </c>
      <c r="E460" s="1" t="n">
        <v>46273</v>
      </c>
      <c r="F460" t="inlineStr">
        <is>
          <t>DALARNAS LÄN</t>
        </is>
      </c>
      <c r="G460" t="inlineStr">
        <is>
          <t>FALUN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46273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46273</v>
      </c>
      <c r="F462" t="inlineStr">
        <is>
          <t>DALARNAS LÄN</t>
        </is>
      </c>
      <c r="G462" t="inlineStr">
        <is>
          <t>FALUN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46273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27.8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46273</v>
      </c>
      <c r="F464" t="inlineStr">
        <is>
          <t>DALARNAS LÄN</t>
        </is>
      </c>
      <c r="G464" t="inlineStr">
        <is>
          <t>FALUN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9131-2026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46273</v>
      </c>
      <c r="F465" t="inlineStr">
        <is>
          <t>DALARNAS LÄN</t>
        </is>
      </c>
      <c r="G465" t="inlineStr">
        <is>
          <t>FALUN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46273</v>
      </c>
      <c r="F466" t="inlineStr">
        <is>
          <t>DALARNAS LÄN</t>
        </is>
      </c>
      <c r="G466" t="inlineStr">
        <is>
          <t>FALUN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46273</v>
      </c>
      <c r="F467" t="inlineStr">
        <is>
          <t>DALARNAS LÄN</t>
        </is>
      </c>
      <c r="G467" t="inlineStr">
        <is>
          <t>FALUN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46273</v>
      </c>
      <c r="F468" t="inlineStr">
        <is>
          <t>DALARNAS LÄN</t>
        </is>
      </c>
      <c r="G468" t="inlineStr">
        <is>
          <t>FALUN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45348</v>
      </c>
      <c r="E469" s="1" t="n">
        <v>46273</v>
      </c>
      <c r="F469" t="inlineStr">
        <is>
          <t>DALARNAS LÄN</t>
        </is>
      </c>
      <c r="G469" t="inlineStr">
        <is>
          <t>FALUN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46273</v>
      </c>
      <c r="F470" t="inlineStr">
        <is>
          <t>DALARNAS LÄN</t>
        </is>
      </c>
      <c r="G470" t="inlineStr">
        <is>
          <t>FALUN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45888</v>
      </c>
      <c r="E471" s="1" t="n">
        <v>46273</v>
      </c>
      <c r="F471" t="inlineStr">
        <is>
          <t>DALARNAS LÄN</t>
        </is>
      </c>
      <c r="G471" t="inlineStr">
        <is>
          <t>FALUN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46273</v>
      </c>
      <c r="F472" t="inlineStr">
        <is>
          <t>DALARNAS LÄN</t>
        </is>
      </c>
      <c r="G472" t="inlineStr">
        <is>
          <t>FALUN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46273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57.6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46273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21124-2026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46146</v>
      </c>
      <c r="E475" s="1" t="n">
        <v>46273</v>
      </c>
      <c r="F475" t="inlineStr">
        <is>
          <t>DALARNAS LÄN</t>
        </is>
      </c>
      <c r="G475" t="inlineStr">
        <is>
          <t>FALUN</t>
        </is>
      </c>
      <c r="I475" t="n">
        <v>11.6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46273</v>
      </c>
      <c r="F476" t="inlineStr">
        <is>
          <t>DALARNAS LÄN</t>
        </is>
      </c>
      <c r="G476" t="inlineStr">
        <is>
          <t>FALUN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46273</v>
      </c>
      <c r="F477" t="inlineStr">
        <is>
          <t>DALARNAS LÄN</t>
        </is>
      </c>
      <c r="G477" t="inlineStr">
        <is>
          <t>FALUN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2756-2025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45677</v>
      </c>
      <c r="E478" s="1" t="n">
        <v>46273</v>
      </c>
      <c r="F478" t="inlineStr">
        <is>
          <t>DALARNAS LÄN</t>
        </is>
      </c>
      <c r="G478" t="inlineStr">
        <is>
          <t>FALUN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21155-2026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46146</v>
      </c>
      <c r="E479" s="1" t="n">
        <v>46273</v>
      </c>
      <c r="F479" t="inlineStr">
        <is>
          <t>DALARNAS LÄN</t>
        </is>
      </c>
      <c r="G479" t="inlineStr">
        <is>
          <t>FALUN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46273</v>
      </c>
      <c r="F480" t="inlineStr">
        <is>
          <t>DALARNAS LÄN</t>
        </is>
      </c>
      <c r="G480" t="inlineStr">
        <is>
          <t>FALUN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46023</v>
      </c>
      <c r="E481" s="1" t="n">
        <v>46273</v>
      </c>
      <c r="F481" t="inlineStr">
        <is>
          <t>DALARNAS LÄN</t>
        </is>
      </c>
      <c r="G481" t="inlineStr">
        <is>
          <t>FALUN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46273</v>
      </c>
      <c r="F482" t="inlineStr">
        <is>
          <t>DALARNAS LÄN</t>
        </is>
      </c>
      <c r="G482" t="inlineStr">
        <is>
          <t>FALUN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46273</v>
      </c>
      <c r="F483" t="inlineStr">
        <is>
          <t>DALARNAS LÄN</t>
        </is>
      </c>
      <c r="G483" t="inlineStr">
        <is>
          <t>FALUN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46273</v>
      </c>
      <c r="F484" t="inlineStr">
        <is>
          <t>DALARNAS LÄN</t>
        </is>
      </c>
      <c r="G484" t="inlineStr">
        <is>
          <t>FALUN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46122</v>
      </c>
      <c r="E485" s="1" t="n">
        <v>46273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19426-2025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45769</v>
      </c>
      <c r="E486" s="1" t="n">
        <v>46273</v>
      </c>
      <c r="F486" t="inlineStr">
        <is>
          <t>DALARNAS LÄN</t>
        </is>
      </c>
      <c r="G486" t="inlineStr">
        <is>
          <t>FALUN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45925</v>
      </c>
      <c r="E487" s="1" t="n">
        <v>46273</v>
      </c>
      <c r="F487" t="inlineStr">
        <is>
          <t>DALARNAS LÄN</t>
        </is>
      </c>
      <c r="G487" t="inlineStr">
        <is>
          <t>FALUN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46273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45930</v>
      </c>
      <c r="E489" s="1" t="n">
        <v>46273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46040</v>
      </c>
      <c r="E490" s="1" t="n">
        <v>46273</v>
      </c>
      <c r="F490" t="inlineStr">
        <is>
          <t>DALARNAS LÄN</t>
        </is>
      </c>
      <c r="G490" t="inlineStr">
        <is>
          <t>FALUN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46273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46273</v>
      </c>
      <c r="F492" t="inlineStr">
        <is>
          <t>DALARNAS LÄN</t>
        </is>
      </c>
      <c r="G492" t="inlineStr">
        <is>
          <t>FALUN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46273</v>
      </c>
      <c r="F493" t="inlineStr">
        <is>
          <t>DALARNAS LÄN</t>
        </is>
      </c>
      <c r="G493" t="inlineStr">
        <is>
          <t>FALUN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46273</v>
      </c>
      <c r="F494" t="inlineStr">
        <is>
          <t>DALARNAS LÄN</t>
        </is>
      </c>
      <c r="G494" t="inlineStr">
        <is>
          <t>FALUN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46273</v>
      </c>
      <c r="F495" t="inlineStr">
        <is>
          <t>DALARNAS LÄN</t>
        </is>
      </c>
      <c r="G495" t="inlineStr">
        <is>
          <t>FALUN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46273</v>
      </c>
      <c r="F496" t="inlineStr">
        <is>
          <t>DALARNAS LÄN</t>
        </is>
      </c>
      <c r="G496" t="inlineStr">
        <is>
          <t>FALUN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46273</v>
      </c>
      <c r="F497" t="inlineStr">
        <is>
          <t>DALARNAS LÄN</t>
        </is>
      </c>
      <c r="G497" t="inlineStr">
        <is>
          <t>FALUN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15318-2025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45747</v>
      </c>
      <c r="E498" s="1" t="n">
        <v>46273</v>
      </c>
      <c r="F498" t="inlineStr">
        <is>
          <t>DALARNAS LÄN</t>
        </is>
      </c>
      <c r="G498" t="inlineStr">
        <is>
          <t>FALUN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46148</v>
      </c>
      <c r="E499" s="1" t="n">
        <v>46273</v>
      </c>
      <c r="F499" t="inlineStr">
        <is>
          <t>DALARNAS LÄN</t>
        </is>
      </c>
      <c r="G499" t="inlineStr">
        <is>
          <t>FALUN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45930</v>
      </c>
      <c r="E500" s="1" t="n">
        <v>46273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21441-2026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46273</v>
      </c>
      <c r="F501" t="inlineStr">
        <is>
          <t>DALARNAS LÄN</t>
        </is>
      </c>
      <c r="G501" t="inlineStr">
        <is>
          <t>FALUN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46147</v>
      </c>
      <c r="E502" s="1" t="n">
        <v>46273</v>
      </c>
      <c r="F502" t="inlineStr">
        <is>
          <t>DALARNAS LÄN</t>
        </is>
      </c>
      <c r="G502" t="inlineStr">
        <is>
          <t>FALUN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46273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46273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46273</v>
      </c>
      <c r="F505" t="inlineStr">
        <is>
          <t>DALARNAS LÄN</t>
        </is>
      </c>
      <c r="G505" t="inlineStr">
        <is>
          <t>FALUN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46273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45932</v>
      </c>
      <c r="E507" s="1" t="n">
        <v>46273</v>
      </c>
      <c r="F507" t="inlineStr">
        <is>
          <t>DALARNAS LÄN</t>
        </is>
      </c>
      <c r="G507" t="inlineStr">
        <is>
          <t>FALUN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21306-2026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46147</v>
      </c>
      <c r="E508" s="1" t="n">
        <v>46273</v>
      </c>
      <c r="F508" t="inlineStr">
        <is>
          <t>DALARNAS LÄN</t>
        </is>
      </c>
      <c r="G508" t="inlineStr">
        <is>
          <t>FALUN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21829-2026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46273</v>
      </c>
      <c r="F509" t="inlineStr">
        <is>
          <t>DALARNAS LÄN</t>
        </is>
      </c>
      <c r="G509" t="inlineStr">
        <is>
          <t>FALUN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46150</v>
      </c>
      <c r="E510" s="1" t="n">
        <v>46273</v>
      </c>
      <c r="F510" t="inlineStr">
        <is>
          <t>DALARNAS LÄN</t>
        </is>
      </c>
      <c r="G510" t="inlineStr">
        <is>
          <t>FALUN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46150</v>
      </c>
      <c r="E511" s="1" t="n">
        <v>46273</v>
      </c>
      <c r="F511" t="inlineStr">
        <is>
          <t>DALARNAS LÄN</t>
        </is>
      </c>
      <c r="G511" t="inlineStr">
        <is>
          <t>FALUN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45173</v>
      </c>
      <c r="E512" s="1" t="n">
        <v>46273</v>
      </c>
      <c r="F512" t="inlineStr">
        <is>
          <t>DALARNAS LÄN</t>
        </is>
      </c>
      <c r="G512" t="inlineStr">
        <is>
          <t>FALUN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21795-2026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46150</v>
      </c>
      <c r="E513" s="1" t="n">
        <v>46273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45931</v>
      </c>
      <c r="E514" s="1" t="n">
        <v>46273</v>
      </c>
      <c r="F514" t="inlineStr">
        <is>
          <t>DALARNAS LÄN</t>
        </is>
      </c>
      <c r="G514" t="inlineStr">
        <is>
          <t>FALUN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46273</v>
      </c>
      <c r="F515" t="inlineStr">
        <is>
          <t>DALARNAS LÄN</t>
        </is>
      </c>
      <c r="G515" t="inlineStr">
        <is>
          <t>FALUN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46273</v>
      </c>
      <c r="F516" t="inlineStr">
        <is>
          <t>DALARNAS LÄN</t>
        </is>
      </c>
      <c r="G516" t="inlineStr">
        <is>
          <t>FALUN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46273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46273</v>
      </c>
      <c r="F518" t="inlineStr">
        <is>
          <t>DALARNAS LÄN</t>
        </is>
      </c>
      <c r="G518" t="inlineStr">
        <is>
          <t>FALUN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46273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7.7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46149</v>
      </c>
      <c r="E520" s="1" t="n">
        <v>46273</v>
      </c>
      <c r="F520" t="inlineStr">
        <is>
          <t>DALARNAS LÄN</t>
        </is>
      </c>
      <c r="G520" t="inlineStr">
        <is>
          <t>FALUN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46273</v>
      </c>
      <c r="F521" t="inlineStr">
        <is>
          <t>DALARNAS LÄN</t>
        </is>
      </c>
      <c r="G521" t="inlineStr">
        <is>
          <t>FALUN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21825-2026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46150</v>
      </c>
      <c r="E522" s="1" t="n">
        <v>46273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46150</v>
      </c>
      <c r="E523" s="1" t="n">
        <v>46273</v>
      </c>
      <c r="F523" t="inlineStr">
        <is>
          <t>DALARNAS LÄN</t>
        </is>
      </c>
      <c r="G523" t="inlineStr">
        <is>
          <t>FALUN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46150</v>
      </c>
      <c r="E524" s="1" t="n">
        <v>46273</v>
      </c>
      <c r="F524" t="inlineStr">
        <is>
          <t>DALARNAS LÄN</t>
        </is>
      </c>
      <c r="G524" t="inlineStr">
        <is>
          <t>FALUN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46273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46150</v>
      </c>
      <c r="E526" s="1" t="n">
        <v>46273</v>
      </c>
      <c r="F526" t="inlineStr">
        <is>
          <t>DALARNAS LÄN</t>
        </is>
      </c>
      <c r="G526" t="inlineStr">
        <is>
          <t>FALUN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46150</v>
      </c>
      <c r="E527" s="1" t="n">
        <v>46273</v>
      </c>
      <c r="F527" t="inlineStr">
        <is>
          <t>DALARNAS LÄN</t>
        </is>
      </c>
      <c r="G527" t="inlineStr">
        <is>
          <t>FALUN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36411-2025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45868</v>
      </c>
      <c r="E528" s="1" t="n">
        <v>46273</v>
      </c>
      <c r="F528" t="inlineStr">
        <is>
          <t>DALARNAS LÄN</t>
        </is>
      </c>
      <c r="G528" t="inlineStr">
        <is>
          <t>FALUN</t>
        </is>
      </c>
      <c r="I528" t="n">
        <v>10.7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21936-2026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46273</v>
      </c>
      <c r="F529" t="inlineStr">
        <is>
          <t>DALARNAS LÄN</t>
        </is>
      </c>
      <c r="G529" t="inlineStr">
        <is>
          <t>FALUN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46273</v>
      </c>
      <c r="F530" t="inlineStr">
        <is>
          <t>DALARNAS LÄN</t>
        </is>
      </c>
      <c r="G530" t="inlineStr">
        <is>
          <t>FALUN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16454-2026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46273</v>
      </c>
      <c r="F531" t="inlineStr">
        <is>
          <t>DALARNAS LÄN</t>
        </is>
      </c>
      <c r="G531" t="inlineStr">
        <is>
          <t>FALUN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46040</v>
      </c>
      <c r="E532" s="1" t="n">
        <v>46273</v>
      </c>
      <c r="F532" t="inlineStr">
        <is>
          <t>DALARNAS LÄN</t>
        </is>
      </c>
      <c r="G532" t="inlineStr">
        <is>
          <t>FALUN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16655-2026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46273</v>
      </c>
      <c r="F533" t="inlineStr">
        <is>
          <t>DALARNAS LÄN</t>
        </is>
      </c>
      <c r="G533" t="inlineStr">
        <is>
          <t>FALUN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46273</v>
      </c>
      <c r="F534" t="inlineStr">
        <is>
          <t>DALARNAS LÄN</t>
        </is>
      </c>
      <c r="G534" t="inlineStr">
        <is>
          <t>FALUN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46154</v>
      </c>
      <c r="E535" s="1" t="n">
        <v>46273</v>
      </c>
      <c r="F535" t="inlineStr">
        <is>
          <t>DALARNAS LÄN</t>
        </is>
      </c>
      <c r="G535" t="inlineStr">
        <is>
          <t>FALUN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46273</v>
      </c>
      <c r="F536" t="inlineStr">
        <is>
          <t>DALARNAS LÄN</t>
        </is>
      </c>
      <c r="G536" t="inlineStr">
        <is>
          <t>FALUN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46027</v>
      </c>
      <c r="E537" s="1" t="n">
        <v>46273</v>
      </c>
      <c r="F537" t="inlineStr">
        <is>
          <t>DALARNAS LÄN</t>
        </is>
      </c>
      <c r="G537" t="inlineStr">
        <is>
          <t>FALUN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46273</v>
      </c>
      <c r="F538" t="inlineStr">
        <is>
          <t>DALARNAS LÄN</t>
        </is>
      </c>
      <c r="G538" t="inlineStr">
        <is>
          <t>FALUN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46087</v>
      </c>
      <c r="E539" s="1" t="n">
        <v>46273</v>
      </c>
      <c r="F539" t="inlineStr">
        <is>
          <t>DALARNAS LÄN</t>
        </is>
      </c>
      <c r="G539" t="inlineStr">
        <is>
          <t>FALUN</t>
        </is>
      </c>
      <c r="I539" t="n">
        <v>23.9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46273</v>
      </c>
      <c r="F540" t="inlineStr">
        <is>
          <t>DALARNAS LÄN</t>
        </is>
      </c>
      <c r="G540" t="inlineStr">
        <is>
          <t>FALUN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8588-2026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46065</v>
      </c>
      <c r="E541" s="1" t="n">
        <v>46273</v>
      </c>
      <c r="F541" t="inlineStr">
        <is>
          <t>DALARNAS LÄN</t>
        </is>
      </c>
      <c r="G541" t="inlineStr">
        <is>
          <t>FALUN</t>
        </is>
      </c>
      <c r="H541" t="inlineStr">
        <is>
          <t>Allmännings- och besparingsskogar</t>
        </is>
      </c>
      <c r="I541" t="n">
        <v>17.4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46273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1135-2026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46273</v>
      </c>
      <c r="F543" t="inlineStr">
        <is>
          <t>DALARNAS LÄN</t>
        </is>
      </c>
      <c r="G543" t="inlineStr">
        <is>
          <t>FALUN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46031</v>
      </c>
      <c r="E544" s="1" t="n">
        <v>46273</v>
      </c>
      <c r="F544" t="inlineStr">
        <is>
          <t>DALARNAS LÄN</t>
        </is>
      </c>
      <c r="G544" t="inlineStr">
        <is>
          <t>FALUN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46036</v>
      </c>
      <c r="E545" s="1" t="n">
        <v>46273</v>
      </c>
      <c r="F545" t="inlineStr">
        <is>
          <t>DALARNAS LÄN</t>
        </is>
      </c>
      <c r="G545" t="inlineStr">
        <is>
          <t>FALUN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46273</v>
      </c>
      <c r="F546" t="inlineStr">
        <is>
          <t>DALARNAS LÄN</t>
        </is>
      </c>
      <c r="G546" t="inlineStr">
        <is>
          <t>FALUN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13812-2026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46098</v>
      </c>
      <c r="E547" s="1" t="n">
        <v>46273</v>
      </c>
      <c r="F547" t="inlineStr">
        <is>
          <t>DALARNAS LÄN</t>
        </is>
      </c>
      <c r="G547" t="inlineStr">
        <is>
          <t>FALUN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46273</v>
      </c>
      <c r="F548" t="inlineStr">
        <is>
          <t>DALARNAS LÄN</t>
        </is>
      </c>
      <c r="G548" t="inlineStr">
        <is>
          <t>FALUN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22174-2026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46273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46153</v>
      </c>
      <c r="E550" s="1" t="n">
        <v>46273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17888-2026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46273</v>
      </c>
      <c r="F551" t="inlineStr">
        <is>
          <t>DALARNAS LÄN</t>
        </is>
      </c>
      <c r="G551" t="inlineStr">
        <is>
          <t>FALUN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46153</v>
      </c>
      <c r="E552" s="1" t="n">
        <v>46273</v>
      </c>
      <c r="F552" t="inlineStr">
        <is>
          <t>DALARNAS LÄN</t>
        </is>
      </c>
      <c r="G552" t="inlineStr">
        <is>
          <t>FALUN</t>
        </is>
      </c>
      <c r="I552" t="n">
        <v>13.9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45523</v>
      </c>
      <c r="E553" s="1" t="n">
        <v>46273</v>
      </c>
      <c r="F553" t="inlineStr">
        <is>
          <t>DALARNAS LÄN</t>
        </is>
      </c>
      <c r="G553" t="inlineStr">
        <is>
          <t>FALUN</t>
        </is>
      </c>
      <c r="H553" t="inlineStr">
        <is>
          <t>Allmännings- och besparingsskogar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46273</v>
      </c>
      <c r="F554" t="inlineStr">
        <is>
          <t>DALARNAS LÄN</t>
        </is>
      </c>
      <c r="G554" t="inlineStr">
        <is>
          <t>FALUN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46273</v>
      </c>
      <c r="F555" t="inlineStr">
        <is>
          <t>DALARNAS LÄN</t>
        </is>
      </c>
      <c r="G555" t="inlineStr">
        <is>
          <t>FALUN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34009-2024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45523</v>
      </c>
      <c r="E556" s="1" t="n">
        <v>46273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46273</v>
      </c>
      <c r="F557" t="inlineStr">
        <is>
          <t>DALARNAS LÄN</t>
        </is>
      </c>
      <c r="G557" t="inlineStr">
        <is>
          <t>FALUN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22204-2026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46273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46273</v>
      </c>
      <c r="F559" t="inlineStr">
        <is>
          <t>DALARNAS LÄN</t>
        </is>
      </c>
      <c r="G559" t="inlineStr">
        <is>
          <t>FALUN</t>
        </is>
      </c>
      <c r="H559" t="inlineStr">
        <is>
          <t>Allmännings- och besparingsskogar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46273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46033</v>
      </c>
      <c r="E561" s="1" t="n">
        <v>46273</v>
      </c>
      <c r="F561" t="inlineStr">
        <is>
          <t>DALARNAS LÄN</t>
        </is>
      </c>
      <c r="G561" t="inlineStr">
        <is>
          <t>FALUN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46273</v>
      </c>
      <c r="F562" t="inlineStr">
        <is>
          <t>DALARNAS LÄN</t>
        </is>
      </c>
      <c r="G562" t="inlineStr">
        <is>
          <t>FALUN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46273</v>
      </c>
      <c r="F563" t="inlineStr">
        <is>
          <t>DALARNAS LÄN</t>
        </is>
      </c>
      <c r="G563" t="inlineStr">
        <is>
          <t>FALUN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46273</v>
      </c>
      <c r="F564" t="inlineStr">
        <is>
          <t>DALARNAS LÄN</t>
        </is>
      </c>
      <c r="G564" t="inlineStr">
        <is>
          <t>FALUN</t>
        </is>
      </c>
      <c r="I564" t="n">
        <v>23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46273</v>
      </c>
      <c r="F565" t="inlineStr">
        <is>
          <t>DALARNAS LÄN</t>
        </is>
      </c>
      <c r="G565" t="inlineStr">
        <is>
          <t>FALUN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46056</v>
      </c>
      <c r="E566" s="1" t="n">
        <v>46273</v>
      </c>
      <c r="F566" t="inlineStr">
        <is>
          <t>DALARNAS LÄN</t>
        </is>
      </c>
      <c r="G566" t="inlineStr">
        <is>
          <t>FALUN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46273</v>
      </c>
      <c r="F567" t="inlineStr">
        <is>
          <t>DALARNAS LÄN</t>
        </is>
      </c>
      <c r="G567" t="inlineStr">
        <is>
          <t>FALUN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46273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46273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46273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48866-2025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45937</v>
      </c>
      <c r="E571" s="1" t="n">
        <v>46273</v>
      </c>
      <c r="F571" t="inlineStr">
        <is>
          <t>DALARNAS LÄN</t>
        </is>
      </c>
      <c r="G571" t="inlineStr">
        <is>
          <t>FALUN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46100</v>
      </c>
      <c r="E572" s="1" t="n">
        <v>46273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14.5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46037</v>
      </c>
      <c r="E573" s="1" t="n">
        <v>46273</v>
      </c>
      <c r="F573" t="inlineStr">
        <is>
          <t>DALARNAS LÄN</t>
        </is>
      </c>
      <c r="G573" t="inlineStr">
        <is>
          <t>FALUN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46273</v>
      </c>
      <c r="F574" t="inlineStr">
        <is>
          <t>DALARNAS LÄN</t>
        </is>
      </c>
      <c r="G574" t="inlineStr">
        <is>
          <t>FALUN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49134-2025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45937</v>
      </c>
      <c r="E575" s="1" t="n">
        <v>46273</v>
      </c>
      <c r="F575" t="inlineStr">
        <is>
          <t>DALARNAS LÄN</t>
        </is>
      </c>
      <c r="G575" t="inlineStr">
        <is>
          <t>FALUN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45938</v>
      </c>
      <c r="E576" s="1" t="n">
        <v>46273</v>
      </c>
      <c r="F576" t="inlineStr">
        <is>
          <t>DALARNAS LÄN</t>
        </is>
      </c>
      <c r="G576" t="inlineStr">
        <is>
          <t>FALUN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15714-2026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46107</v>
      </c>
      <c r="E577" s="1" t="n">
        <v>46273</v>
      </c>
      <c r="F577" t="inlineStr">
        <is>
          <t>DALARNAS LÄN</t>
        </is>
      </c>
      <c r="G577" t="inlineStr">
        <is>
          <t>FALUN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9774-2026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46072</v>
      </c>
      <c r="E578" s="1" t="n">
        <v>46273</v>
      </c>
      <c r="F578" t="inlineStr">
        <is>
          <t>DALARNAS LÄN</t>
        </is>
      </c>
      <c r="G578" t="inlineStr">
        <is>
          <t>FALUN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49877-2025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45940</v>
      </c>
      <c r="E579" s="1" t="n">
        <v>46273</v>
      </c>
      <c r="F579" t="inlineStr">
        <is>
          <t>DALARNAS LÄN</t>
        </is>
      </c>
      <c r="G579" t="inlineStr">
        <is>
          <t>FALUN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49891-2025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45940</v>
      </c>
      <c r="E580" s="1" t="n">
        <v>46273</v>
      </c>
      <c r="F580" t="inlineStr">
        <is>
          <t>DALARNAS LÄN</t>
        </is>
      </c>
      <c r="G580" t="inlineStr">
        <is>
          <t>FALUN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46273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22069-2026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46273</v>
      </c>
      <c r="F582" t="inlineStr">
        <is>
          <t>DALARNAS LÄN</t>
        </is>
      </c>
      <c r="G582" t="inlineStr">
        <is>
          <t>FALUN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46273</v>
      </c>
      <c r="F583" t="inlineStr">
        <is>
          <t>DALARNAS LÄN</t>
        </is>
      </c>
      <c r="G583" t="inlineStr">
        <is>
          <t>FALUN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46154</v>
      </c>
      <c r="E584" s="1" t="n">
        <v>46273</v>
      </c>
      <c r="F584" t="inlineStr">
        <is>
          <t>DALARNAS LÄN</t>
        </is>
      </c>
      <c r="G584" t="inlineStr">
        <is>
          <t>FALUN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46273</v>
      </c>
      <c r="F585" t="inlineStr">
        <is>
          <t>DALARNAS LÄN</t>
        </is>
      </c>
      <c r="G585" t="inlineStr">
        <is>
          <t>FALUN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46032</v>
      </c>
      <c r="E586" s="1" t="n">
        <v>46273</v>
      </c>
      <c r="F586" t="inlineStr">
        <is>
          <t>DALARNAS LÄN</t>
        </is>
      </c>
      <c r="G586" t="inlineStr">
        <is>
          <t>FALUN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22295-2026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46154</v>
      </c>
      <c r="E587" s="1" t="n">
        <v>46273</v>
      </c>
      <c r="F587" t="inlineStr">
        <is>
          <t>DALARNAS LÄN</t>
        </is>
      </c>
      <c r="G587" t="inlineStr">
        <is>
          <t>FALUN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22322-2026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46154</v>
      </c>
      <c r="E588" s="1" t="n">
        <v>46273</v>
      </c>
      <c r="F588" t="inlineStr">
        <is>
          <t>DALARNAS LÄN</t>
        </is>
      </c>
      <c r="G588" t="inlineStr">
        <is>
          <t>FALUN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10268-2024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45365</v>
      </c>
      <c r="E589" s="1" t="n">
        <v>46273</v>
      </c>
      <c r="F589" t="inlineStr">
        <is>
          <t>DALARNAS LÄN</t>
        </is>
      </c>
      <c r="G589" t="inlineStr">
        <is>
          <t>FALUN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46273</v>
      </c>
      <c r="F590" t="inlineStr">
        <is>
          <t>DALARNAS LÄN</t>
        </is>
      </c>
      <c r="G590" t="inlineStr">
        <is>
          <t>FALUN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49905-2025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45940</v>
      </c>
      <c r="E591" s="1" t="n">
        <v>46273</v>
      </c>
      <c r="F591" t="inlineStr">
        <is>
          <t>DALARNAS LÄN</t>
        </is>
      </c>
      <c r="G591" t="inlineStr">
        <is>
          <t>FALUN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22694-2026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46156</v>
      </c>
      <c r="E592" s="1" t="n">
        <v>46273</v>
      </c>
      <c r="F592" t="inlineStr">
        <is>
          <t>DALARNAS LÄN</t>
        </is>
      </c>
      <c r="G592" t="inlineStr">
        <is>
          <t>FALUN</t>
        </is>
      </c>
      <c r="I592" t="n">
        <v>10.2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46273</v>
      </c>
      <c r="F593" t="inlineStr">
        <is>
          <t>DALARNAS LÄN</t>
        </is>
      </c>
      <c r="G593" t="inlineStr">
        <is>
          <t>FALUN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45134</v>
      </c>
      <c r="E594" s="1" t="n">
        <v>46273</v>
      </c>
      <c r="F594" t="inlineStr">
        <is>
          <t>DALARNAS LÄN</t>
        </is>
      </c>
      <c r="G594" t="inlineStr">
        <is>
          <t>FALUN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22430-2026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46154</v>
      </c>
      <c r="E595" s="1" t="n">
        <v>46273</v>
      </c>
      <c r="F595" t="inlineStr">
        <is>
          <t>DALARNAS LÄN</t>
        </is>
      </c>
      <c r="G595" t="inlineStr">
        <is>
          <t>FALUN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46273</v>
      </c>
      <c r="F596" t="inlineStr">
        <is>
          <t>DALARNAS LÄN</t>
        </is>
      </c>
      <c r="G596" t="inlineStr">
        <is>
          <t>FALUN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46273</v>
      </c>
      <c r="F597" t="inlineStr">
        <is>
          <t>DALARNAS LÄN</t>
        </is>
      </c>
      <c r="G597" t="inlineStr">
        <is>
          <t>FALUN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46156</v>
      </c>
      <c r="E598" s="1" t="n">
        <v>46273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46273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6.7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46273</v>
      </c>
      <c r="F600" t="inlineStr">
        <is>
          <t>DALARNAS LÄN</t>
        </is>
      </c>
      <c r="G600" t="inlineStr">
        <is>
          <t>FALUN</t>
        </is>
      </c>
      <c r="I600" t="n">
        <v>20.1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46273</v>
      </c>
      <c r="F601" t="inlineStr">
        <is>
          <t>DALARNAS LÄN</t>
        </is>
      </c>
      <c r="G601" t="inlineStr">
        <is>
          <t>FALUN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46273</v>
      </c>
      <c r="F602" t="inlineStr">
        <is>
          <t>DALARNAS LÄN</t>
        </is>
      </c>
      <c r="G602" t="inlineStr">
        <is>
          <t>FALUN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22617-2026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46273</v>
      </c>
      <c r="F603" t="inlineStr">
        <is>
          <t>DALARNAS LÄN</t>
        </is>
      </c>
      <c r="G603" t="inlineStr">
        <is>
          <t>FALUN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22622-2026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46273</v>
      </c>
      <c r="F604" t="inlineStr">
        <is>
          <t>DALARNAS LÄN</t>
        </is>
      </c>
      <c r="G604" t="inlineStr">
        <is>
          <t>FALUN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46273</v>
      </c>
      <c r="F605" t="inlineStr">
        <is>
          <t>DALARNAS LÄN</t>
        </is>
      </c>
      <c r="G605" t="inlineStr">
        <is>
          <t>FALUN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44582</v>
      </c>
      <c r="E606" s="1" t="n">
        <v>46273</v>
      </c>
      <c r="F606" t="inlineStr">
        <is>
          <t>DALARNAS LÄN</t>
        </is>
      </c>
      <c r="G606" t="inlineStr">
        <is>
          <t>FALUN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50300-2025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45944</v>
      </c>
      <c r="E607" s="1" t="n">
        <v>46273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50630-2025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45945</v>
      </c>
      <c r="E608" s="1" t="n">
        <v>46273</v>
      </c>
      <c r="F608" t="inlineStr">
        <is>
          <t>DALARNAS LÄN</t>
        </is>
      </c>
      <c r="G608" t="inlineStr">
        <is>
          <t>FALUN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22505-2026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46273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46273</v>
      </c>
      <c r="F610" t="inlineStr">
        <is>
          <t>DALARNAS LÄN</t>
        </is>
      </c>
      <c r="G610" t="inlineStr">
        <is>
          <t>FALUN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22696-2026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46156</v>
      </c>
      <c r="E611" s="1" t="n">
        <v>46273</v>
      </c>
      <c r="F611" t="inlineStr">
        <is>
          <t>DALARNAS LÄN</t>
        </is>
      </c>
      <c r="G611" t="inlineStr">
        <is>
          <t>FALUN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46273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22820-2026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46160</v>
      </c>
      <c r="E613" s="1" t="n">
        <v>46273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46273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46273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46273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22961-2026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46273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46273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22907-2026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46273</v>
      </c>
      <c r="F619" t="inlineStr">
        <is>
          <t>DALARNAS LÄN</t>
        </is>
      </c>
      <c r="G619" t="inlineStr">
        <is>
          <t>FALUN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22927-2026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46160</v>
      </c>
      <c r="E620" s="1" t="n">
        <v>46273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46273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22967-2026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46160</v>
      </c>
      <c r="E622" s="1" t="n">
        <v>46273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45950</v>
      </c>
      <c r="E623" s="1" t="n">
        <v>46273</v>
      </c>
      <c r="F623" t="inlineStr">
        <is>
          <t>DALARNAS LÄN</t>
        </is>
      </c>
      <c r="G623" t="inlineStr">
        <is>
          <t>FALUN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17507-2025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45757</v>
      </c>
      <c r="E624" s="1" t="n">
        <v>46273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23271-2026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46273</v>
      </c>
      <c r="F625" t="inlineStr">
        <is>
          <t>DALARNAS LÄN</t>
        </is>
      </c>
      <c r="G625" t="inlineStr">
        <is>
          <t>FALUN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55290-2022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44887</v>
      </c>
      <c r="E626" s="1" t="n">
        <v>46273</v>
      </c>
      <c r="F626" t="inlineStr">
        <is>
          <t>DALARNAS LÄN</t>
        </is>
      </c>
      <c r="G626" t="inlineStr">
        <is>
          <t>FALUN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46273</v>
      </c>
      <c r="F627" t="inlineStr">
        <is>
          <t>DALARNAS LÄN</t>
        </is>
      </c>
      <c r="G627" t="inlineStr">
        <is>
          <t>FALUN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23227-2026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46162</v>
      </c>
      <c r="E628" s="1" t="n">
        <v>46273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23210-2026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46162</v>
      </c>
      <c r="E629" s="1" t="n">
        <v>46273</v>
      </c>
      <c r="F629" t="inlineStr">
        <is>
          <t>DALARNAS LÄN</t>
        </is>
      </c>
      <c r="G629" t="inlineStr">
        <is>
          <t>FALUN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26598-2023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46273</v>
      </c>
      <c r="F630" t="inlineStr">
        <is>
          <t>DALARNAS LÄN</t>
        </is>
      </c>
      <c r="G630" t="inlineStr">
        <is>
          <t>FALUN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46273</v>
      </c>
      <c r="F631" t="inlineStr">
        <is>
          <t>DALARNAS LÄN</t>
        </is>
      </c>
      <c r="G631" t="inlineStr">
        <is>
          <t>FALUN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52752-2025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45957</v>
      </c>
      <c r="E632" s="1" t="n">
        <v>46273</v>
      </c>
      <c r="F632" t="inlineStr">
        <is>
          <t>DALARNAS LÄN</t>
        </is>
      </c>
      <c r="G632" t="inlineStr">
        <is>
          <t>FALUN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46273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8.1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46273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23159-2026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46273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46273</v>
      </c>
      <c r="F636" t="inlineStr">
        <is>
          <t>DALARNAS LÄN</t>
        </is>
      </c>
      <c r="G636" t="inlineStr">
        <is>
          <t>FALUN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45105</v>
      </c>
      <c r="E637" s="1" t="n">
        <v>46273</v>
      </c>
      <c r="F637" t="inlineStr">
        <is>
          <t>DALARNAS LÄN</t>
        </is>
      </c>
      <c r="G637" t="inlineStr">
        <is>
          <t>FALUN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46164</v>
      </c>
      <c r="E638" s="1" t="n">
        <v>46273</v>
      </c>
      <c r="F638" t="inlineStr">
        <is>
          <t>DALARNAS LÄN</t>
        </is>
      </c>
      <c r="G638" t="inlineStr">
        <is>
          <t>FALUN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46273</v>
      </c>
      <c r="F639" t="inlineStr">
        <is>
          <t>DALARNAS LÄN</t>
        </is>
      </c>
      <c r="G639" t="inlineStr">
        <is>
          <t>FALUN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23592-2026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46273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46273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52460-2025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45954</v>
      </c>
      <c r="E642" s="1" t="n">
        <v>46273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46273</v>
      </c>
      <c r="F643" t="inlineStr">
        <is>
          <t>DALARNAS LÄN</t>
        </is>
      </c>
      <c r="G643" t="inlineStr">
        <is>
          <t>FALUN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46273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15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53202-2025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45958</v>
      </c>
      <c r="E645" s="1" t="n">
        <v>46273</v>
      </c>
      <c r="F645" t="inlineStr">
        <is>
          <t>DALARNAS LÄN</t>
        </is>
      </c>
      <c r="G645" t="inlineStr">
        <is>
          <t>FALUN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46163</v>
      </c>
      <c r="E646" s="1" t="n">
        <v>46273</v>
      </c>
      <c r="F646" t="inlineStr">
        <is>
          <t>DALARNAS LÄN</t>
        </is>
      </c>
      <c r="G646" t="inlineStr">
        <is>
          <t>FALUN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23604-2026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46273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46164</v>
      </c>
      <c r="E648" s="1" t="n">
        <v>46273</v>
      </c>
      <c r="F648" t="inlineStr">
        <is>
          <t>DALARNAS LÄN</t>
        </is>
      </c>
      <c r="G648" t="inlineStr">
        <is>
          <t>FALUN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52836-2025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46273</v>
      </c>
      <c r="F649" t="inlineStr">
        <is>
          <t>DALARNAS LÄN</t>
        </is>
      </c>
      <c r="G649" t="inlineStr">
        <is>
          <t>FALUN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18050-2023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46273</v>
      </c>
      <c r="F650" t="inlineStr">
        <is>
          <t>DALARNAS LÄN</t>
        </is>
      </c>
      <c r="G650" t="inlineStr">
        <is>
          <t>FALUN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46164</v>
      </c>
      <c r="E651" s="1" t="n">
        <v>46273</v>
      </c>
      <c r="F651" t="inlineStr">
        <is>
          <t>DALARNAS LÄN</t>
        </is>
      </c>
      <c r="G651" t="inlineStr">
        <is>
          <t>FALUN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23694-2026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46164</v>
      </c>
      <c r="E652" s="1" t="n">
        <v>46273</v>
      </c>
      <c r="F652" t="inlineStr">
        <is>
          <t>DALARNAS LÄN</t>
        </is>
      </c>
      <c r="G652" t="inlineStr">
        <is>
          <t>FALUN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46273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58.4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52605-2025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45954</v>
      </c>
      <c r="E654" s="1" t="n">
        <v>46273</v>
      </c>
      <c r="F654" t="inlineStr">
        <is>
          <t>DALARNAS LÄN</t>
        </is>
      </c>
      <c r="G654" t="inlineStr">
        <is>
          <t>FALUN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52116-2022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44873</v>
      </c>
      <c r="E655" s="1" t="n">
        <v>46273</v>
      </c>
      <c r="F655" t="inlineStr">
        <is>
          <t>DALARNAS LÄN</t>
        </is>
      </c>
      <c r="G655" t="inlineStr">
        <is>
          <t>FALUN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46162</v>
      </c>
      <c r="E656" s="1" t="n">
        <v>46273</v>
      </c>
      <c r="F656" t="inlineStr">
        <is>
          <t>DALARNAS LÄN</t>
        </is>
      </c>
      <c r="G656" t="inlineStr">
        <is>
          <t>FALUN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52026-2023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45223</v>
      </c>
      <c r="E657" s="1" t="n">
        <v>46273</v>
      </c>
      <c r="F657" t="inlineStr">
        <is>
          <t>DALARNAS LÄN</t>
        </is>
      </c>
      <c r="G657" t="inlineStr">
        <is>
          <t>FALUN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17336-2025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45756</v>
      </c>
      <c r="E658" s="1" t="n">
        <v>46273</v>
      </c>
      <c r="F658" t="inlineStr">
        <is>
          <t>DALARNAS LÄN</t>
        </is>
      </c>
      <c r="G658" t="inlineStr">
        <is>
          <t>FALUN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46164</v>
      </c>
      <c r="E659" s="1" t="n">
        <v>46273</v>
      </c>
      <c r="F659" t="inlineStr">
        <is>
          <t>DALARNAS LÄN</t>
        </is>
      </c>
      <c r="G659" t="inlineStr">
        <is>
          <t>FALUN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46273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23611-2026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46163</v>
      </c>
      <c r="E661" s="1" t="n">
        <v>46273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46273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16.9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46273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41933-2024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45561</v>
      </c>
      <c r="E664" s="1" t="n">
        <v>46273</v>
      </c>
      <c r="F664" t="inlineStr">
        <is>
          <t>DALARNAS LÄN</t>
        </is>
      </c>
      <c r="G664" t="inlineStr">
        <is>
          <t>FALUN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46273</v>
      </c>
      <c r="F665" t="inlineStr">
        <is>
          <t>DALARNAS LÄN</t>
        </is>
      </c>
      <c r="G665" t="inlineStr">
        <is>
          <t>FALUN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25894-2025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45804</v>
      </c>
      <c r="E666" s="1" t="n">
        <v>46273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17.5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20006-2023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45054</v>
      </c>
      <c r="E667" s="1" t="n">
        <v>46273</v>
      </c>
      <c r="F667" t="inlineStr">
        <is>
          <t>DALARNAS LÄN</t>
        </is>
      </c>
      <c r="G667" t="inlineStr">
        <is>
          <t>FALUN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2745-2025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45677</v>
      </c>
      <c r="E668" s="1" t="n">
        <v>46273</v>
      </c>
      <c r="F668" t="inlineStr">
        <is>
          <t>DALARNAS LÄN</t>
        </is>
      </c>
      <c r="G668" t="inlineStr">
        <is>
          <t>FALUN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16491-2025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45751</v>
      </c>
      <c r="E669" s="1" t="n">
        <v>46273</v>
      </c>
      <c r="F669" t="inlineStr">
        <is>
          <t>DALARNAS LÄN</t>
        </is>
      </c>
      <c r="G669" t="inlineStr">
        <is>
          <t>FALUN</t>
        </is>
      </c>
      <c r="H669" t="inlineStr">
        <is>
          <t>Övriga statliga verk och myndigheter</t>
        </is>
      </c>
      <c r="I669" t="n">
        <v>6.5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53996-2025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45961</v>
      </c>
      <c r="E670" s="1" t="n">
        <v>46273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46167</v>
      </c>
      <c r="E671" s="1" t="n">
        <v>46273</v>
      </c>
      <c r="F671" t="inlineStr">
        <is>
          <t>DALARNAS LÄN</t>
        </is>
      </c>
      <c r="G671" t="inlineStr">
        <is>
          <t>FALUN</t>
        </is>
      </c>
      <c r="I671" t="n">
        <v>9.9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46273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9.5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46273</v>
      </c>
      <c r="F673" t="inlineStr">
        <is>
          <t>DALARNAS LÄN</t>
        </is>
      </c>
      <c r="G673" t="inlineStr">
        <is>
          <t>FALUN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53540-2022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44879</v>
      </c>
      <c r="E674" s="1" t="n">
        <v>46273</v>
      </c>
      <c r="F674" t="inlineStr">
        <is>
          <t>DALARNAS LÄN</t>
        </is>
      </c>
      <c r="G674" t="inlineStr">
        <is>
          <t>FALUN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44902</v>
      </c>
      <c r="E675" s="1" t="n">
        <v>46273</v>
      </c>
      <c r="F675" t="inlineStr">
        <is>
          <t>DALARNAS LÄN</t>
        </is>
      </c>
      <c r="G675" t="inlineStr">
        <is>
          <t>FALUN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41370-2025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45900</v>
      </c>
      <c r="E676" s="1" t="n">
        <v>46273</v>
      </c>
      <c r="F676" t="inlineStr">
        <is>
          <t>DALARNAS LÄN</t>
        </is>
      </c>
      <c r="G676" t="inlineStr">
        <is>
          <t>FALUN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45523</v>
      </c>
      <c r="E677" s="1" t="n">
        <v>46273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24186-2026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46273</v>
      </c>
      <c r="F678" t="inlineStr">
        <is>
          <t>DALARNAS LÄN</t>
        </is>
      </c>
      <c r="G678" t="inlineStr">
        <is>
          <t>FALUN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24192-2026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46273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46036</v>
      </c>
      <c r="E680" s="1" t="n">
        <v>46273</v>
      </c>
      <c r="F680" t="inlineStr">
        <is>
          <t>DALARNAS LÄN</t>
        </is>
      </c>
      <c r="G680" t="inlineStr">
        <is>
          <t>FALUN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46273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46167</v>
      </c>
      <c r="E682" s="1" t="n">
        <v>46273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54335-2025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45965</v>
      </c>
      <c r="E683" s="1" t="n">
        <v>46273</v>
      </c>
      <c r="F683" t="inlineStr">
        <is>
          <t>DALARNAS LÄN</t>
        </is>
      </c>
      <c r="G683" t="inlineStr">
        <is>
          <t>FALUN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47633-2022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44854</v>
      </c>
      <c r="E684" s="1" t="n">
        <v>46273</v>
      </c>
      <c r="F684" t="inlineStr">
        <is>
          <t>DALARNAS LÄN</t>
        </is>
      </c>
      <c r="G684" t="inlineStr">
        <is>
          <t>FALUN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24020-2026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46273</v>
      </c>
      <c r="F685" t="inlineStr">
        <is>
          <t>DALARNAS LÄN</t>
        </is>
      </c>
      <c r="G685" t="inlineStr">
        <is>
          <t>FALUN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24095-2026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46273</v>
      </c>
      <c r="F686" t="inlineStr">
        <is>
          <t>DALARNAS LÄN</t>
        </is>
      </c>
      <c r="G686" t="inlineStr">
        <is>
          <t>FALUN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45965</v>
      </c>
      <c r="E687" s="1" t="n">
        <v>46273</v>
      </c>
      <c r="F687" t="inlineStr">
        <is>
          <t>DALARNAS LÄN</t>
        </is>
      </c>
      <c r="G687" t="inlineStr">
        <is>
          <t>FALUN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10482-2026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46077</v>
      </c>
      <c r="E688" s="1" t="n">
        <v>46273</v>
      </c>
      <c r="F688" t="inlineStr">
        <is>
          <t>DALARNAS LÄN</t>
        </is>
      </c>
      <c r="G688" t="inlineStr">
        <is>
          <t>FALUN</t>
        </is>
      </c>
      <c r="H688" t="inlineStr">
        <is>
          <t>Kyrkan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24130-2026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46273</v>
      </c>
      <c r="F689" t="inlineStr">
        <is>
          <t>DALARNAS LÄN</t>
        </is>
      </c>
      <c r="G689" t="inlineStr">
        <is>
          <t>FALUN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24046-2026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46273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12781-2026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46091</v>
      </c>
      <c r="E691" s="1" t="n">
        <v>46273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46273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10.6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24025-2026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46273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46030</v>
      </c>
      <c r="E694" s="1" t="n">
        <v>46273</v>
      </c>
      <c r="F694" t="inlineStr">
        <is>
          <t>DALARNAS LÄN</t>
        </is>
      </c>
      <c r="G694" t="inlineStr">
        <is>
          <t>FALUN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46273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46273</v>
      </c>
      <c r="F696" t="inlineStr">
        <is>
          <t>DALARNAS LÄN</t>
        </is>
      </c>
      <c r="G696" t="inlineStr">
        <is>
          <t>FALUN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46169</v>
      </c>
      <c r="E697" s="1" t="n">
        <v>46273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51.1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46044</v>
      </c>
      <c r="E698" s="1" t="n">
        <v>46273</v>
      </c>
      <c r="F698" t="inlineStr">
        <is>
          <t>DALARNAS LÄN</t>
        </is>
      </c>
      <c r="G698" t="inlineStr">
        <is>
          <t>FALUN</t>
        </is>
      </c>
      <c r="H698" t="inlineStr">
        <is>
          <t>Kyrkan</t>
        </is>
      </c>
      <c r="I698" t="n">
        <v>21.5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46273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46273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17202-2023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45034</v>
      </c>
      <c r="E701" s="1" t="n">
        <v>46273</v>
      </c>
      <c r="F701" t="inlineStr">
        <is>
          <t>DALARNAS LÄN</t>
        </is>
      </c>
      <c r="G701" t="inlineStr">
        <is>
          <t>FALUN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55140-2025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45968</v>
      </c>
      <c r="E702" s="1" t="n">
        <v>46273</v>
      </c>
      <c r="F702" t="inlineStr">
        <is>
          <t>DALARNAS LÄN</t>
        </is>
      </c>
      <c r="G702" t="inlineStr">
        <is>
          <t>FALUN</t>
        </is>
      </c>
      <c r="I702" t="n">
        <v>14.8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55201-2025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45968</v>
      </c>
      <c r="E703" s="1" t="n">
        <v>46273</v>
      </c>
      <c r="F703" t="inlineStr">
        <is>
          <t>DALARNAS LÄN</t>
        </is>
      </c>
      <c r="G703" t="inlineStr">
        <is>
          <t>FALUN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55047-2025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45967</v>
      </c>
      <c r="E704" s="1" t="n">
        <v>46273</v>
      </c>
      <c r="F704" t="inlineStr">
        <is>
          <t>DALARNAS LÄN</t>
        </is>
      </c>
      <c r="G704" t="inlineStr">
        <is>
          <t>FALUN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46049</v>
      </c>
      <c r="E705" s="1" t="n">
        <v>46273</v>
      </c>
      <c r="F705" t="inlineStr">
        <is>
          <t>DALARNAS LÄN</t>
        </is>
      </c>
      <c r="G705" t="inlineStr">
        <is>
          <t>FALUN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24507-2026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46170</v>
      </c>
      <c r="E706" s="1" t="n">
        <v>46273</v>
      </c>
      <c r="F706" t="inlineStr">
        <is>
          <t>DALARNAS LÄN</t>
        </is>
      </c>
      <c r="G706" t="inlineStr">
        <is>
          <t>FALUN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55516-2025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45971</v>
      </c>
      <c r="E707" s="1" t="n">
        <v>46273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58343-2023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45250</v>
      </c>
      <c r="E708" s="1" t="n">
        <v>46273</v>
      </c>
      <c r="F708" t="inlineStr">
        <is>
          <t>DALARNAS LÄN</t>
        </is>
      </c>
      <c r="G708" t="inlineStr">
        <is>
          <t>FALUN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58388-2023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45250</v>
      </c>
      <c r="E709" s="1" t="n">
        <v>46273</v>
      </c>
      <c r="F709" t="inlineStr">
        <is>
          <t>DALARNAS LÄN</t>
        </is>
      </c>
      <c r="G709" t="inlineStr">
        <is>
          <t>FALUN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46273</v>
      </c>
      <c r="F710" t="inlineStr">
        <is>
          <t>DALARNAS LÄN</t>
        </is>
      </c>
      <c r="G710" t="inlineStr">
        <is>
          <t>FALUN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46273</v>
      </c>
      <c r="F711" t="inlineStr">
        <is>
          <t>DALARNAS LÄN</t>
        </is>
      </c>
      <c r="G711" t="inlineStr">
        <is>
          <t>FALUN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24779-2026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46171</v>
      </c>
      <c r="E712" s="1" t="n">
        <v>46273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24766-2026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46171</v>
      </c>
      <c r="E713" s="1" t="n">
        <v>46273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24789-2026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46171</v>
      </c>
      <c r="E714" s="1" t="n">
        <v>46273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46171</v>
      </c>
      <c r="E715" s="1" t="n">
        <v>46273</v>
      </c>
      <c r="F715" t="inlineStr">
        <is>
          <t>DALARNAS LÄN</t>
        </is>
      </c>
      <c r="G715" t="inlineStr">
        <is>
          <t>FALUN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46041</v>
      </c>
      <c r="E716" s="1" t="n">
        <v>46273</v>
      </c>
      <c r="F716" t="inlineStr">
        <is>
          <t>DALARNAS LÄN</t>
        </is>
      </c>
      <c r="G716" t="inlineStr">
        <is>
          <t>FALUN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46171</v>
      </c>
      <c r="E717" s="1" t="n">
        <v>46273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24662-2026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46171</v>
      </c>
      <c r="E718" s="1" t="n">
        <v>46273</v>
      </c>
      <c r="F718" t="inlineStr">
        <is>
          <t>DALARNAS LÄN</t>
        </is>
      </c>
      <c r="G718" t="inlineStr">
        <is>
          <t>FALUN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24671-2026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46171</v>
      </c>
      <c r="E719" s="1" t="n">
        <v>46273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24675-2026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46171</v>
      </c>
      <c r="E720" s="1" t="n">
        <v>46273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45363</v>
      </c>
      <c r="E721" s="1" t="n">
        <v>46273</v>
      </c>
      <c r="F721" t="inlineStr">
        <is>
          <t>DALARNAS LÄN</t>
        </is>
      </c>
      <c r="G721" t="inlineStr">
        <is>
          <t>FALUN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55989-2025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45973</v>
      </c>
      <c r="E722" s="1" t="n">
        <v>46273</v>
      </c>
      <c r="F722" t="inlineStr">
        <is>
          <t>DALARNAS LÄN</t>
        </is>
      </c>
      <c r="G722" t="inlineStr">
        <is>
          <t>FALUN</t>
        </is>
      </c>
      <c r="I722" t="n">
        <v>6.8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45113</v>
      </c>
      <c r="E723" s="1" t="n">
        <v>46273</v>
      </c>
      <c r="F723" t="inlineStr">
        <is>
          <t>DALARNAS LÄN</t>
        </is>
      </c>
      <c r="G723" t="inlineStr">
        <is>
          <t>FALUN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24978-2026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46273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56887-2025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45978</v>
      </c>
      <c r="E725" s="1" t="n">
        <v>46273</v>
      </c>
      <c r="F725" t="inlineStr">
        <is>
          <t>DALARNAS LÄN</t>
        </is>
      </c>
      <c r="G725" t="inlineStr">
        <is>
          <t>FALUN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56906-2025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45978</v>
      </c>
      <c r="E726" s="1" t="n">
        <v>46273</v>
      </c>
      <c r="F726" t="inlineStr">
        <is>
          <t>DALARNAS LÄN</t>
        </is>
      </c>
      <c r="G726" t="inlineStr">
        <is>
          <t>FALUN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56962-2025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45978</v>
      </c>
      <c r="E727" s="1" t="n">
        <v>46273</v>
      </c>
      <c r="F727" t="inlineStr">
        <is>
          <t>DALARNAS LÄN</t>
        </is>
      </c>
      <c r="G727" t="inlineStr">
        <is>
          <t>FALUN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52506-2021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44466</v>
      </c>
      <c r="E728" s="1" t="n">
        <v>46273</v>
      </c>
      <c r="F728" t="inlineStr">
        <is>
          <t>DALARNAS LÄN</t>
        </is>
      </c>
      <c r="G728" t="inlineStr">
        <is>
          <t>FALUN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25217-2026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46273</v>
      </c>
      <c r="F729" t="inlineStr">
        <is>
          <t>DALARNAS LÄN</t>
        </is>
      </c>
      <c r="G729" t="inlineStr">
        <is>
          <t>FALUN</t>
        </is>
      </c>
      <c r="I729" t="n">
        <v>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25032-2026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46174</v>
      </c>
      <c r="E730" s="1" t="n">
        <v>46273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63499-2023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45274</v>
      </c>
      <c r="E731" s="1" t="n">
        <v>46273</v>
      </c>
      <c r="F731" t="inlineStr">
        <is>
          <t>DALARNAS LÄN</t>
        </is>
      </c>
      <c r="G731" t="inlineStr">
        <is>
          <t>FALUN</t>
        </is>
      </c>
      <c r="I731" t="n">
        <v>8.5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65056-2023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45287</v>
      </c>
      <c r="E732" s="1" t="n">
        <v>46273</v>
      </c>
      <c r="F732" t="inlineStr">
        <is>
          <t>DALARNAS LÄN</t>
        </is>
      </c>
      <c r="G732" t="inlineStr">
        <is>
          <t>FALUN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56913-2025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45978</v>
      </c>
      <c r="E733" s="1" t="n">
        <v>46273</v>
      </c>
      <c r="F733" t="inlineStr">
        <is>
          <t>DALARNAS LÄN</t>
        </is>
      </c>
      <c r="G733" t="inlineStr">
        <is>
          <t>FALUN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47343-2024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45587</v>
      </c>
      <c r="E734" s="1" t="n">
        <v>46273</v>
      </c>
      <c r="F734" t="inlineStr">
        <is>
          <t>DALARNAS LÄN</t>
        </is>
      </c>
      <c r="G734" t="inlineStr">
        <is>
          <t>FALUN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56924-2025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45978</v>
      </c>
      <c r="E735" s="1" t="n">
        <v>46273</v>
      </c>
      <c r="F735" t="inlineStr">
        <is>
          <t>DALARNAS LÄN</t>
        </is>
      </c>
      <c r="G735" t="inlineStr">
        <is>
          <t>FALUN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56931-2025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45978</v>
      </c>
      <c r="E736" s="1" t="n">
        <v>46273</v>
      </c>
      <c r="F736" t="inlineStr">
        <is>
          <t>DALARNAS LÄN</t>
        </is>
      </c>
      <c r="G736" t="inlineStr">
        <is>
          <t>FALUN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45537</v>
      </c>
      <c r="E737" s="1" t="n">
        <v>46273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46174</v>
      </c>
      <c r="E738" s="1" t="n">
        <v>46273</v>
      </c>
      <c r="F738" t="inlineStr">
        <is>
          <t>DALARNAS LÄN</t>
        </is>
      </c>
      <c r="G738" t="inlineStr">
        <is>
          <t>FALUN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24934-2026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46174</v>
      </c>
      <c r="E739" s="1" t="n">
        <v>46273</v>
      </c>
      <c r="F739" t="inlineStr">
        <is>
          <t>DALARNAS LÄN</t>
        </is>
      </c>
      <c r="G739" t="inlineStr">
        <is>
          <t>FALUN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57544-2025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45980</v>
      </c>
      <c r="E740" s="1" t="n">
        <v>46273</v>
      </c>
      <c r="F740" t="inlineStr">
        <is>
          <t>DALARNAS LÄN</t>
        </is>
      </c>
      <c r="G740" t="inlineStr">
        <is>
          <t>FALUN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1306-2026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46031</v>
      </c>
      <c r="E741" s="1" t="n">
        <v>46273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57059-2025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45979</v>
      </c>
      <c r="E742" s="1" t="n">
        <v>46273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57305-2025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45979</v>
      </c>
      <c r="E743" s="1" t="n">
        <v>46273</v>
      </c>
      <c r="F743" t="inlineStr">
        <is>
          <t>DALARNAS LÄN</t>
        </is>
      </c>
      <c r="G743" t="inlineStr">
        <is>
          <t>FALUN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46273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40832-2024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45558</v>
      </c>
      <c r="E745" s="1" t="n">
        <v>46273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46177</v>
      </c>
      <c r="E746" s="1" t="n">
        <v>46273</v>
      </c>
      <c r="F746" t="inlineStr">
        <is>
          <t>DALARNAS LÄN</t>
        </is>
      </c>
      <c r="G746" t="inlineStr">
        <is>
          <t>FALUN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46273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6.4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57500-2025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45980</v>
      </c>
      <c r="E748" s="1" t="n">
        <v>46273</v>
      </c>
      <c r="F748" t="inlineStr">
        <is>
          <t>DALARNAS LÄN</t>
        </is>
      </c>
      <c r="G748" t="inlineStr">
        <is>
          <t>FALUN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25542-2026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46273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25601-2026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46273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25344-2026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46176</v>
      </c>
      <c r="E751" s="1" t="n">
        <v>46273</v>
      </c>
      <c r="F751" t="inlineStr">
        <is>
          <t>DALARNAS LÄN</t>
        </is>
      </c>
      <c r="G751" t="inlineStr">
        <is>
          <t>FALUN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24732-2023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45084</v>
      </c>
      <c r="E752" s="1" t="n">
        <v>46273</v>
      </c>
      <c r="F752" t="inlineStr">
        <is>
          <t>DALARNAS LÄN</t>
        </is>
      </c>
      <c r="G752" t="inlineStr">
        <is>
          <t>FALUN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45982</v>
      </c>
      <c r="E753" s="1" t="n">
        <v>46273</v>
      </c>
      <c r="F753" t="inlineStr">
        <is>
          <t>DALARNAS LÄN</t>
        </is>
      </c>
      <c r="G753" t="inlineStr">
        <is>
          <t>FALUN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41611-2024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45560</v>
      </c>
      <c r="E754" s="1" t="n">
        <v>46273</v>
      </c>
      <c r="F754" t="inlineStr">
        <is>
          <t>DALARNAS LÄN</t>
        </is>
      </c>
      <c r="G754" t="inlineStr">
        <is>
          <t>FALUN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25358-2026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46176</v>
      </c>
      <c r="E755" s="1" t="n">
        <v>46273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25307-2026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46176</v>
      </c>
      <c r="E756" s="1" t="n">
        <v>46273</v>
      </c>
      <c r="F756" t="inlineStr">
        <is>
          <t>DALARNAS LÄN</t>
        </is>
      </c>
      <c r="G756" t="inlineStr">
        <is>
          <t>FALUN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46055</v>
      </c>
      <c r="E757" s="1" t="n">
        <v>46273</v>
      </c>
      <c r="F757" t="inlineStr">
        <is>
          <t>DALARNAS LÄN</t>
        </is>
      </c>
      <c r="G757" t="inlineStr">
        <is>
          <t>FALUN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8579-2026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46065</v>
      </c>
      <c r="E758" s="1" t="n">
        <v>46273</v>
      </c>
      <c r="F758" t="inlineStr">
        <is>
          <t>DALARNAS LÄN</t>
        </is>
      </c>
      <c r="G758" t="inlineStr">
        <is>
          <t>FALUN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8586-2026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46065</v>
      </c>
      <c r="E759" s="1" t="n">
        <v>46273</v>
      </c>
      <c r="F759" t="inlineStr">
        <is>
          <t>DALARNAS LÄN</t>
        </is>
      </c>
      <c r="G759" t="inlineStr">
        <is>
          <t>FALUN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46273</v>
      </c>
      <c r="F760" t="inlineStr">
        <is>
          <t>DALARNAS LÄN</t>
        </is>
      </c>
      <c r="G760" t="inlineStr">
        <is>
          <t>FALUN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25799-2026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46273</v>
      </c>
      <c r="F761" t="inlineStr">
        <is>
          <t>DALARNAS LÄN</t>
        </is>
      </c>
      <c r="G761" t="inlineStr">
        <is>
          <t>FALUN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25811-2026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46273</v>
      </c>
      <c r="F762" t="inlineStr">
        <is>
          <t>DALARNAS LÄN</t>
        </is>
      </c>
      <c r="G762" t="inlineStr">
        <is>
          <t>FALUN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25673-2026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46178</v>
      </c>
      <c r="E763" s="1" t="n">
        <v>46273</v>
      </c>
      <c r="F763" t="inlineStr">
        <is>
          <t>DALARNAS LÄN</t>
        </is>
      </c>
      <c r="G763" t="inlineStr">
        <is>
          <t>FALUN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21416-2026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46148</v>
      </c>
      <c r="E764" s="1" t="n">
        <v>46273</v>
      </c>
      <c r="F764" t="inlineStr">
        <is>
          <t>DALARNAS LÄN</t>
        </is>
      </c>
      <c r="G764" t="inlineStr">
        <is>
          <t>FALUN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25705-2026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46273</v>
      </c>
      <c r="F765" t="inlineStr">
        <is>
          <t>DALARNAS LÄN</t>
        </is>
      </c>
      <c r="G765" t="inlineStr">
        <is>
          <t>FALUN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46273</v>
      </c>
      <c r="F766" t="inlineStr">
        <is>
          <t>DALARNAS LÄN</t>
        </is>
      </c>
      <c r="G766" t="inlineStr">
        <is>
          <t>FALUN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53703-2023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45224</v>
      </c>
      <c r="E767" s="1" t="n">
        <v>46273</v>
      </c>
      <c r="F767" t="inlineStr">
        <is>
          <t>DALARNAS LÄN</t>
        </is>
      </c>
      <c r="G767" t="inlineStr">
        <is>
          <t>FALUN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25668-2026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46273</v>
      </c>
      <c r="F768" t="inlineStr">
        <is>
          <t>DALARNAS LÄN</t>
        </is>
      </c>
      <c r="G768" t="inlineStr">
        <is>
          <t>FALUN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25810-2026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46273</v>
      </c>
      <c r="F769" t="inlineStr">
        <is>
          <t>DALARNAS LÄN</t>
        </is>
      </c>
      <c r="G769" t="inlineStr">
        <is>
          <t>FALUN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15278-2026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46105</v>
      </c>
      <c r="E770" s="1" t="n">
        <v>46273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34.4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41538-2024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45560</v>
      </c>
      <c r="E771" s="1" t="n">
        <v>46273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20873-2026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46142</v>
      </c>
      <c r="E772" s="1" t="n">
        <v>46273</v>
      </c>
      <c r="F772" t="inlineStr">
        <is>
          <t>DALARNAS LÄN</t>
        </is>
      </c>
      <c r="G772" t="inlineStr">
        <is>
          <t>FALUN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21653-2026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46149</v>
      </c>
      <c r="E773" s="1" t="n">
        <v>46273</v>
      </c>
      <c r="F773" t="inlineStr">
        <is>
          <t>DALARNAS LÄN</t>
        </is>
      </c>
      <c r="G773" t="inlineStr">
        <is>
          <t>FALUN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54609-2025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45966</v>
      </c>
      <c r="E774" s="1" t="n">
        <v>46273</v>
      </c>
      <c r="F774" t="inlineStr">
        <is>
          <t>DALARNAS LÄN</t>
        </is>
      </c>
      <c r="G774" t="inlineStr">
        <is>
          <t>FALUN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25757-2026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46178</v>
      </c>
      <c r="E775" s="1" t="n">
        <v>46273</v>
      </c>
      <c r="F775" t="inlineStr">
        <is>
          <t>DALARNAS LÄN</t>
        </is>
      </c>
      <c r="G775" t="inlineStr">
        <is>
          <t>FALUN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25893-2026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46178</v>
      </c>
      <c r="E776" s="1" t="n">
        <v>46273</v>
      </c>
      <c r="F776" t="inlineStr">
        <is>
          <t>DALARNAS LÄN</t>
        </is>
      </c>
      <c r="G776" t="inlineStr">
        <is>
          <t>FALUN</t>
        </is>
      </c>
      <c r="I776" t="n">
        <v>6.7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59200-2025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45988</v>
      </c>
      <c r="E777" s="1" t="n">
        <v>46273</v>
      </c>
      <c r="F777" t="inlineStr">
        <is>
          <t>DALARNAS LÄN</t>
        </is>
      </c>
      <c r="G777" t="inlineStr">
        <is>
          <t>FALUN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8584-2026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46065</v>
      </c>
      <c r="E778" s="1" t="n">
        <v>46273</v>
      </c>
      <c r="F778" t="inlineStr">
        <is>
          <t>DALARNAS LÄN</t>
        </is>
      </c>
      <c r="G778" t="inlineStr">
        <is>
          <t>FALUN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21289-2026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46147</v>
      </c>
      <c r="E779" s="1" t="n">
        <v>46273</v>
      </c>
      <c r="F779" t="inlineStr">
        <is>
          <t>DALARNAS LÄN</t>
        </is>
      </c>
      <c r="G779" t="inlineStr">
        <is>
          <t>FALUN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59190-2025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45988</v>
      </c>
      <c r="E780" s="1" t="n">
        <v>46273</v>
      </c>
      <c r="F780" t="inlineStr">
        <is>
          <t>DALARNAS LÄN</t>
        </is>
      </c>
      <c r="G780" t="inlineStr">
        <is>
          <t>FALUN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59223-2025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45988</v>
      </c>
      <c r="E781" s="1" t="n">
        <v>46273</v>
      </c>
      <c r="F781" t="inlineStr">
        <is>
          <t>DALARNAS LÄN</t>
        </is>
      </c>
      <c r="G781" t="inlineStr">
        <is>
          <t>FALUN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26120-2026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46181</v>
      </c>
      <c r="E782" s="1" t="n">
        <v>46273</v>
      </c>
      <c r="F782" t="inlineStr">
        <is>
          <t>DALARNAS LÄN</t>
        </is>
      </c>
      <c r="G782" t="inlineStr">
        <is>
          <t>FALUN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46273</v>
      </c>
      <c r="F783" t="inlineStr">
        <is>
          <t>DALARNAS LÄN</t>
        </is>
      </c>
      <c r="G783" t="inlineStr">
        <is>
          <t>FALUN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25739-2026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46273</v>
      </c>
      <c r="F784" t="inlineStr">
        <is>
          <t>DALARNAS LÄN</t>
        </is>
      </c>
      <c r="G784" t="inlineStr">
        <is>
          <t>FALUN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46273</v>
      </c>
      <c r="F785" t="inlineStr">
        <is>
          <t>DALARNAS LÄN</t>
        </is>
      </c>
      <c r="G785" t="inlineStr">
        <is>
          <t>FALUN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6302-2026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46055</v>
      </c>
      <c r="E786" s="1" t="n">
        <v>46273</v>
      </c>
      <c r="F786" t="inlineStr">
        <is>
          <t>DALARNAS LÄN</t>
        </is>
      </c>
      <c r="G786" t="inlineStr">
        <is>
          <t>FALUN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8578-2026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46065</v>
      </c>
      <c r="E787" s="1" t="n">
        <v>46273</v>
      </c>
      <c r="F787" t="inlineStr">
        <is>
          <t>DALARNAS LÄN</t>
        </is>
      </c>
      <c r="G787" t="inlineStr">
        <is>
          <t>FALUN</t>
        </is>
      </c>
      <c r="I787" t="n">
        <v>6.4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8585-2026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46065</v>
      </c>
      <c r="E788" s="1" t="n">
        <v>46273</v>
      </c>
      <c r="F788" t="inlineStr">
        <is>
          <t>DALARNAS LÄN</t>
        </is>
      </c>
      <c r="G788" t="inlineStr">
        <is>
          <t>FALUN</t>
        </is>
      </c>
      <c r="I788" t="n">
        <v>6.9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17751-2026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46122</v>
      </c>
      <c r="E789" s="1" t="n">
        <v>46273</v>
      </c>
      <c r="F789" t="inlineStr">
        <is>
          <t>DALARNAS LÄN</t>
        </is>
      </c>
      <c r="G789" t="inlineStr">
        <is>
          <t>FALUN</t>
        </is>
      </c>
      <c r="I789" t="n">
        <v>7.5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46178</v>
      </c>
      <c r="E790" s="1" t="n">
        <v>46273</v>
      </c>
      <c r="F790" t="inlineStr">
        <is>
          <t>DALARNAS LÄN</t>
        </is>
      </c>
      <c r="G790" t="inlineStr">
        <is>
          <t>FALUN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58914-2025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45987</v>
      </c>
      <c r="E791" s="1" t="n">
        <v>46273</v>
      </c>
      <c r="F791" t="inlineStr">
        <is>
          <t>DALARNAS LÄN</t>
        </is>
      </c>
      <c r="G791" t="inlineStr">
        <is>
          <t>FALUN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25967-2026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46181</v>
      </c>
      <c r="E792" s="1" t="n">
        <v>46273</v>
      </c>
      <c r="F792" t="inlineStr">
        <is>
          <t>DALARNAS LÄN</t>
        </is>
      </c>
      <c r="G792" t="inlineStr">
        <is>
          <t>FALUN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59229-2025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45988</v>
      </c>
      <c r="E793" s="1" t="n">
        <v>46273</v>
      </c>
      <c r="F793" t="inlineStr">
        <is>
          <t>DALARNAS LÄN</t>
        </is>
      </c>
      <c r="G793" t="inlineStr">
        <is>
          <t>FALUN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36398-2024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45535</v>
      </c>
      <c r="E794" s="1" t="n">
        <v>46273</v>
      </c>
      <c r="F794" t="inlineStr">
        <is>
          <t>DALARNAS LÄN</t>
        </is>
      </c>
      <c r="G794" t="inlineStr">
        <is>
          <t>FALUN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25667-2026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46178</v>
      </c>
      <c r="E795" s="1" t="n">
        <v>46273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59483-2025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45989</v>
      </c>
      <c r="E796" s="1" t="n">
        <v>46273</v>
      </c>
      <c r="F796" t="inlineStr">
        <is>
          <t>DALARNAS LÄN</t>
        </is>
      </c>
      <c r="G796" t="inlineStr">
        <is>
          <t>FALUN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59571-2025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45992</v>
      </c>
      <c r="E797" s="1" t="n">
        <v>46273</v>
      </c>
      <c r="F797" t="inlineStr">
        <is>
          <t>DALARNAS LÄN</t>
        </is>
      </c>
      <c r="G797" t="inlineStr">
        <is>
          <t>FALUN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46129</v>
      </c>
      <c r="E798" s="1" t="n">
        <v>46273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13116-2026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46093</v>
      </c>
      <c r="E799" s="1" t="n">
        <v>46273</v>
      </c>
      <c r="F799" t="inlineStr">
        <is>
          <t>DALARNAS LÄN</t>
        </is>
      </c>
      <c r="G799" t="inlineStr">
        <is>
          <t>FALUN</t>
        </is>
      </c>
      <c r="H799" t="inlineStr">
        <is>
          <t>Allmännings- och besparingsskogar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46119</v>
      </c>
      <c r="E800" s="1" t="n">
        <v>46273</v>
      </c>
      <c r="F800" t="inlineStr">
        <is>
          <t>DALARNAS LÄN</t>
        </is>
      </c>
      <c r="G800" t="inlineStr">
        <is>
          <t>FALUN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16933-2026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46113</v>
      </c>
      <c r="E801" s="1" t="n">
        <v>46273</v>
      </c>
      <c r="F801" t="inlineStr">
        <is>
          <t>DALARNAS LÄN</t>
        </is>
      </c>
      <c r="G801" t="inlineStr">
        <is>
          <t>FALUN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46273</v>
      </c>
      <c r="F802" t="inlineStr">
        <is>
          <t>DALARNAS LÄN</t>
        </is>
      </c>
      <c r="G802" t="inlineStr">
        <is>
          <t>FALUN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59832-2025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45992</v>
      </c>
      <c r="E803" s="1" t="n">
        <v>46273</v>
      </c>
      <c r="F803" t="inlineStr">
        <is>
          <t>DALARNAS LÄN</t>
        </is>
      </c>
      <c r="G803" t="inlineStr">
        <is>
          <t>FALUN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17890-2026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46122</v>
      </c>
      <c r="E804" s="1" t="n">
        <v>46273</v>
      </c>
      <c r="F804" t="inlineStr">
        <is>
          <t>DALARNAS LÄN</t>
        </is>
      </c>
      <c r="G804" t="inlineStr">
        <is>
          <t>FALUN</t>
        </is>
      </c>
      <c r="I804" t="n">
        <v>16.3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16375-2026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46273</v>
      </c>
      <c r="F805" t="inlineStr">
        <is>
          <t>DALARNAS LÄN</t>
        </is>
      </c>
      <c r="G805" t="inlineStr">
        <is>
          <t>FALUN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59748-2025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46273</v>
      </c>
      <c r="F806" t="inlineStr">
        <is>
          <t>DALARNAS LÄN</t>
        </is>
      </c>
      <c r="G806" t="inlineStr">
        <is>
          <t>FALUN</t>
        </is>
      </c>
      <c r="I806" t="n">
        <v>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26346-2026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46182</v>
      </c>
      <c r="E807" s="1" t="n">
        <v>46273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19783-2026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46135</v>
      </c>
      <c r="E808" s="1" t="n">
        <v>46273</v>
      </c>
      <c r="F808" t="inlineStr">
        <is>
          <t>DALARNAS LÄN</t>
        </is>
      </c>
      <c r="G808" t="inlineStr">
        <is>
          <t>FALUN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21584-2026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46149</v>
      </c>
      <c r="E809" s="1" t="n">
        <v>46273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8.699999999999999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26546-2026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46273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5.2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27679-2024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45475</v>
      </c>
      <c r="E811" s="1" t="n">
        <v>46273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21116-2026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46146</v>
      </c>
      <c r="E812" s="1" t="n">
        <v>46273</v>
      </c>
      <c r="F812" t="inlineStr">
        <is>
          <t>DALARNAS LÄN</t>
        </is>
      </c>
      <c r="G812" t="inlineStr">
        <is>
          <t>FALUN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46273</v>
      </c>
      <c r="F813" t="inlineStr">
        <is>
          <t>DALARNAS LÄN</t>
        </is>
      </c>
      <c r="G813" t="inlineStr">
        <is>
          <t>FALUN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26832-2026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46273</v>
      </c>
      <c r="F814" t="inlineStr">
        <is>
          <t>DALARNAS LÄN</t>
        </is>
      </c>
      <c r="G814" t="inlineStr">
        <is>
          <t>FALUN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60085-2025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45993</v>
      </c>
      <c r="E815" s="1" t="n">
        <v>46273</v>
      </c>
      <c r="F815" t="inlineStr">
        <is>
          <t>DALARNAS LÄN</t>
        </is>
      </c>
      <c r="G815" t="inlineStr">
        <is>
          <t>FALUN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60086-2025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45993</v>
      </c>
      <c r="E816" s="1" t="n">
        <v>46273</v>
      </c>
      <c r="F816" t="inlineStr">
        <is>
          <t>DALARNAS LÄN</t>
        </is>
      </c>
      <c r="G816" t="inlineStr">
        <is>
          <t>FALUN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60562-2025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45994</v>
      </c>
      <c r="E817" s="1" t="n">
        <v>46273</v>
      </c>
      <c r="F817" t="inlineStr">
        <is>
          <t>DALARNAS LÄN</t>
        </is>
      </c>
      <c r="G817" t="inlineStr">
        <is>
          <t>FALUN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26965-2026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46273</v>
      </c>
      <c r="F818" t="inlineStr">
        <is>
          <t>DALARNAS LÄN</t>
        </is>
      </c>
      <c r="G818" t="inlineStr">
        <is>
          <t>FALUN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56279-2023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45241</v>
      </c>
      <c r="E819" s="1" t="n">
        <v>46273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26968-2026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46273</v>
      </c>
      <c r="F820" t="inlineStr">
        <is>
          <t>DALARNAS LÄN</t>
        </is>
      </c>
      <c r="G820" t="inlineStr">
        <is>
          <t>FALUN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48589-2024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45593</v>
      </c>
      <c r="E821" s="1" t="n">
        <v>46273</v>
      </c>
      <c r="F821" t="inlineStr">
        <is>
          <t>DALARNAS LÄN</t>
        </is>
      </c>
      <c r="G821" t="inlineStr">
        <is>
          <t>FALUN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5229-2026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46049</v>
      </c>
      <c r="E822" s="1" t="n">
        <v>46273</v>
      </c>
      <c r="F822" t="inlineStr">
        <is>
          <t>DALARNAS LÄN</t>
        </is>
      </c>
      <c r="G822" t="inlineStr">
        <is>
          <t>FALUN</t>
        </is>
      </c>
      <c r="I822" t="n">
        <v>5.9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39918-2024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45553</v>
      </c>
      <c r="E823" s="1" t="n">
        <v>46273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39924-2024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45553</v>
      </c>
      <c r="E824" s="1" t="n">
        <v>46273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60676-2025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45996</v>
      </c>
      <c r="E825" s="1" t="n">
        <v>46273</v>
      </c>
      <c r="F825" t="inlineStr">
        <is>
          <t>DALARNAS LÄN</t>
        </is>
      </c>
      <c r="G825" t="inlineStr">
        <is>
          <t>FALUN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18251-2026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46126</v>
      </c>
      <c r="E826" s="1" t="n">
        <v>46273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21.8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26830-2026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46273</v>
      </c>
      <c r="F827" t="inlineStr">
        <is>
          <t>DALARNAS LÄN</t>
        </is>
      </c>
      <c r="G827" t="inlineStr">
        <is>
          <t>FALUN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26969-2026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46273</v>
      </c>
      <c r="F828" t="inlineStr">
        <is>
          <t>DALARNAS LÄN</t>
        </is>
      </c>
      <c r="G828" t="inlineStr">
        <is>
          <t>FALUN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41275-2023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45174</v>
      </c>
      <c r="E829" s="1" t="n">
        <v>46273</v>
      </c>
      <c r="F829" t="inlineStr">
        <is>
          <t>DALARNAS LÄN</t>
        </is>
      </c>
      <c r="G829" t="inlineStr">
        <is>
          <t>FALUN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61059-2025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46000</v>
      </c>
      <c r="E830" s="1" t="n">
        <v>46273</v>
      </c>
      <c r="F830" t="inlineStr">
        <is>
          <t>DALARNAS LÄN</t>
        </is>
      </c>
      <c r="G830" t="inlineStr">
        <is>
          <t>FALUN</t>
        </is>
      </c>
      <c r="I830" t="n">
        <v>8.199999999999999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15174-2024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45400</v>
      </c>
      <c r="E831" s="1" t="n">
        <v>46273</v>
      </c>
      <c r="F831" t="inlineStr">
        <is>
          <t>DALARNAS LÄN</t>
        </is>
      </c>
      <c r="G831" t="inlineStr">
        <is>
          <t>FALUN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60683-2025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45996</v>
      </c>
      <c r="E832" s="1" t="n">
        <v>46273</v>
      </c>
      <c r="F832" t="inlineStr">
        <is>
          <t>DALARNAS LÄN</t>
        </is>
      </c>
      <c r="G832" t="inlineStr">
        <is>
          <t>FALUN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41604-2023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45175</v>
      </c>
      <c r="E833" s="1" t="n">
        <v>46273</v>
      </c>
      <c r="F833" t="inlineStr">
        <is>
          <t>DALARNAS LÄN</t>
        </is>
      </c>
      <c r="G833" t="inlineStr">
        <is>
          <t>FALUN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61064-2025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46000</v>
      </c>
      <c r="E834" s="1" t="n">
        <v>46273</v>
      </c>
      <c r="F834" t="inlineStr">
        <is>
          <t>DALARNAS LÄN</t>
        </is>
      </c>
      <c r="G834" t="inlineStr">
        <is>
          <t>FALUN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27265-2026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46273</v>
      </c>
      <c r="F835" t="inlineStr">
        <is>
          <t>DALARNAS LÄN</t>
        </is>
      </c>
      <c r="G835" t="inlineStr">
        <is>
          <t>FALUN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27313-2026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46188</v>
      </c>
      <c r="E836" s="1" t="n">
        <v>46273</v>
      </c>
      <c r="F836" t="inlineStr">
        <is>
          <t>DALARNAS LÄN</t>
        </is>
      </c>
      <c r="G836" t="inlineStr">
        <is>
          <t>FALUN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27267-2026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46273</v>
      </c>
      <c r="F837" t="inlineStr">
        <is>
          <t>DALARNAS LÄN</t>
        </is>
      </c>
      <c r="G837" t="inlineStr">
        <is>
          <t>FALUN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27335-2026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46188</v>
      </c>
      <c r="E838" s="1" t="n">
        <v>46273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27145-2026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46188</v>
      </c>
      <c r="E839" s="1" t="n">
        <v>46273</v>
      </c>
      <c r="F839" t="inlineStr">
        <is>
          <t>DALARNAS LÄN</t>
        </is>
      </c>
      <c r="G839" t="inlineStr">
        <is>
          <t>FALUN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41144-2023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45173</v>
      </c>
      <c r="E840" s="1" t="n">
        <v>46273</v>
      </c>
      <c r="F840" t="inlineStr">
        <is>
          <t>DALARNAS LÄN</t>
        </is>
      </c>
      <c r="G840" t="inlineStr">
        <is>
          <t>FALUN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31859-2026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46230</v>
      </c>
      <c r="E841" s="1" t="n">
        <v>46273</v>
      </c>
      <c r="F841" t="inlineStr">
        <is>
          <t>DALARNAS LÄN</t>
        </is>
      </c>
      <c r="G841" t="inlineStr">
        <is>
          <t>FALUN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49969-2024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45597</v>
      </c>
      <c r="E842" s="1" t="n">
        <v>46273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53640-2024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46273</v>
      </c>
      <c r="F843" t="inlineStr">
        <is>
          <t>DALARNAS LÄN</t>
        </is>
      </c>
      <c r="G843" t="inlineStr">
        <is>
          <t>FALUN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46033</v>
      </c>
      <c r="E844" s="1" t="n">
        <v>46273</v>
      </c>
      <c r="F844" t="inlineStr">
        <is>
          <t>DALARNAS LÄN</t>
        </is>
      </c>
      <c r="G844" t="inlineStr">
        <is>
          <t>FALUN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27163-2026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46188</v>
      </c>
      <c r="E845" s="1" t="n">
        <v>46273</v>
      </c>
      <c r="F845" t="inlineStr">
        <is>
          <t>DALARNAS LÄN</t>
        </is>
      </c>
      <c r="G845" t="inlineStr">
        <is>
          <t>FALUN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27152-2026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46188</v>
      </c>
      <c r="E846" s="1" t="n">
        <v>46273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46023</v>
      </c>
      <c r="E847" s="1" t="n">
        <v>46273</v>
      </c>
      <c r="F847" t="inlineStr">
        <is>
          <t>DALARNAS LÄN</t>
        </is>
      </c>
      <c r="G847" t="inlineStr">
        <is>
          <t>FALUN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27847-2026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46191</v>
      </c>
      <c r="E848" s="1" t="n">
        <v>46273</v>
      </c>
      <c r="F848" t="inlineStr">
        <is>
          <t>DALARNAS LÄN</t>
        </is>
      </c>
      <c r="G848" t="inlineStr">
        <is>
          <t>FALUN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27821-2026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46191</v>
      </c>
      <c r="E849" s="1" t="n">
        <v>46273</v>
      </c>
      <c r="F849" t="inlineStr">
        <is>
          <t>DALARNAS LÄN</t>
        </is>
      </c>
      <c r="G849" t="inlineStr">
        <is>
          <t>FALUN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27822-2026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46191</v>
      </c>
      <c r="E850" s="1" t="n">
        <v>46273</v>
      </c>
      <c r="F850" t="inlineStr">
        <is>
          <t>DALARNAS LÄN</t>
        </is>
      </c>
      <c r="G850" t="inlineStr">
        <is>
          <t>FALUN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27834-2026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46273</v>
      </c>
      <c r="F851" t="inlineStr">
        <is>
          <t>DALARNAS LÄN</t>
        </is>
      </c>
      <c r="G851" t="inlineStr">
        <is>
          <t>FALUN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27850-2026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46273</v>
      </c>
      <c r="F852" t="inlineStr">
        <is>
          <t>DALARNAS LÄN</t>
        </is>
      </c>
      <c r="G852" t="inlineStr">
        <is>
          <t>FALUN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27896-2026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46191</v>
      </c>
      <c r="E853" s="1" t="n">
        <v>46273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6.9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15610-2024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45401</v>
      </c>
      <c r="E854" s="1" t="n">
        <v>46273</v>
      </c>
      <c r="F854" t="inlineStr">
        <is>
          <t>DALARNAS LÄN</t>
        </is>
      </c>
      <c r="G854" t="inlineStr">
        <is>
          <t>FALUN</t>
        </is>
      </c>
      <c r="I854" t="n">
        <v>5.2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62358-2025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46007</v>
      </c>
      <c r="E855" s="1" t="n">
        <v>46273</v>
      </c>
      <c r="F855" t="inlineStr">
        <is>
          <t>DALARNAS LÄN</t>
        </is>
      </c>
      <c r="G855" t="inlineStr">
        <is>
          <t>FALUN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45690-2025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45923</v>
      </c>
      <c r="E856" s="1" t="n">
        <v>46273</v>
      </c>
      <c r="F856" t="inlineStr">
        <is>
          <t>DALARNAS LÄN</t>
        </is>
      </c>
      <c r="G856" t="inlineStr">
        <is>
          <t>FALUN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27800-2026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46191</v>
      </c>
      <c r="E857" s="1" t="n">
        <v>46273</v>
      </c>
      <c r="F857" t="inlineStr">
        <is>
          <t>DALARNAS LÄN</t>
        </is>
      </c>
      <c r="G857" t="inlineStr">
        <is>
          <t>FALUN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11897-2023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44995</v>
      </c>
      <c r="E858" s="1" t="n">
        <v>46273</v>
      </c>
      <c r="F858" t="inlineStr">
        <is>
          <t>DALARNAS LÄN</t>
        </is>
      </c>
      <c r="G858" t="inlineStr">
        <is>
          <t>FALUN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27628-2026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46190</v>
      </c>
      <c r="E859" s="1" t="n">
        <v>46273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62362-2025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46007</v>
      </c>
      <c r="E860" s="1" t="n">
        <v>46273</v>
      </c>
      <c r="F860" t="inlineStr">
        <is>
          <t>DALARNAS LÄN</t>
        </is>
      </c>
      <c r="G860" t="inlineStr">
        <is>
          <t>FALUN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27626-2026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46190</v>
      </c>
      <c r="E861" s="1" t="n">
        <v>46273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21174-2026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46146</v>
      </c>
      <c r="E862" s="1" t="n">
        <v>46273</v>
      </c>
      <c r="F862" t="inlineStr">
        <is>
          <t>DALARNAS LÄN</t>
        </is>
      </c>
      <c r="G862" t="inlineStr">
        <is>
          <t>FALUN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27924-2026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46191</v>
      </c>
      <c r="E863" s="1" t="n">
        <v>46273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17403-2026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46120</v>
      </c>
      <c r="E864" s="1" t="n">
        <v>46273</v>
      </c>
      <c r="F864" t="inlineStr">
        <is>
          <t>DALARNAS LÄN</t>
        </is>
      </c>
      <c r="G864" t="inlineStr">
        <is>
          <t>FALUN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63291-2025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46010</v>
      </c>
      <c r="E865" s="1" t="n">
        <v>46273</v>
      </c>
      <c r="F865" t="inlineStr">
        <is>
          <t>DALARNAS LÄN</t>
        </is>
      </c>
      <c r="G865" t="inlineStr">
        <is>
          <t>FALUN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63307-2025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46010</v>
      </c>
      <c r="E866" s="1" t="n">
        <v>46273</v>
      </c>
      <c r="F866" t="inlineStr">
        <is>
          <t>DALARNAS LÄN</t>
        </is>
      </c>
      <c r="G866" t="inlineStr">
        <is>
          <t>FALUN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63303-2025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46010</v>
      </c>
      <c r="E867" s="1" t="n">
        <v>46273</v>
      </c>
      <c r="F867" t="inlineStr">
        <is>
          <t>DALARNAS LÄN</t>
        </is>
      </c>
      <c r="G867" t="inlineStr">
        <is>
          <t>FALUN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63178-2025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46010</v>
      </c>
      <c r="E868" s="1" t="n">
        <v>46273</v>
      </c>
      <c r="F868" t="inlineStr">
        <is>
          <t>DALARNAS LÄN</t>
        </is>
      </c>
      <c r="G868" t="inlineStr">
        <is>
          <t>FALUN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74196-2021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44558</v>
      </c>
      <c r="E869" s="1" t="n">
        <v>46273</v>
      </c>
      <c r="F869" t="inlineStr">
        <is>
          <t>DALARNAS LÄN</t>
        </is>
      </c>
      <c r="G869" t="inlineStr">
        <is>
          <t>FALUN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27649-2026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46190</v>
      </c>
      <c r="E870" s="1" t="n">
        <v>46273</v>
      </c>
      <c r="F870" t="inlineStr">
        <is>
          <t>DALARNAS LÄN</t>
        </is>
      </c>
      <c r="G870" t="inlineStr">
        <is>
          <t>FALUN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45659</v>
      </c>
      <c r="E871" s="1" t="n">
        <v>46273</v>
      </c>
      <c r="F871" t="inlineStr">
        <is>
          <t>DALARNAS LÄN</t>
        </is>
      </c>
      <c r="G871" t="inlineStr">
        <is>
          <t>FALUN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16888-2024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45411</v>
      </c>
      <c r="E872" s="1" t="n">
        <v>46273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6.1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27832-2026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46273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18623-2026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46127</v>
      </c>
      <c r="E874" s="1" t="n">
        <v>46273</v>
      </c>
      <c r="F874" t="inlineStr">
        <is>
          <t>DALARNAS LÄN</t>
        </is>
      </c>
      <c r="G874" t="inlineStr">
        <is>
          <t>FALUN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27998-2026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46195</v>
      </c>
      <c r="E875" s="1" t="n">
        <v>46273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7.2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5085-2024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45330</v>
      </c>
      <c r="E876" s="1" t="n">
        <v>46273</v>
      </c>
      <c r="F876" t="inlineStr">
        <is>
          <t>DALARNAS LÄN</t>
        </is>
      </c>
      <c r="G876" t="inlineStr">
        <is>
          <t>FALUN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45329</v>
      </c>
      <c r="E877" s="1" t="n">
        <v>46273</v>
      </c>
      <c r="F877" t="inlineStr">
        <is>
          <t>DALARNAS LÄN</t>
        </is>
      </c>
      <c r="G877" t="inlineStr">
        <is>
          <t>FALUN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46036</v>
      </c>
      <c r="E878" s="1" t="n">
        <v>46273</v>
      </c>
      <c r="F878" t="inlineStr">
        <is>
          <t>DALARNAS LÄN</t>
        </is>
      </c>
      <c r="G878" t="inlineStr">
        <is>
          <t>FALUN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28085-2026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46195</v>
      </c>
      <c r="E879" s="1" t="n">
        <v>46273</v>
      </c>
      <c r="F879" t="inlineStr">
        <is>
          <t>DALARNAS LÄN</t>
        </is>
      </c>
      <c r="G879" t="inlineStr">
        <is>
          <t>FALUN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28189-2026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46195</v>
      </c>
      <c r="E880" s="1" t="n">
        <v>46273</v>
      </c>
      <c r="F880" t="inlineStr">
        <is>
          <t>DALARNAS LÄN</t>
        </is>
      </c>
      <c r="G880" t="inlineStr">
        <is>
          <t>FALUN</t>
        </is>
      </c>
      <c r="I880" t="n">
        <v>7.3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28817-2026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46195</v>
      </c>
      <c r="E881" s="1" t="n">
        <v>46273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14.2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19916-2026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46136</v>
      </c>
      <c r="E882" s="1" t="n">
        <v>46273</v>
      </c>
      <c r="F882" t="inlineStr">
        <is>
          <t>DALARNAS LÄN</t>
        </is>
      </c>
      <c r="G882" t="inlineStr">
        <is>
          <t>FALUN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27969-2026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46195</v>
      </c>
      <c r="E883" s="1" t="n">
        <v>46273</v>
      </c>
      <c r="F883" t="inlineStr">
        <is>
          <t>DALARNAS LÄN</t>
        </is>
      </c>
      <c r="G883" t="inlineStr">
        <is>
          <t>FALUN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27970-2026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46195</v>
      </c>
      <c r="E884" s="1" t="n">
        <v>46273</v>
      </c>
      <c r="F884" t="inlineStr">
        <is>
          <t>DALARNAS LÄN</t>
        </is>
      </c>
      <c r="G884" t="inlineStr">
        <is>
          <t>FALUN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28117-2026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46195</v>
      </c>
      <c r="E885" s="1" t="n">
        <v>46273</v>
      </c>
      <c r="F885" t="inlineStr">
        <is>
          <t>DALARNAS LÄN</t>
        </is>
      </c>
      <c r="G885" t="inlineStr">
        <is>
          <t>FALUN</t>
        </is>
      </c>
      <c r="I885" t="n">
        <v>10.2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2906-2022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44581</v>
      </c>
      <c r="E886" s="1" t="n">
        <v>46273</v>
      </c>
      <c r="F886" t="inlineStr">
        <is>
          <t>DALARNAS LÄN</t>
        </is>
      </c>
      <c r="G886" t="inlineStr">
        <is>
          <t>FALUN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28092-2026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46195</v>
      </c>
      <c r="E887" s="1" t="n">
        <v>46273</v>
      </c>
      <c r="F887" t="inlineStr">
        <is>
          <t>DALARNAS LÄN</t>
        </is>
      </c>
      <c r="G887" t="inlineStr">
        <is>
          <t>FALUN</t>
        </is>
      </c>
      <c r="I887" t="n">
        <v>6.8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63960-2025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46020</v>
      </c>
      <c r="E888" s="1" t="n">
        <v>46273</v>
      </c>
      <c r="F888" t="inlineStr">
        <is>
          <t>DALARNAS LÄN</t>
        </is>
      </c>
      <c r="G888" t="inlineStr">
        <is>
          <t>FALUN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22938-2023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45072</v>
      </c>
      <c r="E889" s="1" t="n">
        <v>46273</v>
      </c>
      <c r="F889" t="inlineStr">
        <is>
          <t>DALARNAS LÄN</t>
        </is>
      </c>
      <c r="G889" t="inlineStr">
        <is>
          <t>FALUN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22663-2023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45071</v>
      </c>
      <c r="E890" s="1" t="n">
        <v>46273</v>
      </c>
      <c r="F890" t="inlineStr">
        <is>
          <t>DALARNAS LÄN</t>
        </is>
      </c>
      <c r="G890" t="inlineStr">
        <is>
          <t>FALUN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63974-2025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46273</v>
      </c>
      <c r="F891" t="inlineStr">
        <is>
          <t>DALARNAS LÄN</t>
        </is>
      </c>
      <c r="G891" t="inlineStr">
        <is>
          <t>FALUN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46024</v>
      </c>
      <c r="E892" s="1" t="n">
        <v>46273</v>
      </c>
      <c r="F892" t="inlineStr">
        <is>
          <t>DALARNAS LÄN</t>
        </is>
      </c>
      <c r="G892" t="inlineStr">
        <is>
          <t>FALUN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46024</v>
      </c>
      <c r="E893" s="1" t="n">
        <v>46273</v>
      </c>
      <c r="F893" t="inlineStr">
        <is>
          <t>DALARNAS LÄN</t>
        </is>
      </c>
      <c r="G893" t="inlineStr">
        <is>
          <t>FALUN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37709-2024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45541</v>
      </c>
      <c r="E894" s="1" t="n">
        <v>46273</v>
      </c>
      <c r="F894" t="inlineStr">
        <is>
          <t>DALARNAS LÄN</t>
        </is>
      </c>
      <c r="G894" t="inlineStr">
        <is>
          <t>FALUN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46028</v>
      </c>
      <c r="E895" s="1" t="n">
        <v>46273</v>
      </c>
      <c r="F895" t="inlineStr">
        <is>
          <t>DALARNAS LÄN</t>
        </is>
      </c>
      <c r="G895" t="inlineStr">
        <is>
          <t>FALUN</t>
        </is>
      </c>
      <c r="I895" t="n">
        <v>34.8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46025</v>
      </c>
      <c r="E896" s="1" t="n">
        <v>46273</v>
      </c>
      <c r="F896" t="inlineStr">
        <is>
          <t>DALARNAS LÄN</t>
        </is>
      </c>
      <c r="G896" t="inlineStr">
        <is>
          <t>FALUN</t>
        </is>
      </c>
      <c r="I896" t="n">
        <v>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46025</v>
      </c>
      <c r="E897" s="1" t="n">
        <v>46273</v>
      </c>
      <c r="F897" t="inlineStr">
        <is>
          <t>DALARNAS LÄN</t>
        </is>
      </c>
      <c r="G897" t="inlineStr">
        <is>
          <t>FALUN</t>
        </is>
      </c>
      <c r="I897" t="n">
        <v>46.9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46027</v>
      </c>
      <c r="E898" s="1" t="n">
        <v>46273</v>
      </c>
      <c r="F898" t="inlineStr">
        <is>
          <t>DALARNAS LÄN</t>
        </is>
      </c>
      <c r="G898" t="inlineStr">
        <is>
          <t>FALUN</t>
        </is>
      </c>
      <c r="I898" t="n">
        <v>13.7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46027</v>
      </c>
      <c r="E899" s="1" t="n">
        <v>46273</v>
      </c>
      <c r="F899" t="inlineStr">
        <is>
          <t>DALARNAS LÄN</t>
        </is>
      </c>
      <c r="G899" t="inlineStr">
        <is>
          <t>FALUN</t>
        </is>
      </c>
      <c r="I899" t="n">
        <v>7.8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46027</v>
      </c>
      <c r="E900" s="1" t="n">
        <v>46273</v>
      </c>
      <c r="F900" t="inlineStr">
        <is>
          <t>DALARNAS LÄN</t>
        </is>
      </c>
      <c r="G900" t="inlineStr">
        <is>
          <t>FALUN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46027</v>
      </c>
      <c r="E901" s="1" t="n">
        <v>46273</v>
      </c>
      <c r="F901" t="inlineStr">
        <is>
          <t>DALARNAS LÄN</t>
        </is>
      </c>
      <c r="G901" t="inlineStr">
        <is>
          <t>FALUN</t>
        </is>
      </c>
      <c r="I901" t="n">
        <v>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46028</v>
      </c>
      <c r="E902" s="1" t="n">
        <v>46273</v>
      </c>
      <c r="F902" t="inlineStr">
        <is>
          <t>DALARNAS LÄN</t>
        </is>
      </c>
      <c r="G902" t="inlineStr">
        <is>
          <t>FALUN</t>
        </is>
      </c>
      <c r="I902" t="n">
        <v>5.9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46026</v>
      </c>
      <c r="E903" s="1" t="n">
        <v>46273</v>
      </c>
      <c r="F903" t="inlineStr">
        <is>
          <t>DALARNAS LÄN</t>
        </is>
      </c>
      <c r="G903" t="inlineStr">
        <is>
          <t>FALUN</t>
        </is>
      </c>
      <c r="I903" t="n">
        <v>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56642-2024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45625</v>
      </c>
      <c r="E904" s="1" t="n">
        <v>46273</v>
      </c>
      <c r="F904" t="inlineStr">
        <is>
          <t>DALARNAS LÄN</t>
        </is>
      </c>
      <c r="G904" t="inlineStr">
        <is>
          <t>FALUN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46030</v>
      </c>
      <c r="E905" s="1" t="n">
        <v>46273</v>
      </c>
      <c r="F905" t="inlineStr">
        <is>
          <t>DALARNAS LÄN</t>
        </is>
      </c>
      <c r="G905" t="inlineStr">
        <is>
          <t>FALUN</t>
        </is>
      </c>
      <c r="I905" t="n">
        <v>3.9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46273</v>
      </c>
      <c r="F906" t="inlineStr">
        <is>
          <t>DALARNAS LÄN</t>
        </is>
      </c>
      <c r="G906" t="inlineStr">
        <is>
          <t>FALUN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1141-2026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46030</v>
      </c>
      <c r="E907" s="1" t="n">
        <v>46273</v>
      </c>
      <c r="F907" t="inlineStr">
        <is>
          <t>DALARNAS LÄN</t>
        </is>
      </c>
      <c r="G907" t="inlineStr">
        <is>
          <t>FALUN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35943-2023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45148</v>
      </c>
      <c r="E908" s="1" t="n">
        <v>46273</v>
      </c>
      <c r="F908" t="inlineStr">
        <is>
          <t>DALARNAS LÄN</t>
        </is>
      </c>
      <c r="G908" t="inlineStr">
        <is>
          <t>FALUN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905-2026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46030</v>
      </c>
      <c r="E909" s="1" t="n">
        <v>46273</v>
      </c>
      <c r="F909" t="inlineStr">
        <is>
          <t>DALARNAS LÄN</t>
        </is>
      </c>
      <c r="G909" t="inlineStr">
        <is>
          <t>FALUN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56587-2024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45625</v>
      </c>
      <c r="E910" s="1" t="n">
        <v>46273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1140-2026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46030</v>
      </c>
      <c r="E911" s="1" t="n">
        <v>46273</v>
      </c>
      <c r="F911" t="inlineStr">
        <is>
          <t>DALARNAS LÄN</t>
        </is>
      </c>
      <c r="G911" t="inlineStr">
        <is>
          <t>FALUN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789-2026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46029</v>
      </c>
      <c r="E912" s="1" t="n">
        <v>46273</v>
      </c>
      <c r="F912" t="inlineStr">
        <is>
          <t>DALARNAS LÄN</t>
        </is>
      </c>
      <c r="G912" t="inlineStr">
        <is>
          <t>FALUN</t>
        </is>
      </c>
      <c r="I912" t="n">
        <v>5.4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46031</v>
      </c>
      <c r="E913" s="1" t="n">
        <v>46273</v>
      </c>
      <c r="F913" t="inlineStr">
        <is>
          <t>DALARNAS LÄN</t>
        </is>
      </c>
      <c r="G913" t="inlineStr">
        <is>
          <t>FALUN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1447-2026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46032</v>
      </c>
      <c r="E914" s="1" t="n">
        <v>46273</v>
      </c>
      <c r="F914" t="inlineStr">
        <is>
          <t>DALARNAS LÄN</t>
        </is>
      </c>
      <c r="G914" t="inlineStr">
        <is>
          <t>FALUN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24729-2023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45084</v>
      </c>
      <c r="E915" s="1" t="n">
        <v>46273</v>
      </c>
      <c r="F915" t="inlineStr">
        <is>
          <t>DALARNAS LÄN</t>
        </is>
      </c>
      <c r="G915" t="inlineStr">
        <is>
          <t>FALUN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1443-2026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46032</v>
      </c>
      <c r="E916" s="1" t="n">
        <v>46273</v>
      </c>
      <c r="F916" t="inlineStr">
        <is>
          <t>DALARNAS LÄN</t>
        </is>
      </c>
      <c r="G916" t="inlineStr">
        <is>
          <t>FALUN</t>
        </is>
      </c>
      <c r="I916" t="n">
        <v>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1321-2026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46031</v>
      </c>
      <c r="E917" s="1" t="n">
        <v>46273</v>
      </c>
      <c r="F917" t="inlineStr">
        <is>
          <t>DALARNAS LÄN</t>
        </is>
      </c>
      <c r="G917" t="inlineStr">
        <is>
          <t>FALUN</t>
        </is>
      </c>
      <c r="I917" t="n">
        <v>4.6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1314-2026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46273</v>
      </c>
      <c r="F918" t="inlineStr">
        <is>
          <t>DALARNAS LÄN</t>
        </is>
      </c>
      <c r="G918" t="inlineStr">
        <is>
          <t>FALUN</t>
        </is>
      </c>
      <c r="I918" t="n">
        <v>37.9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46032</v>
      </c>
      <c r="E919" s="1" t="n">
        <v>46273</v>
      </c>
      <c r="F919" t="inlineStr">
        <is>
          <t>DALARNAS LÄN</t>
        </is>
      </c>
      <c r="G919" t="inlineStr">
        <is>
          <t>FALUN</t>
        </is>
      </c>
      <c r="I919" t="n">
        <v>8.1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46032</v>
      </c>
      <c r="E920" s="1" t="n">
        <v>46273</v>
      </c>
      <c r="F920" t="inlineStr">
        <is>
          <t>DALARNAS LÄN</t>
        </is>
      </c>
      <c r="G920" t="inlineStr">
        <is>
          <t>FALUN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46031</v>
      </c>
      <c r="E921" s="1" t="n">
        <v>46273</v>
      </c>
      <c r="F921" t="inlineStr">
        <is>
          <t>DALARNAS LÄN</t>
        </is>
      </c>
      <c r="G921" t="inlineStr">
        <is>
          <t>FALUN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1702-2026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46034</v>
      </c>
      <c r="E922" s="1" t="n">
        <v>46273</v>
      </c>
      <c r="F922" t="inlineStr">
        <is>
          <t>DALARNAS LÄN</t>
        </is>
      </c>
      <c r="G922" t="inlineStr">
        <is>
          <t>FALUN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  <c r="Z922">
        <f>HYPERLINK("https://klasma.github.io/Logging_2080/knärot/A 1702-2026 karta knärot.png", "A 1702-2026")</f>
        <v/>
      </c>
      <c r="AA922">
        <f>HYPERLINK("https://klasma.github.io/Logging_2080/klagomål/A 1702-2026 FSC-klagomål.docx", "A 1702-2026")</f>
        <v/>
      </c>
      <c r="AB922">
        <f>HYPERLINK("https://klasma.github.io/Logging_2080/klagomålsmail/A 1702-2026 FSC-klagomål mail.docx", "A 1702-2026")</f>
        <v/>
      </c>
      <c r="AC922">
        <f>HYPERLINK("https://klasma.github.io/Logging_2080/tillsyn/A 1702-2026 tillsynsbegäran.docx", "A 1702-2026")</f>
        <v/>
      </c>
      <c r="AD922">
        <f>HYPERLINK("https://klasma.github.io/Logging_2080/tillsynsmail/A 1702-2026 tillsynsbegäran mail.docx", "A 1702-2026")</f>
        <v/>
      </c>
    </row>
    <row r="923" ht="15" customHeight="1">
      <c r="A923" t="inlineStr">
        <is>
          <t>A 53029-2024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45611</v>
      </c>
      <c r="E923" s="1" t="n">
        <v>46273</v>
      </c>
      <c r="F923" t="inlineStr">
        <is>
          <t>DALARNAS LÄN</t>
        </is>
      </c>
      <c r="G923" t="inlineStr">
        <is>
          <t>FALUN</t>
        </is>
      </c>
      <c r="I923" t="n">
        <v>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46031</v>
      </c>
      <c r="E924" s="1" t="n">
        <v>46273</v>
      </c>
      <c r="F924" t="inlineStr">
        <is>
          <t>DALARNAS LÄN</t>
        </is>
      </c>
      <c r="G924" t="inlineStr">
        <is>
          <t>FALUN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1363-2026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46031</v>
      </c>
      <c r="E925" s="1" t="n">
        <v>46273</v>
      </c>
      <c r="F925" t="inlineStr">
        <is>
          <t>DALARNAS LÄN</t>
        </is>
      </c>
      <c r="G925" t="inlineStr">
        <is>
          <t>FALUN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1426-2026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46031</v>
      </c>
      <c r="E926" s="1" t="n">
        <v>46273</v>
      </c>
      <c r="F926" t="inlineStr">
        <is>
          <t>DALARNAS LÄN</t>
        </is>
      </c>
      <c r="G926" t="inlineStr">
        <is>
          <t>FALUN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1315-2026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46031</v>
      </c>
      <c r="E927" s="1" t="n">
        <v>46273</v>
      </c>
      <c r="F927" t="inlineStr">
        <is>
          <t>DALARNAS LÄN</t>
        </is>
      </c>
      <c r="G927" t="inlineStr">
        <is>
          <t>FALUN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1767-2026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46034</v>
      </c>
      <c r="E928" s="1" t="n">
        <v>46273</v>
      </c>
      <c r="F928" t="inlineStr">
        <is>
          <t>DALARNAS LÄN</t>
        </is>
      </c>
      <c r="G928" t="inlineStr">
        <is>
          <t>FALUN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28252-2026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46196</v>
      </c>
      <c r="E929" s="1" t="n">
        <v>46273</v>
      </c>
      <c r="F929" t="inlineStr">
        <is>
          <t>DALARNAS LÄN</t>
        </is>
      </c>
      <c r="G929" t="inlineStr">
        <is>
          <t>FALUN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28306-2026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46196</v>
      </c>
      <c r="E930" s="1" t="n">
        <v>46273</v>
      </c>
      <c r="F930" t="inlineStr">
        <is>
          <t>DALARNAS LÄN</t>
        </is>
      </c>
      <c r="G930" t="inlineStr">
        <is>
          <t>FALUN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1791-2026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46034</v>
      </c>
      <c r="E931" s="1" t="n">
        <v>46273</v>
      </c>
      <c r="F931" t="inlineStr">
        <is>
          <t>DALARNAS LÄN</t>
        </is>
      </c>
      <c r="G931" t="inlineStr">
        <is>
          <t>FALUN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1851-2026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46035</v>
      </c>
      <c r="E932" s="1" t="n">
        <v>46273</v>
      </c>
      <c r="F932" t="inlineStr">
        <is>
          <t>DALARNAS LÄN</t>
        </is>
      </c>
      <c r="G932" t="inlineStr">
        <is>
          <t>FALUN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2017-2026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46035</v>
      </c>
      <c r="E933" s="1" t="n">
        <v>46273</v>
      </c>
      <c r="F933" t="inlineStr">
        <is>
          <t>DALARNAS LÄN</t>
        </is>
      </c>
      <c r="G933" t="inlineStr">
        <is>
          <t>FALUN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2029-2026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46035</v>
      </c>
      <c r="E934" s="1" t="n">
        <v>46273</v>
      </c>
      <c r="F934" t="inlineStr">
        <is>
          <t>DALARNAS LÄN</t>
        </is>
      </c>
      <c r="G934" t="inlineStr">
        <is>
          <t>FALUN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2649-2026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46035</v>
      </c>
      <c r="E935" s="1" t="n">
        <v>46273</v>
      </c>
      <c r="F935" t="inlineStr">
        <is>
          <t>DALARNAS LÄN</t>
        </is>
      </c>
      <c r="G935" t="inlineStr">
        <is>
          <t>FALUN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46036</v>
      </c>
      <c r="E936" s="1" t="n">
        <v>46273</v>
      </c>
      <c r="F936" t="inlineStr">
        <is>
          <t>DALARNAS LÄN</t>
        </is>
      </c>
      <c r="G936" t="inlineStr">
        <is>
          <t>FALUN</t>
        </is>
      </c>
      <c r="I936" t="n">
        <v>11.5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2165-2026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46036</v>
      </c>
      <c r="E937" s="1" t="n">
        <v>46273</v>
      </c>
      <c r="F937" t="inlineStr">
        <is>
          <t>DALARNAS LÄN</t>
        </is>
      </c>
      <c r="G937" t="inlineStr">
        <is>
          <t>FALUN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2011-2026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46035</v>
      </c>
      <c r="E938" s="1" t="n">
        <v>46273</v>
      </c>
      <c r="F938" t="inlineStr">
        <is>
          <t>DALARNAS LÄN</t>
        </is>
      </c>
      <c r="G938" t="inlineStr">
        <is>
          <t>FALUN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2021-2026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46035</v>
      </c>
      <c r="E939" s="1" t="n">
        <v>46273</v>
      </c>
      <c r="F939" t="inlineStr">
        <is>
          <t>DALARNAS LÄN</t>
        </is>
      </c>
      <c r="G939" t="inlineStr">
        <is>
          <t>FALUN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2764-2026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46036</v>
      </c>
      <c r="E940" s="1" t="n">
        <v>46273</v>
      </c>
      <c r="F940" t="inlineStr">
        <is>
          <t>DALARNAS LÄN</t>
        </is>
      </c>
      <c r="G940" t="inlineStr">
        <is>
          <t>FALUN</t>
        </is>
      </c>
      <c r="I940" t="n">
        <v>4.4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1803-2026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46035</v>
      </c>
      <c r="E941" s="1" t="n">
        <v>46273</v>
      </c>
      <c r="F941" t="inlineStr">
        <is>
          <t>DALARNAS LÄN</t>
        </is>
      </c>
      <c r="G941" t="inlineStr">
        <is>
          <t>FALUN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51135-2024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45603</v>
      </c>
      <c r="E942" s="1" t="n">
        <v>46273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2018-2026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46035</v>
      </c>
      <c r="E943" s="1" t="n">
        <v>46273</v>
      </c>
      <c r="F943" t="inlineStr">
        <is>
          <t>DALARNAS LÄN</t>
        </is>
      </c>
      <c r="G943" t="inlineStr">
        <is>
          <t>FALUN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2020-2026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46035</v>
      </c>
      <c r="E944" s="1" t="n">
        <v>46273</v>
      </c>
      <c r="F944" t="inlineStr">
        <is>
          <t>DALARNAS LÄN</t>
        </is>
      </c>
      <c r="G944" t="inlineStr">
        <is>
          <t>FALUN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2022-2026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46035</v>
      </c>
      <c r="E945" s="1" t="n">
        <v>46273</v>
      </c>
      <c r="F945" t="inlineStr">
        <is>
          <t>DALARNAS LÄN</t>
        </is>
      </c>
      <c r="G945" t="inlineStr">
        <is>
          <t>FALUN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1932-2026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46035</v>
      </c>
      <c r="E946" s="1" t="n">
        <v>46273</v>
      </c>
      <c r="F946" t="inlineStr">
        <is>
          <t>DALARNAS LÄN</t>
        </is>
      </c>
      <c r="G946" t="inlineStr">
        <is>
          <t>FALUN</t>
        </is>
      </c>
      <c r="I946" t="n">
        <v>26.7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2240-2026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46036</v>
      </c>
      <c r="E947" s="1" t="n">
        <v>46273</v>
      </c>
      <c r="F947" t="inlineStr">
        <is>
          <t>DALARNAS LÄN</t>
        </is>
      </c>
      <c r="G947" t="inlineStr">
        <is>
          <t>FALUN</t>
        </is>
      </c>
      <c r="I947" t="n">
        <v>9.199999999999999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2262-2026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46273</v>
      </c>
      <c r="F948" t="inlineStr">
        <is>
          <t>DALARNAS LÄN</t>
        </is>
      </c>
      <c r="G948" t="inlineStr">
        <is>
          <t>FALUN</t>
        </is>
      </c>
      <c r="I948" t="n">
        <v>10.7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2381-2026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46036</v>
      </c>
      <c r="E949" s="1" t="n">
        <v>46273</v>
      </c>
      <c r="F949" t="inlineStr">
        <is>
          <t>DALARNAS LÄN</t>
        </is>
      </c>
      <c r="G949" t="inlineStr">
        <is>
          <t>FALUN</t>
        </is>
      </c>
      <c r="I949" t="n">
        <v>8.800000000000001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46036</v>
      </c>
      <c r="E950" s="1" t="n">
        <v>46273</v>
      </c>
      <c r="F950" t="inlineStr">
        <is>
          <t>DALARNAS LÄN</t>
        </is>
      </c>
      <c r="G950" t="inlineStr">
        <is>
          <t>FALUN</t>
        </is>
      </c>
      <c r="I950" t="n">
        <v>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46959-2023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45201</v>
      </c>
      <c r="E951" s="1" t="n">
        <v>46273</v>
      </c>
      <c r="F951" t="inlineStr">
        <is>
          <t>DALARNAS LÄN</t>
        </is>
      </c>
      <c r="G951" t="inlineStr">
        <is>
          <t>FALUN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2237-2026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46036</v>
      </c>
      <c r="E952" s="1" t="n">
        <v>46273</v>
      </c>
      <c r="F952" t="inlineStr">
        <is>
          <t>DALARNAS LÄN</t>
        </is>
      </c>
      <c r="G952" t="inlineStr">
        <is>
          <t>FALUN</t>
        </is>
      </c>
      <c r="I952" t="n">
        <v>4.5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2013-2026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46035</v>
      </c>
      <c r="E953" s="1" t="n">
        <v>46273</v>
      </c>
      <c r="F953" t="inlineStr">
        <is>
          <t>DALARNAS LÄN</t>
        </is>
      </c>
      <c r="G953" t="inlineStr">
        <is>
          <t>FALUN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2015-2026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46035</v>
      </c>
      <c r="E954" s="1" t="n">
        <v>46273</v>
      </c>
      <c r="F954" t="inlineStr">
        <is>
          <t>DALARNAS LÄN</t>
        </is>
      </c>
      <c r="G954" t="inlineStr">
        <is>
          <t>FALUN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46035</v>
      </c>
      <c r="E955" s="1" t="n">
        <v>46273</v>
      </c>
      <c r="F955" t="inlineStr">
        <is>
          <t>DALARNAS LÄN</t>
        </is>
      </c>
      <c r="G955" t="inlineStr">
        <is>
          <t>FALUN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2273-2026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46036</v>
      </c>
      <c r="E956" s="1" t="n">
        <v>46273</v>
      </c>
      <c r="F956" t="inlineStr">
        <is>
          <t>DALARNAS LÄN</t>
        </is>
      </c>
      <c r="G956" t="inlineStr">
        <is>
          <t>FALUN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2323-2026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46036</v>
      </c>
      <c r="E957" s="1" t="n">
        <v>46273</v>
      </c>
      <c r="F957" t="inlineStr">
        <is>
          <t>DALARNAS LÄN</t>
        </is>
      </c>
      <c r="G957" t="inlineStr">
        <is>
          <t>FALUN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46037</v>
      </c>
      <c r="E958" s="1" t="n">
        <v>46273</v>
      </c>
      <c r="F958" t="inlineStr">
        <is>
          <t>DALARNAS LÄN</t>
        </is>
      </c>
      <c r="G958" t="inlineStr">
        <is>
          <t>FALUN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46037</v>
      </c>
      <c r="E959" s="1" t="n">
        <v>46273</v>
      </c>
      <c r="F959" t="inlineStr">
        <is>
          <t>DALARNAS LÄN</t>
        </is>
      </c>
      <c r="G959" t="inlineStr">
        <is>
          <t>FALUN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46037</v>
      </c>
      <c r="E960" s="1" t="n">
        <v>46273</v>
      </c>
      <c r="F960" t="inlineStr">
        <is>
          <t>DALARNAS LÄN</t>
        </is>
      </c>
      <c r="G960" t="inlineStr">
        <is>
          <t>FALUN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2722-2026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46037</v>
      </c>
      <c r="E961" s="1" t="n">
        <v>46273</v>
      </c>
      <c r="F961" t="inlineStr">
        <is>
          <t>DALARNAS LÄN</t>
        </is>
      </c>
      <c r="G961" t="inlineStr">
        <is>
          <t>FALUN</t>
        </is>
      </c>
      <c r="I961" t="n">
        <v>5.1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46037</v>
      </c>
      <c r="E962" s="1" t="n">
        <v>46273</v>
      </c>
      <c r="F962" t="inlineStr">
        <is>
          <t>DALARNAS LÄN</t>
        </is>
      </c>
      <c r="G962" t="inlineStr">
        <is>
          <t>FALUN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32390-2026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46238</v>
      </c>
      <c r="E963" s="1" t="n">
        <v>46273</v>
      </c>
      <c r="F963" t="inlineStr">
        <is>
          <t>DALARNAS LÄN</t>
        </is>
      </c>
      <c r="G963" t="inlineStr">
        <is>
          <t>FALUN</t>
        </is>
      </c>
      <c r="I963" t="n">
        <v>13.1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46037</v>
      </c>
      <c r="E964" s="1" t="n">
        <v>46273</v>
      </c>
      <c r="F964" t="inlineStr">
        <is>
          <t>DALARNAS LÄN</t>
        </is>
      </c>
      <c r="G964" t="inlineStr">
        <is>
          <t>FALUN</t>
        </is>
      </c>
      <c r="I964" t="n">
        <v>8.4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46037</v>
      </c>
      <c r="E965" s="1" t="n">
        <v>46273</v>
      </c>
      <c r="F965" t="inlineStr">
        <is>
          <t>DALARNAS LÄN</t>
        </is>
      </c>
      <c r="G965" t="inlineStr">
        <is>
          <t>FALUN</t>
        </is>
      </c>
      <c r="I965" t="n">
        <v>11.2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5311-2025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45692</v>
      </c>
      <c r="E966" s="1" t="n">
        <v>46273</v>
      </c>
      <c r="F966" t="inlineStr">
        <is>
          <t>DALARNAS LÄN</t>
        </is>
      </c>
      <c r="G966" t="inlineStr">
        <is>
          <t>FALUN</t>
        </is>
      </c>
      <c r="I966" t="n">
        <v>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46037</v>
      </c>
      <c r="E967" s="1" t="n">
        <v>46273</v>
      </c>
      <c r="F967" t="inlineStr">
        <is>
          <t>DALARNAS LÄN</t>
        </is>
      </c>
      <c r="G967" t="inlineStr">
        <is>
          <t>FALUN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2812-2026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46038</v>
      </c>
      <c r="E968" s="1" t="n">
        <v>46273</v>
      </c>
      <c r="F968" t="inlineStr">
        <is>
          <t>DALARNAS LÄN</t>
        </is>
      </c>
      <c r="G968" t="inlineStr">
        <is>
          <t>FALUN</t>
        </is>
      </c>
      <c r="I968" t="n">
        <v>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3454-2026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46042</v>
      </c>
      <c r="E969" s="1" t="n">
        <v>46273</v>
      </c>
      <c r="F969" t="inlineStr">
        <is>
          <t>DALARNAS LÄN</t>
        </is>
      </c>
      <c r="G969" t="inlineStr">
        <is>
          <t>FALUN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3587-2026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46042</v>
      </c>
      <c r="E970" s="1" t="n">
        <v>46273</v>
      </c>
      <c r="F970" t="inlineStr">
        <is>
          <t>DALARNAS LÄN</t>
        </is>
      </c>
      <c r="G970" t="inlineStr">
        <is>
          <t>FALUN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51958-2024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45607</v>
      </c>
      <c r="E971" s="1" t="n">
        <v>46273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3057-2026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46039</v>
      </c>
      <c r="E972" s="1" t="n">
        <v>46273</v>
      </c>
      <c r="F972" t="inlineStr">
        <is>
          <t>DALARNAS LÄN</t>
        </is>
      </c>
      <c r="G972" t="inlineStr">
        <is>
          <t>FALUN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56481-2024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45625</v>
      </c>
      <c r="E973" s="1" t="n">
        <v>46273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8.199999999999999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3347-2026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46041</v>
      </c>
      <c r="E974" s="1" t="n">
        <v>46273</v>
      </c>
      <c r="F974" t="inlineStr">
        <is>
          <t>DALARNAS LÄN</t>
        </is>
      </c>
      <c r="G974" t="inlineStr">
        <is>
          <t>FALUN</t>
        </is>
      </c>
      <c r="I974" t="n">
        <v>5.9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28911-2026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46199</v>
      </c>
      <c r="E975" s="1" t="n">
        <v>46273</v>
      </c>
      <c r="F975" t="inlineStr">
        <is>
          <t>DALARNAS LÄN</t>
        </is>
      </c>
      <c r="G975" t="inlineStr">
        <is>
          <t>FALUN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3603-2026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46042</v>
      </c>
      <c r="E976" s="1" t="n">
        <v>46273</v>
      </c>
      <c r="F976" t="inlineStr">
        <is>
          <t>DALARNAS LÄN</t>
        </is>
      </c>
      <c r="G976" t="inlineStr">
        <is>
          <t>FALUN</t>
        </is>
      </c>
      <c r="I976" t="n">
        <v>6.7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46042</v>
      </c>
      <c r="E977" s="1" t="n">
        <v>46273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3339-2026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46041</v>
      </c>
      <c r="E978" s="1" t="n">
        <v>46273</v>
      </c>
      <c r="F978" t="inlineStr">
        <is>
          <t>DALARNAS LÄN</t>
        </is>
      </c>
      <c r="G978" t="inlineStr">
        <is>
          <t>FALUN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3085-2026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46040</v>
      </c>
      <c r="E979" s="1" t="n">
        <v>46273</v>
      </c>
      <c r="F979" t="inlineStr">
        <is>
          <t>DALARNAS LÄN</t>
        </is>
      </c>
      <c r="G979" t="inlineStr">
        <is>
          <t>FALUN</t>
        </is>
      </c>
      <c r="I979" t="n">
        <v>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46041</v>
      </c>
      <c r="E980" s="1" t="n">
        <v>46273</v>
      </c>
      <c r="F980" t="inlineStr">
        <is>
          <t>DALARNAS LÄN</t>
        </is>
      </c>
      <c r="G980" t="inlineStr">
        <is>
          <t>FALUN</t>
        </is>
      </c>
      <c r="I980" t="n">
        <v>17.3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3406-2026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46042</v>
      </c>
      <c r="E981" s="1" t="n">
        <v>46273</v>
      </c>
      <c r="F981" t="inlineStr">
        <is>
          <t>DALARNAS LÄN</t>
        </is>
      </c>
      <c r="G981" t="inlineStr">
        <is>
          <t>FALUN</t>
        </is>
      </c>
      <c r="I981" t="n">
        <v>8.4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46273</v>
      </c>
      <c r="F982" t="inlineStr">
        <is>
          <t>DALARNAS LÄN</t>
        </is>
      </c>
      <c r="G982" t="inlineStr">
        <is>
          <t>FALUN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3372-2026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46042</v>
      </c>
      <c r="E983" s="1" t="n">
        <v>46273</v>
      </c>
      <c r="F983" t="inlineStr">
        <is>
          <t>DALARNAS LÄN</t>
        </is>
      </c>
      <c r="G983" t="inlineStr">
        <is>
          <t>FALUN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46041</v>
      </c>
      <c r="E984" s="1" t="n">
        <v>46273</v>
      </c>
      <c r="F984" t="inlineStr">
        <is>
          <t>DALARNAS LÄN</t>
        </is>
      </c>
      <c r="G984" t="inlineStr">
        <is>
          <t>FALUN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3932-2026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46043</v>
      </c>
      <c r="E985" s="1" t="n">
        <v>46273</v>
      </c>
      <c r="F985" t="inlineStr">
        <is>
          <t>DALARNAS LÄN</t>
        </is>
      </c>
      <c r="G985" t="inlineStr">
        <is>
          <t>FALUN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3687-2026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46043</v>
      </c>
      <c r="E986" s="1" t="n">
        <v>46273</v>
      </c>
      <c r="F986" t="inlineStr">
        <is>
          <t>DALARNAS LÄN</t>
        </is>
      </c>
      <c r="G986" t="inlineStr">
        <is>
          <t>FALUN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62334-2025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46005</v>
      </c>
      <c r="E987" s="1" t="n">
        <v>46273</v>
      </c>
      <c r="F987" t="inlineStr">
        <is>
          <t>DALARNAS LÄN</t>
        </is>
      </c>
      <c r="G987" t="inlineStr">
        <is>
          <t>FALUN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46043</v>
      </c>
      <c r="E988" s="1" t="n">
        <v>46273</v>
      </c>
      <c r="F988" t="inlineStr">
        <is>
          <t>DALARNAS LÄN</t>
        </is>
      </c>
      <c r="G988" t="inlineStr">
        <is>
          <t>FALUN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3915-2026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46273</v>
      </c>
      <c r="F989" t="inlineStr">
        <is>
          <t>DALARNAS LÄN</t>
        </is>
      </c>
      <c r="G989" t="inlineStr">
        <is>
          <t>FALUN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3604-2026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46042</v>
      </c>
      <c r="E990" s="1" t="n">
        <v>46273</v>
      </c>
      <c r="F990" t="inlineStr">
        <is>
          <t>DALARNAS LÄN</t>
        </is>
      </c>
      <c r="G990" t="inlineStr">
        <is>
          <t>FALUN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4216-2026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46044</v>
      </c>
      <c r="E991" s="1" t="n">
        <v>46273</v>
      </c>
      <c r="F991" t="inlineStr">
        <is>
          <t>DALARNAS LÄN</t>
        </is>
      </c>
      <c r="G991" t="inlineStr">
        <is>
          <t>FALUN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46043</v>
      </c>
      <c r="E992" s="1" t="n">
        <v>46273</v>
      </c>
      <c r="F992" t="inlineStr">
        <is>
          <t>DALARNAS LÄN</t>
        </is>
      </c>
      <c r="G992" t="inlineStr">
        <is>
          <t>FALUN</t>
        </is>
      </c>
      <c r="I992" t="n">
        <v>11.8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3674-2026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46043</v>
      </c>
      <c r="E993" s="1" t="n">
        <v>46273</v>
      </c>
      <c r="F993" t="inlineStr">
        <is>
          <t>DALARNAS LÄN</t>
        </is>
      </c>
      <c r="G993" t="inlineStr">
        <is>
          <t>FALUN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69306-2021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44531</v>
      </c>
      <c r="E994" s="1" t="n">
        <v>46273</v>
      </c>
      <c r="F994" t="inlineStr">
        <is>
          <t>DALARNAS LÄN</t>
        </is>
      </c>
      <c r="G994" t="inlineStr">
        <is>
          <t>FALUN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9659-2025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45716</v>
      </c>
      <c r="E995" s="1" t="n">
        <v>46273</v>
      </c>
      <c r="F995" t="inlineStr">
        <is>
          <t>DALARNAS LÄN</t>
        </is>
      </c>
      <c r="G995" t="inlineStr">
        <is>
          <t>FALUN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54082-2023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45232</v>
      </c>
      <c r="E996" s="1" t="n">
        <v>46273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3956-2026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46044</v>
      </c>
      <c r="E997" s="1" t="n">
        <v>46273</v>
      </c>
      <c r="F997" t="inlineStr">
        <is>
          <t>DALARNAS LÄN</t>
        </is>
      </c>
      <c r="G997" t="inlineStr">
        <is>
          <t>FALUN</t>
        </is>
      </c>
      <c r="I997" t="n">
        <v>5.2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4068-2026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46043</v>
      </c>
      <c r="E998" s="1" t="n">
        <v>46273</v>
      </c>
      <c r="F998" t="inlineStr">
        <is>
          <t>DALARNAS LÄN</t>
        </is>
      </c>
      <c r="G998" t="inlineStr">
        <is>
          <t>FALUN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3679-2026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46043</v>
      </c>
      <c r="E999" s="1" t="n">
        <v>46273</v>
      </c>
      <c r="F999" t="inlineStr">
        <is>
          <t>DALARNAS LÄN</t>
        </is>
      </c>
      <c r="G999" t="inlineStr">
        <is>
          <t>FALUN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4536-2026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46046</v>
      </c>
      <c r="E1000" s="1" t="n">
        <v>46273</v>
      </c>
      <c r="F1000" t="inlineStr">
        <is>
          <t>DALARNAS LÄN</t>
        </is>
      </c>
      <c r="G1000" t="inlineStr">
        <is>
          <t>FALUN</t>
        </is>
      </c>
      <c r="I1000" t="n">
        <v>4.5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28884-2026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46199</v>
      </c>
      <c r="E1001" s="1" t="n">
        <v>46273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4224-2026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46044</v>
      </c>
      <c r="E1002" s="1" t="n">
        <v>46273</v>
      </c>
      <c r="F1002" t="inlineStr">
        <is>
          <t>DALARNAS LÄN</t>
        </is>
      </c>
      <c r="G1002" t="inlineStr">
        <is>
          <t>FALUN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1307-2025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45667</v>
      </c>
      <c r="E1003" s="1" t="n">
        <v>46273</v>
      </c>
      <c r="F1003" t="inlineStr">
        <is>
          <t>DALARNAS LÄN</t>
        </is>
      </c>
      <c r="G1003" t="inlineStr">
        <is>
          <t>FALUN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2487-2026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46273</v>
      </c>
      <c r="F1004" t="inlineStr">
        <is>
          <t>DALARNAS LÄN</t>
        </is>
      </c>
      <c r="G1004" t="inlineStr">
        <is>
          <t>FALUN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1582-2026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46031</v>
      </c>
      <c r="E1005" s="1" t="n">
        <v>46273</v>
      </c>
      <c r="F1005" t="inlineStr">
        <is>
          <t>DALARNAS LÄN</t>
        </is>
      </c>
      <c r="G1005" t="inlineStr">
        <is>
          <t>FALUN</t>
        </is>
      </c>
      <c r="I1005" t="n">
        <v>5.4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56768-2024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45628</v>
      </c>
      <c r="E1006" s="1" t="n">
        <v>46273</v>
      </c>
      <c r="F1006" t="inlineStr">
        <is>
          <t>DALARNAS LÄN</t>
        </is>
      </c>
      <c r="G1006" t="inlineStr">
        <is>
          <t>FALUN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4792-2026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46273</v>
      </c>
      <c r="F1007" t="inlineStr">
        <is>
          <t>DALARNAS LÄN</t>
        </is>
      </c>
      <c r="G1007" t="inlineStr">
        <is>
          <t>FALUN</t>
        </is>
      </c>
      <c r="I1007" t="n">
        <v>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4738-2026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46048</v>
      </c>
      <c r="E1008" s="1" t="n">
        <v>46273</v>
      </c>
      <c r="F1008" t="inlineStr">
        <is>
          <t>DALARNAS LÄN</t>
        </is>
      </c>
      <c r="G1008" t="inlineStr">
        <is>
          <t>FALUN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1329-2026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46029</v>
      </c>
      <c r="E1009" s="1" t="n">
        <v>46273</v>
      </c>
      <c r="F1009" t="inlineStr">
        <is>
          <t>DALARNAS LÄN</t>
        </is>
      </c>
      <c r="G1009" t="inlineStr">
        <is>
          <t>FALUN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4899-2026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46048</v>
      </c>
      <c r="E1010" s="1" t="n">
        <v>46273</v>
      </c>
      <c r="F1010" t="inlineStr">
        <is>
          <t>DALARNAS LÄN</t>
        </is>
      </c>
      <c r="G1010" t="inlineStr">
        <is>
          <t>FALUN</t>
        </is>
      </c>
      <c r="I1010" t="n">
        <v>10.6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4919-2026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46273</v>
      </c>
      <c r="F1011" t="inlineStr">
        <is>
          <t>DALARNAS LÄN</t>
        </is>
      </c>
      <c r="G1011" t="inlineStr">
        <is>
          <t>FALUN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46048</v>
      </c>
      <c r="E1012" s="1" t="n">
        <v>46273</v>
      </c>
      <c r="F1012" t="inlineStr">
        <is>
          <t>DALARNAS LÄN</t>
        </is>
      </c>
      <c r="G1012" t="inlineStr">
        <is>
          <t>FALUN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4784-2026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46048</v>
      </c>
      <c r="E1013" s="1" t="n">
        <v>46273</v>
      </c>
      <c r="F1013" t="inlineStr">
        <is>
          <t>DALARNAS LÄN</t>
        </is>
      </c>
      <c r="G1013" t="inlineStr">
        <is>
          <t>FALUN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4398-2026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46045</v>
      </c>
      <c r="E1014" s="1" t="n">
        <v>46273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4917-2026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46048</v>
      </c>
      <c r="E1015" s="1" t="n">
        <v>46273</v>
      </c>
      <c r="F1015" t="inlineStr">
        <is>
          <t>DALARNAS LÄN</t>
        </is>
      </c>
      <c r="G1015" t="inlineStr">
        <is>
          <t>FALUN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4918-2026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46048</v>
      </c>
      <c r="E1016" s="1" t="n">
        <v>46273</v>
      </c>
      <c r="F1016" t="inlineStr">
        <is>
          <t>DALARNAS LÄN</t>
        </is>
      </c>
      <c r="G1016" t="inlineStr">
        <is>
          <t>FALUN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4922-2026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46273</v>
      </c>
      <c r="F1017" t="inlineStr">
        <is>
          <t>DALARNAS LÄN</t>
        </is>
      </c>
      <c r="G1017" t="inlineStr">
        <is>
          <t>FALUN</t>
        </is>
      </c>
      <c r="I1017" t="n">
        <v>6.5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4840-2026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46048</v>
      </c>
      <c r="E1018" s="1" t="n">
        <v>46273</v>
      </c>
      <c r="F1018" t="inlineStr">
        <is>
          <t>DALARNAS LÄN</t>
        </is>
      </c>
      <c r="G1018" t="inlineStr">
        <is>
          <t>FALUN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4812-2026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46273</v>
      </c>
      <c r="F1019" t="inlineStr">
        <is>
          <t>DALARNAS LÄN</t>
        </is>
      </c>
      <c r="G1019" t="inlineStr">
        <is>
          <t>FALUN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4825-2026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46048</v>
      </c>
      <c r="E1020" s="1" t="n">
        <v>46273</v>
      </c>
      <c r="F1020" t="inlineStr">
        <is>
          <t>DALARNAS LÄN</t>
        </is>
      </c>
      <c r="G1020" t="inlineStr">
        <is>
          <t>FALUN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9730-2026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46273</v>
      </c>
      <c r="F1021" t="inlineStr">
        <is>
          <t>DALARNAS LÄN</t>
        </is>
      </c>
      <c r="G1021" t="inlineStr">
        <is>
          <t>FALUN</t>
        </is>
      </c>
      <c r="I1021" t="n">
        <v>4.1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46045</v>
      </c>
      <c r="E1022" s="1" t="n">
        <v>46273</v>
      </c>
      <c r="F1022" t="inlineStr">
        <is>
          <t>DALARNAS LÄN</t>
        </is>
      </c>
      <c r="G1022" t="inlineStr">
        <is>
          <t>FALUN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32772-2026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46241</v>
      </c>
      <c r="E1023" s="1" t="n">
        <v>46273</v>
      </c>
      <c r="F1023" t="inlineStr">
        <is>
          <t>DALARNAS LÄN</t>
        </is>
      </c>
      <c r="G1023" t="inlineStr">
        <is>
          <t>FALUN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4322-2026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46273</v>
      </c>
      <c r="F1024" t="inlineStr">
        <is>
          <t>DALARNAS LÄN</t>
        </is>
      </c>
      <c r="G1024" t="inlineStr">
        <is>
          <t>FALUN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4511-2026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46045</v>
      </c>
      <c r="E1025" s="1" t="n">
        <v>46273</v>
      </c>
      <c r="F1025" t="inlineStr">
        <is>
          <t>DALARNAS LÄN</t>
        </is>
      </c>
      <c r="G1025" t="inlineStr">
        <is>
          <t>FALUN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4246-2026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46045</v>
      </c>
      <c r="E1026" s="1" t="n">
        <v>46273</v>
      </c>
      <c r="F1026" t="inlineStr">
        <is>
          <t>DALARNAS LÄN</t>
        </is>
      </c>
      <c r="G1026" t="inlineStr">
        <is>
          <t>FALUN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4517-2026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46045</v>
      </c>
      <c r="E1027" s="1" t="n">
        <v>46273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4883-2026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46048</v>
      </c>
      <c r="E1028" s="1" t="n">
        <v>46273</v>
      </c>
      <c r="F1028" t="inlineStr">
        <is>
          <t>DALARNAS LÄN</t>
        </is>
      </c>
      <c r="G1028" t="inlineStr">
        <is>
          <t>FALUN</t>
        </is>
      </c>
      <c r="I1028" t="n">
        <v>3.6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4894-2026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46048</v>
      </c>
      <c r="E1029" s="1" t="n">
        <v>46273</v>
      </c>
      <c r="F1029" t="inlineStr">
        <is>
          <t>DALARNAS LÄN</t>
        </is>
      </c>
      <c r="G1029" t="inlineStr">
        <is>
          <t>FALUN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43187-2024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45567</v>
      </c>
      <c r="E1030" s="1" t="n">
        <v>46273</v>
      </c>
      <c r="F1030" t="inlineStr">
        <is>
          <t>DALARNAS LÄN</t>
        </is>
      </c>
      <c r="G1030" t="inlineStr">
        <is>
          <t>FALUN</t>
        </is>
      </c>
      <c r="I1030" t="n">
        <v>0.2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46049</v>
      </c>
      <c r="E1031" s="1" t="n">
        <v>46273</v>
      </c>
      <c r="F1031" t="inlineStr">
        <is>
          <t>DALARNAS LÄN</t>
        </is>
      </c>
      <c r="G1031" t="inlineStr">
        <is>
          <t>FALUN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5001-2026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46049</v>
      </c>
      <c r="E1032" s="1" t="n">
        <v>46273</v>
      </c>
      <c r="F1032" t="inlineStr">
        <is>
          <t>DALARNAS LÄN</t>
        </is>
      </c>
      <c r="G1032" t="inlineStr">
        <is>
          <t>FALUN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5017-2026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46049</v>
      </c>
      <c r="E1033" s="1" t="n">
        <v>46273</v>
      </c>
      <c r="F1033" t="inlineStr">
        <is>
          <t>DALARNAS LÄN</t>
        </is>
      </c>
      <c r="G1033" t="inlineStr">
        <is>
          <t>FALUN</t>
        </is>
      </c>
      <c r="I1033" t="n">
        <v>6.8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4971-2026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46273</v>
      </c>
      <c r="F1034" t="inlineStr">
        <is>
          <t>DALARNAS LÄN</t>
        </is>
      </c>
      <c r="G1034" t="inlineStr">
        <is>
          <t>FALUN</t>
        </is>
      </c>
      <c r="I1034" t="n">
        <v>7.7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5244-2026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46273</v>
      </c>
      <c r="F1035" t="inlineStr">
        <is>
          <t>DALARNAS LÄN</t>
        </is>
      </c>
      <c r="G1035" t="inlineStr">
        <is>
          <t>FALUN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28663-2026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46198</v>
      </c>
      <c r="E1036" s="1" t="n">
        <v>46273</v>
      </c>
      <c r="F1036" t="inlineStr">
        <is>
          <t>DALARNAS LÄN</t>
        </is>
      </c>
      <c r="G1036" t="inlineStr">
        <is>
          <t>FALUN</t>
        </is>
      </c>
      <c r="I1036" t="n">
        <v>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5141-2026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46049</v>
      </c>
      <c r="E1037" s="1" t="n">
        <v>46273</v>
      </c>
      <c r="F1037" t="inlineStr">
        <is>
          <t>DALARNAS LÄN</t>
        </is>
      </c>
      <c r="G1037" t="inlineStr">
        <is>
          <t>FALUN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5012-2026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46273</v>
      </c>
      <c r="F1038" t="inlineStr">
        <is>
          <t>DALARNAS LÄN</t>
        </is>
      </c>
      <c r="G1038" t="inlineStr">
        <is>
          <t>FALUN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4985-2026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46273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5139-2026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46273</v>
      </c>
      <c r="F1040" t="inlineStr">
        <is>
          <t>DALARNAS LÄN</t>
        </is>
      </c>
      <c r="G1040" t="inlineStr">
        <is>
          <t>FALUN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53090-2024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45611</v>
      </c>
      <c r="E1041" s="1" t="n">
        <v>46273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8.300000000000001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5363-2026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46050</v>
      </c>
      <c r="E1042" s="1" t="n">
        <v>46273</v>
      </c>
      <c r="F1042" t="inlineStr">
        <is>
          <t>DALARNAS LÄN</t>
        </is>
      </c>
      <c r="G1042" t="inlineStr">
        <is>
          <t>FALUN</t>
        </is>
      </c>
      <c r="H1042" t="inlineStr">
        <is>
          <t>Kommuner</t>
        </is>
      </c>
      <c r="I1042" t="n">
        <v>6.5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27885-2023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45098</v>
      </c>
      <c r="E1043" s="1" t="n">
        <v>46273</v>
      </c>
      <c r="F1043" t="inlineStr">
        <is>
          <t>DALARNAS LÄN</t>
        </is>
      </c>
      <c r="G1043" t="inlineStr">
        <is>
          <t>FALUN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5019-2026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46049</v>
      </c>
      <c r="E1044" s="1" t="n">
        <v>46273</v>
      </c>
      <c r="F1044" t="inlineStr">
        <is>
          <t>DALARNAS LÄN</t>
        </is>
      </c>
      <c r="G1044" t="inlineStr">
        <is>
          <t>FALUN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29218-2026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46202</v>
      </c>
      <c r="E1045" s="1" t="n">
        <v>46273</v>
      </c>
      <c r="F1045" t="inlineStr">
        <is>
          <t>DALARNAS LÄN</t>
        </is>
      </c>
      <c r="G1045" t="inlineStr">
        <is>
          <t>FALUN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46025</v>
      </c>
      <c r="E1046" s="1" t="n">
        <v>46273</v>
      </c>
      <c r="F1046" t="inlineStr">
        <is>
          <t>DALARNAS LÄN</t>
        </is>
      </c>
      <c r="G1046" t="inlineStr">
        <is>
          <t>FALUN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5486-2026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46050</v>
      </c>
      <c r="E1047" s="1" t="n">
        <v>46273</v>
      </c>
      <c r="F1047" t="inlineStr">
        <is>
          <t>DALARNAS LÄN</t>
        </is>
      </c>
      <c r="G1047" t="inlineStr">
        <is>
          <t>FALUN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46049</v>
      </c>
      <c r="E1048" s="1" t="n">
        <v>46273</v>
      </c>
      <c r="F1048" t="inlineStr">
        <is>
          <t>DALARNAS LÄN</t>
        </is>
      </c>
      <c r="G1048" t="inlineStr">
        <is>
          <t>FALUN</t>
        </is>
      </c>
      <c r="I1048" t="n">
        <v>8.300000000000001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5071-2026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46049</v>
      </c>
      <c r="E1049" s="1" t="n">
        <v>46273</v>
      </c>
      <c r="F1049" t="inlineStr">
        <is>
          <t>DALARNAS LÄN</t>
        </is>
      </c>
      <c r="G1049" t="inlineStr">
        <is>
          <t>FALUN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5916-2026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46052</v>
      </c>
      <c r="E1050" s="1" t="n">
        <v>46273</v>
      </c>
      <c r="F1050" t="inlineStr">
        <is>
          <t>DALARNAS LÄN</t>
        </is>
      </c>
      <c r="G1050" t="inlineStr">
        <is>
          <t>FALUN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5734-2026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46051</v>
      </c>
      <c r="E1051" s="1" t="n">
        <v>46273</v>
      </c>
      <c r="F1051" t="inlineStr">
        <is>
          <t>DALARNAS LÄN</t>
        </is>
      </c>
      <c r="G1051" t="inlineStr">
        <is>
          <t>FALUN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5695-2026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46051</v>
      </c>
      <c r="E1052" s="1" t="n">
        <v>46273</v>
      </c>
      <c r="F1052" t="inlineStr">
        <is>
          <t>DALARNAS LÄN</t>
        </is>
      </c>
      <c r="G1052" t="inlineStr">
        <is>
          <t>FALUN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6609-2026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46052</v>
      </c>
      <c r="E1053" s="1" t="n">
        <v>46273</v>
      </c>
      <c r="F1053" t="inlineStr">
        <is>
          <t>DALARNAS LÄN</t>
        </is>
      </c>
      <c r="G1053" t="inlineStr">
        <is>
          <t>FALUN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15100-2026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46105</v>
      </c>
      <c r="E1054" s="1" t="n">
        <v>46273</v>
      </c>
      <c r="F1054" t="inlineStr">
        <is>
          <t>DALARNAS LÄN</t>
        </is>
      </c>
      <c r="G1054" t="inlineStr">
        <is>
          <t>FALUN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5921-2026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46052</v>
      </c>
      <c r="E1055" s="1" t="n">
        <v>46273</v>
      </c>
      <c r="F1055" t="inlineStr">
        <is>
          <t>DALARNAS LÄN</t>
        </is>
      </c>
      <c r="G1055" t="inlineStr">
        <is>
          <t>FALUN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6607-2026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46052</v>
      </c>
      <c r="E1056" s="1" t="n">
        <v>46273</v>
      </c>
      <c r="F1056" t="inlineStr">
        <is>
          <t>DALARNAS LÄN</t>
        </is>
      </c>
      <c r="G1056" t="inlineStr">
        <is>
          <t>FALUN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19903-2022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44697</v>
      </c>
      <c r="E1057" s="1" t="n">
        <v>46273</v>
      </c>
      <c r="F1057" t="inlineStr">
        <is>
          <t>DALARNAS LÄN</t>
        </is>
      </c>
      <c r="G1057" t="inlineStr">
        <is>
          <t>FALUN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6029-2026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46052</v>
      </c>
      <c r="E1058" s="1" t="n">
        <v>46273</v>
      </c>
      <c r="F1058" t="inlineStr">
        <is>
          <t>DALARNAS LÄN</t>
        </is>
      </c>
      <c r="G1058" t="inlineStr">
        <is>
          <t>FALUN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5770-2026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46051</v>
      </c>
      <c r="E1059" s="1" t="n">
        <v>46273</v>
      </c>
      <c r="F1059" t="inlineStr">
        <is>
          <t>DALARNAS LÄN</t>
        </is>
      </c>
      <c r="G1059" t="inlineStr">
        <is>
          <t>FALUN</t>
        </is>
      </c>
      <c r="I1059" t="n">
        <v>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5913-2026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46052</v>
      </c>
      <c r="E1060" s="1" t="n">
        <v>46273</v>
      </c>
      <c r="F1060" t="inlineStr">
        <is>
          <t>DALARNAS LÄN</t>
        </is>
      </c>
      <c r="G1060" t="inlineStr">
        <is>
          <t>FALUN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42953-2022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44833</v>
      </c>
      <c r="E1061" s="1" t="n">
        <v>46273</v>
      </c>
      <c r="F1061" t="inlineStr">
        <is>
          <t>DALARNAS LÄN</t>
        </is>
      </c>
      <c r="G1061" t="inlineStr">
        <is>
          <t>FALUN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6022-2026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46052</v>
      </c>
      <c r="E1062" s="1" t="n">
        <v>46273</v>
      </c>
      <c r="F1062" t="inlineStr">
        <is>
          <t>DALARNAS LÄN</t>
        </is>
      </c>
      <c r="G1062" t="inlineStr">
        <is>
          <t>FALUN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5902-2026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46052</v>
      </c>
      <c r="E1063" s="1" t="n">
        <v>46273</v>
      </c>
      <c r="F1063" t="inlineStr">
        <is>
          <t>DALARNAS LÄN</t>
        </is>
      </c>
      <c r="G1063" t="inlineStr">
        <is>
          <t>FALUN</t>
        </is>
      </c>
      <c r="I1063" t="n">
        <v>18.9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6231-2026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46055</v>
      </c>
      <c r="E1064" s="1" t="n">
        <v>46273</v>
      </c>
      <c r="F1064" t="inlineStr">
        <is>
          <t>DALARNAS LÄN</t>
        </is>
      </c>
      <c r="G1064" t="inlineStr">
        <is>
          <t>FALUN</t>
        </is>
      </c>
      <c r="I1064" t="n">
        <v>6.1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6435-2026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46055</v>
      </c>
      <c r="E1065" s="1" t="n">
        <v>46273</v>
      </c>
      <c r="F1065" t="inlineStr">
        <is>
          <t>DALARNAS LÄN</t>
        </is>
      </c>
      <c r="G1065" t="inlineStr">
        <is>
          <t>FALUN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6552-2026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46273</v>
      </c>
      <c r="F1066" t="inlineStr">
        <is>
          <t>DALARNAS LÄN</t>
        </is>
      </c>
      <c r="G1066" t="inlineStr">
        <is>
          <t>FALUN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6284-2026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46055</v>
      </c>
      <c r="E1067" s="1" t="n">
        <v>46273</v>
      </c>
      <c r="F1067" t="inlineStr">
        <is>
          <t>DALARNAS LÄN</t>
        </is>
      </c>
      <c r="G1067" t="inlineStr">
        <is>
          <t>FALUN</t>
        </is>
      </c>
      <c r="I1067" t="n">
        <v>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6229-2026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46055</v>
      </c>
      <c r="E1068" s="1" t="n">
        <v>46273</v>
      </c>
      <c r="F1068" t="inlineStr">
        <is>
          <t>DALARNAS LÄN</t>
        </is>
      </c>
      <c r="G1068" t="inlineStr">
        <is>
          <t>FALUN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6515-2026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46056</v>
      </c>
      <c r="E1069" s="1" t="n">
        <v>46273</v>
      </c>
      <c r="F1069" t="inlineStr">
        <is>
          <t>DALARNAS LÄN</t>
        </is>
      </c>
      <c r="G1069" t="inlineStr">
        <is>
          <t>FALUN</t>
        </is>
      </c>
      <c r="I1069" t="n">
        <v>27.4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6568-2026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46056</v>
      </c>
      <c r="E1070" s="1" t="n">
        <v>46273</v>
      </c>
      <c r="F1070" t="inlineStr">
        <is>
          <t>DALARNAS LÄN</t>
        </is>
      </c>
      <c r="G1070" t="inlineStr">
        <is>
          <t>FALUN</t>
        </is>
      </c>
      <c r="I1070" t="n">
        <v>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6604-2026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46056</v>
      </c>
      <c r="E1071" s="1" t="n">
        <v>46273</v>
      </c>
      <c r="F1071" t="inlineStr">
        <is>
          <t>DALARNAS LÄN</t>
        </is>
      </c>
      <c r="G1071" t="inlineStr">
        <is>
          <t>FALUN</t>
        </is>
      </c>
      <c r="I1071" t="n">
        <v>3.5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35903-2023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45148</v>
      </c>
      <c r="E1072" s="1" t="n">
        <v>46273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6736-2026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46056</v>
      </c>
      <c r="E1073" s="1" t="n">
        <v>46273</v>
      </c>
      <c r="F1073" t="inlineStr">
        <is>
          <t>DALARNAS LÄN</t>
        </is>
      </c>
      <c r="G1073" t="inlineStr">
        <is>
          <t>FALUN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6213-2026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46055</v>
      </c>
      <c r="E1074" s="1" t="n">
        <v>46273</v>
      </c>
      <c r="F1074" t="inlineStr">
        <is>
          <t>DALARNAS LÄN</t>
        </is>
      </c>
      <c r="G1074" t="inlineStr">
        <is>
          <t>FALUN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29210-2026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46202</v>
      </c>
      <c r="E1075" s="1" t="n">
        <v>46273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6703-2026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46056</v>
      </c>
      <c r="E1076" s="1" t="n">
        <v>46273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29217-2026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46202</v>
      </c>
      <c r="E1077" s="1" t="n">
        <v>46273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6573-2026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46273</v>
      </c>
      <c r="F1078" t="inlineStr">
        <is>
          <t>DALARNAS LÄN</t>
        </is>
      </c>
      <c r="G1078" t="inlineStr">
        <is>
          <t>FALUN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6955-2026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46056</v>
      </c>
      <c r="E1079" s="1" t="n">
        <v>46273</v>
      </c>
      <c r="F1079" t="inlineStr">
        <is>
          <t>DALARNAS LÄN</t>
        </is>
      </c>
      <c r="G1079" t="inlineStr">
        <is>
          <t>FALUN</t>
        </is>
      </c>
      <c r="H1079" t="inlineStr">
        <is>
          <t>Allmännings- och besparingsskogar</t>
        </is>
      </c>
      <c r="I1079" t="n">
        <v>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6159-2026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46055</v>
      </c>
      <c r="E1080" s="1" t="n">
        <v>46273</v>
      </c>
      <c r="F1080" t="inlineStr">
        <is>
          <t>DALARNAS LÄN</t>
        </is>
      </c>
      <c r="G1080" t="inlineStr">
        <is>
          <t>FALUN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6556-2026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46273</v>
      </c>
      <c r="F1081" t="inlineStr">
        <is>
          <t>DALARNAS LÄN</t>
        </is>
      </c>
      <c r="G1081" t="inlineStr">
        <is>
          <t>FALUN</t>
        </is>
      </c>
      <c r="I1081" t="n">
        <v>17.2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7293-2026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46058</v>
      </c>
      <c r="E1082" s="1" t="n">
        <v>46273</v>
      </c>
      <c r="F1082" t="inlineStr">
        <is>
          <t>DALARNAS LÄN</t>
        </is>
      </c>
      <c r="G1082" t="inlineStr">
        <is>
          <t>FALUN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55542-2023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45238</v>
      </c>
      <c r="E1083" s="1" t="n">
        <v>46273</v>
      </c>
      <c r="F1083" t="inlineStr">
        <is>
          <t>DALARNAS LÄN</t>
        </is>
      </c>
      <c r="G1083" t="inlineStr">
        <is>
          <t>FALUN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56557-2024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45625</v>
      </c>
      <c r="E1084" s="1" t="n">
        <v>46273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15.8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6756-2026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46056</v>
      </c>
      <c r="E1085" s="1" t="n">
        <v>46273</v>
      </c>
      <c r="F1085" t="inlineStr">
        <is>
          <t>DALARNAS LÄN</t>
        </is>
      </c>
      <c r="G1085" t="inlineStr">
        <is>
          <t>FALUN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6754-2026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46056</v>
      </c>
      <c r="E1086" s="1" t="n">
        <v>46273</v>
      </c>
      <c r="F1086" t="inlineStr">
        <is>
          <t>DALARNAS LÄN</t>
        </is>
      </c>
      <c r="G1086" t="inlineStr">
        <is>
          <t>FALUN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7314-2026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46058</v>
      </c>
      <c r="E1087" s="1" t="n">
        <v>46273</v>
      </c>
      <c r="F1087" t="inlineStr">
        <is>
          <t>DALARNAS LÄN</t>
        </is>
      </c>
      <c r="G1087" t="inlineStr">
        <is>
          <t>FALUN</t>
        </is>
      </c>
      <c r="I1087" t="n">
        <v>7.1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7218-2026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46058</v>
      </c>
      <c r="E1088" s="1" t="n">
        <v>46273</v>
      </c>
      <c r="F1088" t="inlineStr">
        <is>
          <t>DALARNAS LÄN</t>
        </is>
      </c>
      <c r="G1088" t="inlineStr">
        <is>
          <t>FALUN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7055-2026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46057</v>
      </c>
      <c r="E1089" s="1" t="n">
        <v>46273</v>
      </c>
      <c r="F1089" t="inlineStr">
        <is>
          <t>DALARNAS LÄN</t>
        </is>
      </c>
      <c r="G1089" t="inlineStr">
        <is>
          <t>FALUN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6974-2026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46057</v>
      </c>
      <c r="E1090" s="1" t="n">
        <v>46273</v>
      </c>
      <c r="F1090" t="inlineStr">
        <is>
          <t>DALARNAS LÄN</t>
        </is>
      </c>
      <c r="G1090" t="inlineStr">
        <is>
          <t>FALUN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6985-2026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46057</v>
      </c>
      <c r="E1091" s="1" t="n">
        <v>46273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24.1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29295-2026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46202</v>
      </c>
      <c r="E1092" s="1" t="n">
        <v>46273</v>
      </c>
      <c r="F1092" t="inlineStr">
        <is>
          <t>DALARNAS LÄN</t>
        </is>
      </c>
      <c r="G1092" t="inlineStr">
        <is>
          <t>FALUN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33299-2026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46246</v>
      </c>
      <c r="E1093" s="1" t="n">
        <v>46273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13973-2026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46273</v>
      </c>
      <c r="F1094" t="inlineStr">
        <is>
          <t>DALARNAS LÄN</t>
        </is>
      </c>
      <c r="G1094" t="inlineStr">
        <is>
          <t>FALUN</t>
        </is>
      </c>
      <c r="I1094" t="n">
        <v>12.3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6931-2026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46057</v>
      </c>
      <c r="E1095" s="1" t="n">
        <v>46273</v>
      </c>
      <c r="F1095" t="inlineStr">
        <is>
          <t>DALARNAS LÄN</t>
        </is>
      </c>
      <c r="G1095" t="inlineStr">
        <is>
          <t>FALUN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48246-2023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45205</v>
      </c>
      <c r="E1096" s="1" t="n">
        <v>46273</v>
      </c>
      <c r="F1096" t="inlineStr">
        <is>
          <t>DALARNAS LÄN</t>
        </is>
      </c>
      <c r="G1096" t="inlineStr">
        <is>
          <t>FALUN</t>
        </is>
      </c>
      <c r="I1096" t="n">
        <v>4.5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37049-2023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45155</v>
      </c>
      <c r="E1097" s="1" t="n">
        <v>46273</v>
      </c>
      <c r="F1097" t="inlineStr">
        <is>
          <t>DALARNAS LÄN</t>
        </is>
      </c>
      <c r="G1097" t="inlineStr">
        <is>
          <t>FALUN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7696-2026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46062</v>
      </c>
      <c r="E1098" s="1" t="n">
        <v>46273</v>
      </c>
      <c r="F1098" t="inlineStr">
        <is>
          <t>DALARNAS LÄN</t>
        </is>
      </c>
      <c r="G1098" t="inlineStr">
        <is>
          <t>FALUN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7493-2026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46059</v>
      </c>
      <c r="E1099" s="1" t="n">
        <v>46273</v>
      </c>
      <c r="F1099" t="inlineStr">
        <is>
          <t>DALARNAS LÄN</t>
        </is>
      </c>
      <c r="G1099" t="inlineStr">
        <is>
          <t>FALUN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33596-2026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46248</v>
      </c>
      <c r="E1100" s="1" t="n">
        <v>46273</v>
      </c>
      <c r="F1100" t="inlineStr">
        <is>
          <t>DALARNAS LÄN</t>
        </is>
      </c>
      <c r="G1100" t="inlineStr">
        <is>
          <t>FALUN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47685-2023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45203</v>
      </c>
      <c r="E1101" s="1" t="n">
        <v>46273</v>
      </c>
      <c r="F1101" t="inlineStr">
        <is>
          <t>DALARNAS LÄN</t>
        </is>
      </c>
      <c r="G1101" t="inlineStr">
        <is>
          <t>FALUN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42954-2023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45182</v>
      </c>
      <c r="E1102" s="1" t="n">
        <v>46273</v>
      </c>
      <c r="F1102" t="inlineStr">
        <is>
          <t>DALARNAS LÄN</t>
        </is>
      </c>
      <c r="G1102" t="inlineStr">
        <is>
          <t>FALUN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3657-2026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46043</v>
      </c>
      <c r="E1103" s="1" t="n">
        <v>46273</v>
      </c>
      <c r="F1103" t="inlineStr">
        <is>
          <t>DALARNAS LÄN</t>
        </is>
      </c>
      <c r="G1103" t="inlineStr">
        <is>
          <t>FALUN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7587-2025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45705</v>
      </c>
      <c r="E1104" s="1" t="n">
        <v>46273</v>
      </c>
      <c r="F1104" t="inlineStr">
        <is>
          <t>DALARNAS LÄN</t>
        </is>
      </c>
      <c r="G1104" t="inlineStr">
        <is>
          <t>FALUN</t>
        </is>
      </c>
      <c r="I1104" t="n">
        <v>2.8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43030-2023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45182</v>
      </c>
      <c r="E1105" s="1" t="n">
        <v>46273</v>
      </c>
      <c r="F1105" t="inlineStr">
        <is>
          <t>DALARNAS LÄN</t>
        </is>
      </c>
      <c r="G1105" t="inlineStr">
        <is>
          <t>FALUN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7857-2026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46062</v>
      </c>
      <c r="E1106" s="1" t="n">
        <v>46273</v>
      </c>
      <c r="F1106" t="inlineStr">
        <is>
          <t>DALARNAS LÄN</t>
        </is>
      </c>
      <c r="G1106" t="inlineStr">
        <is>
          <t>FALUN</t>
        </is>
      </c>
      <c r="I1106" t="n">
        <v>4.6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7476-2026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46059</v>
      </c>
      <c r="E1107" s="1" t="n">
        <v>46273</v>
      </c>
      <c r="F1107" t="inlineStr">
        <is>
          <t>DALARNAS LÄN</t>
        </is>
      </c>
      <c r="G1107" t="inlineStr">
        <is>
          <t>FALUN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8161-2026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46064</v>
      </c>
      <c r="E1108" s="1" t="n">
        <v>46273</v>
      </c>
      <c r="F1108" t="inlineStr">
        <is>
          <t>DALARNAS LÄN</t>
        </is>
      </c>
      <c r="G1108" t="inlineStr">
        <is>
          <t>FALUN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4799-2026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46273</v>
      </c>
      <c r="F1109" t="inlineStr">
        <is>
          <t>DALARNAS LÄN</t>
        </is>
      </c>
      <c r="G1109" t="inlineStr">
        <is>
          <t>FALUN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24640-2024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45460</v>
      </c>
      <c r="E1110" s="1" t="n">
        <v>46273</v>
      </c>
      <c r="F1110" t="inlineStr">
        <is>
          <t>DALARNAS LÄN</t>
        </is>
      </c>
      <c r="G1110" t="inlineStr">
        <is>
          <t>FALUN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7965-2026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46063</v>
      </c>
      <c r="E1111" s="1" t="n">
        <v>46273</v>
      </c>
      <c r="F1111" t="inlineStr">
        <is>
          <t>DALARNAS LÄN</t>
        </is>
      </c>
      <c r="G1111" t="inlineStr">
        <is>
          <t>FALUN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7967-2026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46063</v>
      </c>
      <c r="E1112" s="1" t="n">
        <v>46273</v>
      </c>
      <c r="F1112" t="inlineStr">
        <is>
          <t>DALARNAS LÄN</t>
        </is>
      </c>
      <c r="G1112" t="inlineStr">
        <is>
          <t>FALUN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29884-2026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46205</v>
      </c>
      <c r="E1113" s="1" t="n">
        <v>46273</v>
      </c>
      <c r="F1113" t="inlineStr">
        <is>
          <t>DALARNAS LÄN</t>
        </is>
      </c>
      <c r="G1113" t="inlineStr">
        <is>
          <t>FALUN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8626-2026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46066</v>
      </c>
      <c r="E1114" s="1" t="n">
        <v>46273</v>
      </c>
      <c r="F1114" t="inlineStr">
        <is>
          <t>DALARNAS LÄN</t>
        </is>
      </c>
      <c r="G1114" t="inlineStr">
        <is>
          <t>FALUN</t>
        </is>
      </c>
      <c r="I1114" t="n">
        <v>5.8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8599-2026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46065</v>
      </c>
      <c r="E1115" s="1" t="n">
        <v>46273</v>
      </c>
      <c r="F1115" t="inlineStr">
        <is>
          <t>DALARNAS LÄN</t>
        </is>
      </c>
      <c r="G1115" t="inlineStr">
        <is>
          <t>FALUN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8821-2026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46066</v>
      </c>
      <c r="E1116" s="1" t="n">
        <v>46273</v>
      </c>
      <c r="F1116" t="inlineStr">
        <is>
          <t>DALARNAS LÄN</t>
        </is>
      </c>
      <c r="G1116" t="inlineStr">
        <is>
          <t>FALUN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8760-2026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46066</v>
      </c>
      <c r="E1117" s="1" t="n">
        <v>46273</v>
      </c>
      <c r="F1117" t="inlineStr">
        <is>
          <t>DALARNAS LÄN</t>
        </is>
      </c>
      <c r="G1117" t="inlineStr">
        <is>
          <t>FALUN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8808-2026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46066</v>
      </c>
      <c r="E1118" s="1" t="n">
        <v>46273</v>
      </c>
      <c r="F1118" t="inlineStr">
        <is>
          <t>DALARNAS LÄN</t>
        </is>
      </c>
      <c r="G1118" t="inlineStr">
        <is>
          <t>FALUN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27495-2022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44742</v>
      </c>
      <c r="E1119" s="1" t="n">
        <v>46273</v>
      </c>
      <c r="F1119" t="inlineStr">
        <is>
          <t>DALARNAS LÄN</t>
        </is>
      </c>
      <c r="G1119" t="inlineStr">
        <is>
          <t>FALUN</t>
        </is>
      </c>
      <c r="H1119" t="inlineStr">
        <is>
          <t>Kyrkan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8797-2026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46066</v>
      </c>
      <c r="E1120" s="1" t="n">
        <v>46273</v>
      </c>
      <c r="F1120" t="inlineStr">
        <is>
          <t>DALARNAS LÄN</t>
        </is>
      </c>
      <c r="G1120" t="inlineStr">
        <is>
          <t>FALUN</t>
        </is>
      </c>
      <c r="I1120" t="n">
        <v>6.3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8770-2026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46066</v>
      </c>
      <c r="E1121" s="1" t="n">
        <v>46273</v>
      </c>
      <c r="F1121" t="inlineStr">
        <is>
          <t>DALARNAS LÄN</t>
        </is>
      </c>
      <c r="G1121" t="inlineStr">
        <is>
          <t>FALUN</t>
        </is>
      </c>
      <c r="I1121" t="n">
        <v>4.2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8409-2026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46065</v>
      </c>
      <c r="E1122" s="1" t="n">
        <v>46273</v>
      </c>
      <c r="F1122" t="inlineStr">
        <is>
          <t>DALARNAS LÄN</t>
        </is>
      </c>
      <c r="G1122" t="inlineStr">
        <is>
          <t>FALUN</t>
        </is>
      </c>
      <c r="I1122" t="n">
        <v>11.1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8589-2026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46065</v>
      </c>
      <c r="E1123" s="1" t="n">
        <v>46273</v>
      </c>
      <c r="F1123" t="inlineStr">
        <is>
          <t>DALARNAS LÄN</t>
        </is>
      </c>
      <c r="G1123" t="inlineStr">
        <is>
          <t>FALUN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8904-2026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46068</v>
      </c>
      <c r="E1124" s="1" t="n">
        <v>46273</v>
      </c>
      <c r="F1124" t="inlineStr">
        <is>
          <t>DALARNAS LÄN</t>
        </is>
      </c>
      <c r="G1124" t="inlineStr">
        <is>
          <t>FALUN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46048</v>
      </c>
      <c r="E1125" s="1" t="n">
        <v>46273</v>
      </c>
      <c r="F1125" t="inlineStr">
        <is>
          <t>DALARNAS LÄN</t>
        </is>
      </c>
      <c r="G1125" t="inlineStr">
        <is>
          <t>FALUN</t>
        </is>
      </c>
      <c r="I1125" t="n">
        <v>7.7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4036-2026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46044</v>
      </c>
      <c r="E1126" s="1" t="n">
        <v>46273</v>
      </c>
      <c r="F1126" t="inlineStr">
        <is>
          <t>DALARNAS LÄN</t>
        </is>
      </c>
      <c r="G1126" t="inlineStr">
        <is>
          <t>FALUN</t>
        </is>
      </c>
      <c r="H1126" t="inlineStr">
        <is>
          <t>Kyrkan</t>
        </is>
      </c>
      <c r="I1126" t="n">
        <v>18.5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46050</v>
      </c>
      <c r="E1127" s="1" t="n">
        <v>46273</v>
      </c>
      <c r="F1127" t="inlineStr">
        <is>
          <t>DALARNAS LÄN</t>
        </is>
      </c>
      <c r="G1127" t="inlineStr">
        <is>
          <t>FALUN</t>
        </is>
      </c>
      <c r="H1127" t="inlineStr">
        <is>
          <t>Kyrkan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9337-2026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46070</v>
      </c>
      <c r="E1128" s="1" t="n">
        <v>46273</v>
      </c>
      <c r="F1128" t="inlineStr">
        <is>
          <t>DALARNAS LÄN</t>
        </is>
      </c>
      <c r="G1128" t="inlineStr">
        <is>
          <t>FALUN</t>
        </is>
      </c>
      <c r="I1128" t="n">
        <v>4.6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9342-2026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46070</v>
      </c>
      <c r="E1129" s="1" t="n">
        <v>46273</v>
      </c>
      <c r="F1129" t="inlineStr">
        <is>
          <t>DALARNAS LÄN</t>
        </is>
      </c>
      <c r="G1129" t="inlineStr">
        <is>
          <t>FALUN</t>
        </is>
      </c>
      <c r="I1129" t="n">
        <v>4.9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9102-2026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46069</v>
      </c>
      <c r="E1130" s="1" t="n">
        <v>46273</v>
      </c>
      <c r="F1130" t="inlineStr">
        <is>
          <t>DALARNAS LÄN</t>
        </is>
      </c>
      <c r="G1130" t="inlineStr">
        <is>
          <t>FALUN</t>
        </is>
      </c>
      <c r="I1130" t="n">
        <v>4.4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9231-2026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46070</v>
      </c>
      <c r="E1131" s="1" t="n">
        <v>46273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9.800000000000001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9128-2026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46273</v>
      </c>
      <c r="F1132" t="inlineStr">
        <is>
          <t>DALARNAS LÄN</t>
        </is>
      </c>
      <c r="G1132" t="inlineStr">
        <is>
          <t>FALUN</t>
        </is>
      </c>
      <c r="I1132" t="n">
        <v>4.3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8978-2026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46069</v>
      </c>
      <c r="E1133" s="1" t="n">
        <v>46273</v>
      </c>
      <c r="F1133" t="inlineStr">
        <is>
          <t>DALARNAS LÄN</t>
        </is>
      </c>
      <c r="G1133" t="inlineStr">
        <is>
          <t>FALUN</t>
        </is>
      </c>
      <c r="I1133" t="n">
        <v>11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9429-2026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46071</v>
      </c>
      <c r="E1134" s="1" t="n">
        <v>46273</v>
      </c>
      <c r="F1134" t="inlineStr">
        <is>
          <t>DALARNAS LÄN</t>
        </is>
      </c>
      <c r="G1134" t="inlineStr">
        <is>
          <t>FALUN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9840-2026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46072</v>
      </c>
      <c r="E1135" s="1" t="n">
        <v>46273</v>
      </c>
      <c r="F1135" t="inlineStr">
        <is>
          <t>DALARNAS LÄN</t>
        </is>
      </c>
      <c r="G1135" t="inlineStr">
        <is>
          <t>FALUN</t>
        </is>
      </c>
      <c r="I1135" t="n">
        <v>6.7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9842-2026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46072</v>
      </c>
      <c r="E1136" s="1" t="n">
        <v>46273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5.4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9606-2026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46071</v>
      </c>
      <c r="E1137" s="1" t="n">
        <v>46273</v>
      </c>
      <c r="F1137" t="inlineStr">
        <is>
          <t>DALARNAS LÄN</t>
        </is>
      </c>
      <c r="G1137" t="inlineStr">
        <is>
          <t>FALUN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9683-2026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46071</v>
      </c>
      <c r="E1138" s="1" t="n">
        <v>46273</v>
      </c>
      <c r="F1138" t="inlineStr">
        <is>
          <t>DALARNAS LÄN</t>
        </is>
      </c>
      <c r="G1138" t="inlineStr">
        <is>
          <t>FALUN</t>
        </is>
      </c>
      <c r="H1138" t="inlineStr">
        <is>
          <t>Allmännings- och besparingsskogar</t>
        </is>
      </c>
      <c r="I1138" t="n">
        <v>17.5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15816-2025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45748</v>
      </c>
      <c r="E1139" s="1" t="n">
        <v>46273</v>
      </c>
      <c r="F1139" t="inlineStr">
        <is>
          <t>DALARNAS LÄN</t>
        </is>
      </c>
      <c r="G1139" t="inlineStr">
        <is>
          <t>FALUN</t>
        </is>
      </c>
      <c r="I1139" t="n">
        <v>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33820-2026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46251</v>
      </c>
      <c r="E1140" s="1" t="n">
        <v>46273</v>
      </c>
      <c r="F1140" t="inlineStr">
        <is>
          <t>DALARNAS LÄN</t>
        </is>
      </c>
      <c r="G1140" t="inlineStr">
        <is>
          <t>FALUN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9746-2026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46072</v>
      </c>
      <c r="E1141" s="1" t="n">
        <v>46273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6456-2026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46055</v>
      </c>
      <c r="E1142" s="1" t="n">
        <v>46273</v>
      </c>
      <c r="F1142" t="inlineStr">
        <is>
          <t>DALARNAS LÄN</t>
        </is>
      </c>
      <c r="G1142" t="inlineStr">
        <is>
          <t>FALUN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9696-2026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46072</v>
      </c>
      <c r="E1143" s="1" t="n">
        <v>46273</v>
      </c>
      <c r="F1143" t="inlineStr">
        <is>
          <t>DALARNAS LÄN</t>
        </is>
      </c>
      <c r="G1143" t="inlineStr">
        <is>
          <t>FALUN</t>
        </is>
      </c>
      <c r="I1143" t="n">
        <v>8.9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13568-2024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45389</v>
      </c>
      <c r="E1144" s="1" t="n">
        <v>46273</v>
      </c>
      <c r="F1144" t="inlineStr">
        <is>
          <t>DALARNAS LÄN</t>
        </is>
      </c>
      <c r="G1144" t="inlineStr">
        <is>
          <t>FALUN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10539-2026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46077</v>
      </c>
      <c r="E1145" s="1" t="n">
        <v>46273</v>
      </c>
      <c r="F1145" t="inlineStr">
        <is>
          <t>DALARNAS LÄN</t>
        </is>
      </c>
      <c r="G1145" t="inlineStr">
        <is>
          <t>FALUN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10132-2026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46076</v>
      </c>
      <c r="E1146" s="1" t="n">
        <v>46273</v>
      </c>
      <c r="F1146" t="inlineStr">
        <is>
          <t>DALARNAS LÄN</t>
        </is>
      </c>
      <c r="G1146" t="inlineStr">
        <is>
          <t>FALUN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10531-2026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46077</v>
      </c>
      <c r="E1147" s="1" t="n">
        <v>46273</v>
      </c>
      <c r="F1147" t="inlineStr">
        <is>
          <t>DALARNAS LÄN</t>
        </is>
      </c>
      <c r="G1147" t="inlineStr">
        <is>
          <t>FALUN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10566-2026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46077</v>
      </c>
      <c r="E1148" s="1" t="n">
        <v>46273</v>
      </c>
      <c r="F1148" t="inlineStr">
        <is>
          <t>DALARNAS LÄN</t>
        </is>
      </c>
      <c r="G1148" t="inlineStr">
        <is>
          <t>FALUN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10325-2026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46076</v>
      </c>
      <c r="E1149" s="1" t="n">
        <v>46273</v>
      </c>
      <c r="F1149" t="inlineStr">
        <is>
          <t>DALARNAS LÄN</t>
        </is>
      </c>
      <c r="G1149" t="inlineStr">
        <is>
          <t>FALUN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10952-2026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46079</v>
      </c>
      <c r="E1150" s="1" t="n">
        <v>46273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11140-2026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46079</v>
      </c>
      <c r="E1151" s="1" t="n">
        <v>46273</v>
      </c>
      <c r="F1151" t="inlineStr">
        <is>
          <t>DALARNAS LÄN</t>
        </is>
      </c>
      <c r="G1151" t="inlineStr">
        <is>
          <t>FALUN</t>
        </is>
      </c>
      <c r="I1151" t="n">
        <v>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33815-2026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46251</v>
      </c>
      <c r="E1152" s="1" t="n">
        <v>46273</v>
      </c>
      <c r="F1152" t="inlineStr">
        <is>
          <t>DALARNAS LÄN</t>
        </is>
      </c>
      <c r="G1152" t="inlineStr">
        <is>
          <t>FALUN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11050-2026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46079</v>
      </c>
      <c r="E1153" s="1" t="n">
        <v>46273</v>
      </c>
      <c r="F1153" t="inlineStr">
        <is>
          <t>DALARNAS LÄN</t>
        </is>
      </c>
      <c r="G1153" t="inlineStr">
        <is>
          <t>FALUN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11080-2026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46079</v>
      </c>
      <c r="E1154" s="1" t="n">
        <v>46273</v>
      </c>
      <c r="F1154" t="inlineStr">
        <is>
          <t>DALARNAS LÄN</t>
        </is>
      </c>
      <c r="G1154" t="inlineStr">
        <is>
          <t>FALUN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30463-2026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46209</v>
      </c>
      <c r="E1155" s="1" t="n">
        <v>46273</v>
      </c>
      <c r="F1155" t="inlineStr">
        <is>
          <t>DALARNAS LÄN</t>
        </is>
      </c>
      <c r="G1155" t="inlineStr">
        <is>
          <t>FALUN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10822-2026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46078</v>
      </c>
      <c r="E1156" s="1" t="n">
        <v>46273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11270-2026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46080</v>
      </c>
      <c r="E1157" s="1" t="n">
        <v>46273</v>
      </c>
      <c r="F1157" t="inlineStr">
        <is>
          <t>DALARNAS LÄN</t>
        </is>
      </c>
      <c r="G1157" t="inlineStr">
        <is>
          <t>FALUN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11387-2026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46083</v>
      </c>
      <c r="E1158" s="1" t="n">
        <v>46273</v>
      </c>
      <c r="F1158" t="inlineStr">
        <is>
          <t>DALARNAS LÄN</t>
        </is>
      </c>
      <c r="G1158" t="inlineStr">
        <is>
          <t>FALUN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11481-2026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46083</v>
      </c>
      <c r="E1159" s="1" t="n">
        <v>46273</v>
      </c>
      <c r="F1159" t="inlineStr">
        <is>
          <t>DALARNAS LÄN</t>
        </is>
      </c>
      <c r="G1159" t="inlineStr">
        <is>
          <t>FALUN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11156-2026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46080</v>
      </c>
      <c r="E1160" s="1" t="n">
        <v>46273</v>
      </c>
      <c r="F1160" t="inlineStr">
        <is>
          <t>DALARNAS LÄN</t>
        </is>
      </c>
      <c r="G1160" t="inlineStr">
        <is>
          <t>FALUN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11265-2026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46080</v>
      </c>
      <c r="E1161" s="1" t="n">
        <v>46273</v>
      </c>
      <c r="F1161" t="inlineStr">
        <is>
          <t>DALARNAS LÄN</t>
        </is>
      </c>
      <c r="G1161" t="inlineStr">
        <is>
          <t>FALUN</t>
        </is>
      </c>
      <c r="I1161" t="n">
        <v>10.4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11275-2026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46080</v>
      </c>
      <c r="E1162" s="1" t="n">
        <v>46273</v>
      </c>
      <c r="F1162" t="inlineStr">
        <is>
          <t>DALARNAS LÄN</t>
        </is>
      </c>
      <c r="G1162" t="inlineStr">
        <is>
          <t>FALUN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11306-2026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46080</v>
      </c>
      <c r="E1163" s="1" t="n">
        <v>46273</v>
      </c>
      <c r="F1163" t="inlineStr">
        <is>
          <t>DALARNAS LÄN</t>
        </is>
      </c>
      <c r="G1163" t="inlineStr">
        <is>
          <t>FALUN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11330-2026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46081</v>
      </c>
      <c r="E1164" s="1" t="n">
        <v>46273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11347-2026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46082</v>
      </c>
      <c r="E1165" s="1" t="n">
        <v>46273</v>
      </c>
      <c r="F1165" t="inlineStr">
        <is>
          <t>DALARNAS LÄN</t>
        </is>
      </c>
      <c r="G1165" t="inlineStr">
        <is>
          <t>FALUN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34507-2022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44792</v>
      </c>
      <c r="E1166" s="1" t="n">
        <v>46273</v>
      </c>
      <c r="F1166" t="inlineStr">
        <is>
          <t>DALARNAS LÄN</t>
        </is>
      </c>
      <c r="G1166" t="inlineStr">
        <is>
          <t>FALUN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34090-2026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46252</v>
      </c>
      <c r="E1167" s="1" t="n">
        <v>46273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11455-2026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46083</v>
      </c>
      <c r="E1168" s="1" t="n">
        <v>46273</v>
      </c>
      <c r="F1168" t="inlineStr">
        <is>
          <t>DALARNAS LÄN</t>
        </is>
      </c>
      <c r="G1168" t="inlineStr">
        <is>
          <t>FALUN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30448-2026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46209</v>
      </c>
      <c r="E1169" s="1" t="n">
        <v>46273</v>
      </c>
      <c r="F1169" t="inlineStr">
        <is>
          <t>DALARNAS LÄN</t>
        </is>
      </c>
      <c r="G1169" t="inlineStr">
        <is>
          <t>FALUN</t>
        </is>
      </c>
      <c r="I1169" t="n">
        <v>2.7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53864-2023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45231</v>
      </c>
      <c r="E1170" s="1" t="n">
        <v>46273</v>
      </c>
      <c r="F1170" t="inlineStr">
        <is>
          <t>DALARNAS LÄN</t>
        </is>
      </c>
      <c r="G1170" t="inlineStr">
        <is>
          <t>FALUN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11598-2026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46084</v>
      </c>
      <c r="E1171" s="1" t="n">
        <v>46273</v>
      </c>
      <c r="F1171" t="inlineStr">
        <is>
          <t>DALARNAS LÄN</t>
        </is>
      </c>
      <c r="G1171" t="inlineStr">
        <is>
          <t>FALUN</t>
        </is>
      </c>
      <c r="I1171" t="n">
        <v>9.9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11972-2026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46085</v>
      </c>
      <c r="E1172" s="1" t="n">
        <v>46273</v>
      </c>
      <c r="F1172" t="inlineStr">
        <is>
          <t>DALARNAS LÄN</t>
        </is>
      </c>
      <c r="G1172" t="inlineStr">
        <is>
          <t>FALUN</t>
        </is>
      </c>
      <c r="I1172" t="n">
        <v>5.7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46031</v>
      </c>
      <c r="E1173" s="1" t="n">
        <v>46273</v>
      </c>
      <c r="F1173" t="inlineStr">
        <is>
          <t>DALARNAS LÄN</t>
        </is>
      </c>
      <c r="G1173" t="inlineStr">
        <is>
          <t>FALUN</t>
        </is>
      </c>
      <c r="I1173" t="n">
        <v>9.5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11927-2026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46085</v>
      </c>
      <c r="E1174" s="1" t="n">
        <v>46273</v>
      </c>
      <c r="F1174" t="inlineStr">
        <is>
          <t>DALARNAS LÄN</t>
        </is>
      </c>
      <c r="G1174" t="inlineStr">
        <is>
          <t>FALUN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11554-2026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46084</v>
      </c>
      <c r="E1175" s="1" t="n">
        <v>46273</v>
      </c>
      <c r="F1175" t="inlineStr">
        <is>
          <t>DALARNAS LÄN</t>
        </is>
      </c>
      <c r="G1175" t="inlineStr">
        <is>
          <t>FALUN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18042-2025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45761</v>
      </c>
      <c r="E1176" s="1" t="n">
        <v>46273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5.1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11928-2026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46085</v>
      </c>
      <c r="E1177" s="1" t="n">
        <v>46273</v>
      </c>
      <c r="F1177" t="inlineStr">
        <is>
          <t>DALARNAS LÄN</t>
        </is>
      </c>
      <c r="G1177" t="inlineStr">
        <is>
          <t>FALUN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11930-2026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46085</v>
      </c>
      <c r="E1178" s="1" t="n">
        <v>46273</v>
      </c>
      <c r="F1178" t="inlineStr">
        <is>
          <t>DALARNAS LÄN</t>
        </is>
      </c>
      <c r="G1178" t="inlineStr">
        <is>
          <t>FALUN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13220-2025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45735</v>
      </c>
      <c r="E1179" s="1" t="n">
        <v>46273</v>
      </c>
      <c r="F1179" t="inlineStr">
        <is>
          <t>DALARNAS LÄN</t>
        </is>
      </c>
      <c r="G1179" t="inlineStr">
        <is>
          <t>FALUN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12397-2026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46087</v>
      </c>
      <c r="E1180" s="1" t="n">
        <v>46273</v>
      </c>
      <c r="F1180" t="inlineStr">
        <is>
          <t>DALARNAS LÄN</t>
        </is>
      </c>
      <c r="G1180" t="inlineStr">
        <is>
          <t>FALUN</t>
        </is>
      </c>
      <c r="H1180" t="inlineStr">
        <is>
          <t>Allmännings- och besparingsskogar</t>
        </is>
      </c>
      <c r="I1180" t="n">
        <v>44.4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12041-2026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46086</v>
      </c>
      <c r="E1181" s="1" t="n">
        <v>46273</v>
      </c>
      <c r="F1181" t="inlineStr">
        <is>
          <t>DALARNAS LÄN</t>
        </is>
      </c>
      <c r="G1181" t="inlineStr">
        <is>
          <t>FALUN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12195-2026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46086</v>
      </c>
      <c r="E1182" s="1" t="n">
        <v>46273</v>
      </c>
      <c r="F1182" t="inlineStr">
        <is>
          <t>DALARNAS LÄN</t>
        </is>
      </c>
      <c r="G1182" t="inlineStr">
        <is>
          <t>FALUN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12245-2026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46087</v>
      </c>
      <c r="E1183" s="1" t="n">
        <v>46273</v>
      </c>
      <c r="F1183" t="inlineStr">
        <is>
          <t>DALARNAS LÄN</t>
        </is>
      </c>
      <c r="G1183" t="inlineStr">
        <is>
          <t>FALUN</t>
        </is>
      </c>
      <c r="I1183" t="n">
        <v>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12094-2026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46086</v>
      </c>
      <c r="E1184" s="1" t="n">
        <v>46273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33762-2026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46251</v>
      </c>
      <c r="E1185" s="1" t="n">
        <v>46273</v>
      </c>
      <c r="F1185" t="inlineStr">
        <is>
          <t>DALARNAS LÄN</t>
        </is>
      </c>
      <c r="G1185" t="inlineStr">
        <is>
          <t>FALUN</t>
        </is>
      </c>
      <c r="I1185" t="n">
        <v>5.6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34201-2026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46253</v>
      </c>
      <c r="E1186" s="1" t="n">
        <v>46273</v>
      </c>
      <c r="F1186" t="inlineStr">
        <is>
          <t>DALARNAS LÄN</t>
        </is>
      </c>
      <c r="G1186" t="inlineStr">
        <is>
          <t>FALUN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12689-2026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46090</v>
      </c>
      <c r="E1187" s="1" t="n">
        <v>46273</v>
      </c>
      <c r="F1187" t="inlineStr">
        <is>
          <t>DALARNAS LÄN</t>
        </is>
      </c>
      <c r="G1187" t="inlineStr">
        <is>
          <t>FALUN</t>
        </is>
      </c>
      <c r="H1187" t="inlineStr">
        <is>
          <t>Allmännings- och besparingsskogar</t>
        </is>
      </c>
      <c r="I1187" t="n">
        <v>122.4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12504-2026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46273</v>
      </c>
      <c r="F1188" t="inlineStr">
        <is>
          <t>DALARNAS LÄN</t>
        </is>
      </c>
      <c r="G1188" t="inlineStr">
        <is>
          <t>FALUN</t>
        </is>
      </c>
      <c r="I1188" t="n">
        <v>3.6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12542-2026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46090</v>
      </c>
      <c r="E1189" s="1" t="n">
        <v>46273</v>
      </c>
      <c r="F1189" t="inlineStr">
        <is>
          <t>DALARNAS LÄN</t>
        </is>
      </c>
      <c r="G1189" t="inlineStr">
        <is>
          <t>FALUN</t>
        </is>
      </c>
      <c r="I1189" t="n">
        <v>5.8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34324-2026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46254</v>
      </c>
      <c r="E1190" s="1" t="n">
        <v>46273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32.9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1088-2024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45302</v>
      </c>
      <c r="E1191" s="1" t="n">
        <v>46273</v>
      </c>
      <c r="F1191" t="inlineStr">
        <is>
          <t>DALARNAS LÄN</t>
        </is>
      </c>
      <c r="G1191" t="inlineStr">
        <is>
          <t>FALUN</t>
        </is>
      </c>
      <c r="I1191" t="n">
        <v>9.699999999999999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34327-2026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46254</v>
      </c>
      <c r="E1192" s="1" t="n">
        <v>46273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12685-2026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46090</v>
      </c>
      <c r="E1193" s="1" t="n">
        <v>46273</v>
      </c>
      <c r="F1193" t="inlineStr">
        <is>
          <t>DALARNAS LÄN</t>
        </is>
      </c>
      <c r="G1193" t="inlineStr">
        <is>
          <t>FALUN</t>
        </is>
      </c>
      <c r="I1193" t="n">
        <v>6.5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12695-2026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46090</v>
      </c>
      <c r="E1194" s="1" t="n">
        <v>46273</v>
      </c>
      <c r="F1194" t="inlineStr">
        <is>
          <t>DALARNAS LÄN</t>
        </is>
      </c>
      <c r="G1194" t="inlineStr">
        <is>
          <t>FALUN</t>
        </is>
      </c>
      <c r="H1194" t="inlineStr">
        <is>
          <t>Allmännings- och besparingsskogar</t>
        </is>
      </c>
      <c r="I1194" t="n">
        <v>9.4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34279-2026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46253</v>
      </c>
      <c r="E1195" s="1" t="n">
        <v>46273</v>
      </c>
      <c r="F1195" t="inlineStr">
        <is>
          <t>DALARNAS LÄN</t>
        </is>
      </c>
      <c r="G1195" t="inlineStr">
        <is>
          <t>FALUN</t>
        </is>
      </c>
      <c r="I1195" t="n">
        <v>4.3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12501-2026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46090</v>
      </c>
      <c r="E1196" s="1" t="n">
        <v>46273</v>
      </c>
      <c r="F1196" t="inlineStr">
        <is>
          <t>DALARNAS LÄN</t>
        </is>
      </c>
      <c r="G1196" t="inlineStr">
        <is>
          <t>FALUN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12507-2026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46090</v>
      </c>
      <c r="E1197" s="1" t="n">
        <v>46273</v>
      </c>
      <c r="F1197" t="inlineStr">
        <is>
          <t>DALARNAS LÄN</t>
        </is>
      </c>
      <c r="G1197" t="inlineStr">
        <is>
          <t>FALUN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12483-2026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46273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38.7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15085-2025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45744</v>
      </c>
      <c r="E1199" s="1" t="n">
        <v>46273</v>
      </c>
      <c r="F1199" t="inlineStr">
        <is>
          <t>DALARNAS LÄN</t>
        </is>
      </c>
      <c r="G1199" t="inlineStr">
        <is>
          <t>FALUN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12775-2026</t>
        </is>
      </c>
      <c r="B1200" t="inlineStr">
        <is>
          <t>avverkningsanmälan</t>
        </is>
      </c>
      <c r="C1200" t="inlineStr">
        <is>
          <t>Avverkning för att bevara och utveckla /försöksver</t>
        </is>
      </c>
      <c r="D1200" s="1" t="n">
        <v>46091</v>
      </c>
      <c r="E1200" s="1" t="n">
        <v>46273</v>
      </c>
      <c r="F1200" t="inlineStr">
        <is>
          <t>DALARNAS LÄN</t>
        </is>
      </c>
      <c r="G1200" t="inlineStr">
        <is>
          <t>FALUN</t>
        </is>
      </c>
      <c r="I1200" t="n">
        <v>3.5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10219-2026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46076</v>
      </c>
      <c r="E1201" s="1" t="n">
        <v>46273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5760-2026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46051</v>
      </c>
      <c r="E1202" s="1" t="n">
        <v>46273</v>
      </c>
      <c r="F1202" t="inlineStr">
        <is>
          <t>DALARNAS LÄN</t>
        </is>
      </c>
      <c r="G1202" t="inlineStr">
        <is>
          <t>FALUN</t>
        </is>
      </c>
      <c r="I1202" t="n">
        <v>2.7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13219-2026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46093</v>
      </c>
      <c r="E1203" s="1" t="n">
        <v>46273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78.3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13261-2026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46093</v>
      </c>
      <c r="E1204" s="1" t="n">
        <v>46273</v>
      </c>
      <c r="F1204" t="inlineStr">
        <is>
          <t>DALARNAS LÄN</t>
        </is>
      </c>
      <c r="G1204" t="inlineStr">
        <is>
          <t>FALUN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13078-2026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46093</v>
      </c>
      <c r="E1205" s="1" t="n">
        <v>46273</v>
      </c>
      <c r="F1205" t="inlineStr">
        <is>
          <t>DALARNAS LÄN</t>
        </is>
      </c>
      <c r="G1205" t="inlineStr">
        <is>
          <t>FALUN</t>
        </is>
      </c>
      <c r="I1205" t="n">
        <v>7.2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12950-2026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46092</v>
      </c>
      <c r="E1206" s="1" t="n">
        <v>46273</v>
      </c>
      <c r="F1206" t="inlineStr">
        <is>
          <t>DALARNAS LÄN</t>
        </is>
      </c>
      <c r="G1206" t="inlineStr">
        <is>
          <t>FALUN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12885-2026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46092</v>
      </c>
      <c r="E1207" s="1" t="n">
        <v>46273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4.6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34490-2026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46254</v>
      </c>
      <c r="E1208" s="1" t="n">
        <v>46273</v>
      </c>
      <c r="F1208" t="inlineStr">
        <is>
          <t>DALARNAS LÄN</t>
        </is>
      </c>
      <c r="G1208" t="inlineStr">
        <is>
          <t>FALUN</t>
        </is>
      </c>
      <c r="H1208" t="inlineStr">
        <is>
          <t>Allmännings- och besparingsskogar</t>
        </is>
      </c>
      <c r="I1208" t="n">
        <v>9.300000000000001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13209-2026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46093</v>
      </c>
      <c r="E1209" s="1" t="n">
        <v>46273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5.8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12986-2026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46092</v>
      </c>
      <c r="E1210" s="1" t="n">
        <v>46273</v>
      </c>
      <c r="F1210" t="inlineStr">
        <is>
          <t>DALARNAS LÄN</t>
        </is>
      </c>
      <c r="G1210" t="inlineStr">
        <is>
          <t>FALUN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13101-2026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46093</v>
      </c>
      <c r="E1211" s="1" t="n">
        <v>46273</v>
      </c>
      <c r="F1211" t="inlineStr">
        <is>
          <t>DALARNAS LÄN</t>
        </is>
      </c>
      <c r="G1211" t="inlineStr">
        <is>
          <t>FALUN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13262-2026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46093</v>
      </c>
      <c r="E1212" s="1" t="n">
        <v>46273</v>
      </c>
      <c r="F1212" t="inlineStr">
        <is>
          <t>DALARNAS LÄN</t>
        </is>
      </c>
      <c r="G1212" t="inlineStr">
        <is>
          <t>FALUN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1839-2025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45671</v>
      </c>
      <c r="E1213" s="1" t="n">
        <v>46273</v>
      </c>
      <c r="F1213" t="inlineStr">
        <is>
          <t>DALARNAS LÄN</t>
        </is>
      </c>
      <c r="G1213" t="inlineStr">
        <is>
          <t>FALUN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12855-2026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46092</v>
      </c>
      <c r="E1214" s="1" t="n">
        <v>46273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30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13454-2026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46094</v>
      </c>
      <c r="E1215" s="1" t="n">
        <v>46273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13541-2026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46094</v>
      </c>
      <c r="E1216" s="1" t="n">
        <v>46273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8.5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13784-2026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46097</v>
      </c>
      <c r="E1217" s="1" t="n">
        <v>46273</v>
      </c>
      <c r="F1217" t="inlineStr">
        <is>
          <t>DALARNAS LÄN</t>
        </is>
      </c>
      <c r="G1217" t="inlineStr">
        <is>
          <t>FALUN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35981-2022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44802</v>
      </c>
      <c r="E1218" s="1" t="n">
        <v>46273</v>
      </c>
      <c r="F1218" t="inlineStr">
        <is>
          <t>DALARNAS LÄN</t>
        </is>
      </c>
      <c r="G1218" t="inlineStr">
        <is>
          <t>FALUN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34524-2026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46255</v>
      </c>
      <c r="E1219" s="1" t="n">
        <v>46273</v>
      </c>
      <c r="F1219" t="inlineStr">
        <is>
          <t>DALARNAS LÄN</t>
        </is>
      </c>
      <c r="G1219" t="inlineStr">
        <is>
          <t>FALUN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13786-2026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46097</v>
      </c>
      <c r="E1220" s="1" t="n">
        <v>46273</v>
      </c>
      <c r="F1220" t="inlineStr">
        <is>
          <t>DALARNAS LÄN</t>
        </is>
      </c>
      <c r="G1220" t="inlineStr">
        <is>
          <t>FALUN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13592-2026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46096</v>
      </c>
      <c r="E1221" s="1" t="n">
        <v>46273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30.3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13711-2026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46097</v>
      </c>
      <c r="E1222" s="1" t="n">
        <v>46273</v>
      </c>
      <c r="F1222" t="inlineStr">
        <is>
          <t>DALARNAS LÄN</t>
        </is>
      </c>
      <c r="G1222" t="inlineStr">
        <is>
          <t>FALUN</t>
        </is>
      </c>
      <c r="I1222" t="n">
        <v>5.8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13782-2026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46097</v>
      </c>
      <c r="E1223" s="1" t="n">
        <v>46273</v>
      </c>
      <c r="F1223" t="inlineStr">
        <is>
          <t>DALARNAS LÄN</t>
        </is>
      </c>
      <c r="G1223" t="inlineStr">
        <is>
          <t>FALUN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13634-2026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46097</v>
      </c>
      <c r="E1224" s="1" t="n">
        <v>46273</v>
      </c>
      <c r="F1224" t="inlineStr">
        <is>
          <t>DALARNAS LÄN</t>
        </is>
      </c>
      <c r="G1224" t="inlineStr">
        <is>
          <t>FALUN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24131-2022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44725</v>
      </c>
      <c r="E1225" s="1" t="n">
        <v>46273</v>
      </c>
      <c r="F1225" t="inlineStr">
        <is>
          <t>DALARNAS LÄN</t>
        </is>
      </c>
      <c r="G1225" t="inlineStr">
        <is>
          <t>FALUN</t>
        </is>
      </c>
      <c r="H1225" t="inlineStr">
        <is>
          <t>Kyrkan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13636-2026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46097</v>
      </c>
      <c r="E1226" s="1" t="n">
        <v>46273</v>
      </c>
      <c r="F1226" t="inlineStr">
        <is>
          <t>DALARNAS LÄN</t>
        </is>
      </c>
      <c r="G1226" t="inlineStr">
        <is>
          <t>FALUN</t>
        </is>
      </c>
      <c r="I1226" t="n">
        <v>3.3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14212-2026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46099</v>
      </c>
      <c r="E1227" s="1" t="n">
        <v>46273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14214-2026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46099</v>
      </c>
      <c r="E1228" s="1" t="n">
        <v>46273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14231-2026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46099</v>
      </c>
      <c r="E1229" s="1" t="n">
        <v>46273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14459-2025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45741</v>
      </c>
      <c r="E1230" s="1" t="n">
        <v>46273</v>
      </c>
      <c r="F1230" t="inlineStr">
        <is>
          <t>DALARNAS LÄN</t>
        </is>
      </c>
      <c r="G1230" t="inlineStr">
        <is>
          <t>FALUN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13817-2026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46273</v>
      </c>
      <c r="F1231" t="inlineStr">
        <is>
          <t>DALARNAS LÄN</t>
        </is>
      </c>
      <c r="G1231" t="inlineStr">
        <is>
          <t>FALUN</t>
        </is>
      </c>
      <c r="I1231" t="n">
        <v>19.6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14310-2026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46099</v>
      </c>
      <c r="E1232" s="1" t="n">
        <v>46273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29.8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14199-2026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46099</v>
      </c>
      <c r="E1233" s="1" t="n">
        <v>46273</v>
      </c>
      <c r="F1233" t="inlineStr">
        <is>
          <t>DALARNAS LÄN</t>
        </is>
      </c>
      <c r="G1233" t="inlineStr">
        <is>
          <t>FALUN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14209-2026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46099</v>
      </c>
      <c r="E1234" s="1" t="n">
        <v>46273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5.7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13896-2026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46273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12512-2026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46090</v>
      </c>
      <c r="E1236" s="1" t="n">
        <v>46273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2.8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13829-2026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46098</v>
      </c>
      <c r="E1237" s="1" t="n">
        <v>46273</v>
      </c>
      <c r="F1237" t="inlineStr">
        <is>
          <t>DALARNAS LÄN</t>
        </is>
      </c>
      <c r="G1237" t="inlineStr">
        <is>
          <t>FALUN</t>
        </is>
      </c>
      <c r="I1237" t="n">
        <v>13.1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14217-2026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46099</v>
      </c>
      <c r="E1238" s="1" t="n">
        <v>46273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24.5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7754-2024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45349</v>
      </c>
      <c r="E1239" s="1" t="n">
        <v>46273</v>
      </c>
      <c r="F1239" t="inlineStr">
        <is>
          <t>DALARNAS LÄN</t>
        </is>
      </c>
      <c r="G1239" t="inlineStr">
        <is>
          <t>FALUN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14311-2026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46099</v>
      </c>
      <c r="E1240" s="1" t="n">
        <v>46273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63.9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51233-2023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45219</v>
      </c>
      <c r="E1241" s="1" t="n">
        <v>46273</v>
      </c>
      <c r="F1241" t="inlineStr">
        <is>
          <t>DALARNAS LÄN</t>
        </is>
      </c>
      <c r="G1241" t="inlineStr">
        <is>
          <t>FALUN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14122-2026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46099</v>
      </c>
      <c r="E1242" s="1" t="n">
        <v>46273</v>
      </c>
      <c r="F1242" t="inlineStr">
        <is>
          <t>DALARNAS LÄN</t>
        </is>
      </c>
      <c r="G1242" t="inlineStr">
        <is>
          <t>FALUN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14022-2026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46098</v>
      </c>
      <c r="E1243" s="1" t="n">
        <v>46273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33.9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14023-2026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46098</v>
      </c>
      <c r="E1244" s="1" t="n">
        <v>46273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38.2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31095-2026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46216</v>
      </c>
      <c r="E1245" s="1" t="n">
        <v>46273</v>
      </c>
      <c r="F1245" t="inlineStr">
        <is>
          <t>DALARNAS LÄN</t>
        </is>
      </c>
      <c r="G1245" t="inlineStr">
        <is>
          <t>FALUN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13816-2026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46098</v>
      </c>
      <c r="E1246" s="1" t="n">
        <v>46273</v>
      </c>
      <c r="F1246" t="inlineStr">
        <is>
          <t>DALARNAS LÄN</t>
        </is>
      </c>
      <c r="G1246" t="inlineStr">
        <is>
          <t>FALUN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14558-2026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46100</v>
      </c>
      <c r="E1247" s="1" t="n">
        <v>46273</v>
      </c>
      <c r="F1247" t="inlineStr">
        <is>
          <t>DALARNAS LÄN</t>
        </is>
      </c>
      <c r="G1247" t="inlineStr">
        <is>
          <t>FALUN</t>
        </is>
      </c>
      <c r="H1247" t="inlineStr">
        <is>
          <t>Allmännings- och besparingsskogar</t>
        </is>
      </c>
      <c r="I1247" t="n">
        <v>9.800000000000001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14657-2026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46273</v>
      </c>
      <c r="F1248" t="inlineStr">
        <is>
          <t>DALARNAS LÄN</t>
        </is>
      </c>
      <c r="G1248" t="inlineStr">
        <is>
          <t>FALUN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14409-2026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46273</v>
      </c>
      <c r="F1249" t="inlineStr">
        <is>
          <t>DALARNAS LÄN</t>
        </is>
      </c>
      <c r="G1249" t="inlineStr">
        <is>
          <t>FALUN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14407-2026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46100</v>
      </c>
      <c r="E1250" s="1" t="n">
        <v>46273</v>
      </c>
      <c r="F1250" t="inlineStr">
        <is>
          <t>DALARNAS LÄN</t>
        </is>
      </c>
      <c r="G1250" t="inlineStr">
        <is>
          <t>FALUN</t>
        </is>
      </c>
      <c r="I1250" t="n">
        <v>9.6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14559-2026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46100</v>
      </c>
      <c r="E1251" s="1" t="n">
        <v>46273</v>
      </c>
      <c r="F1251" t="inlineStr">
        <is>
          <t>DALARNAS LÄN</t>
        </is>
      </c>
      <c r="G1251" t="inlineStr">
        <is>
          <t>FALUN</t>
        </is>
      </c>
      <c r="H1251" t="inlineStr">
        <is>
          <t>Allmännings- och besparingsskogar</t>
        </is>
      </c>
      <c r="I1251" t="n">
        <v>5.9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14571-2026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46100</v>
      </c>
      <c r="E1252" s="1" t="n">
        <v>46273</v>
      </c>
      <c r="F1252" t="inlineStr">
        <is>
          <t>DALARNAS LÄN</t>
        </is>
      </c>
      <c r="G1252" t="inlineStr">
        <is>
          <t>FALUN</t>
        </is>
      </c>
      <c r="I1252" t="n">
        <v>5.3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14373-2026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46100</v>
      </c>
      <c r="E1253" s="1" t="n">
        <v>46273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7.2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1509-2024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45306</v>
      </c>
      <c r="E1254" s="1" t="n">
        <v>46273</v>
      </c>
      <c r="F1254" t="inlineStr">
        <is>
          <t>DALARNAS LÄN</t>
        </is>
      </c>
      <c r="G1254" t="inlineStr">
        <is>
          <t>FALUN</t>
        </is>
      </c>
      <c r="I1254" t="n">
        <v>5.7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6301-2026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46055</v>
      </c>
      <c r="E1255" s="1" t="n">
        <v>46273</v>
      </c>
      <c r="F1255" t="inlineStr">
        <is>
          <t>DALARNAS LÄN</t>
        </is>
      </c>
      <c r="G1255" t="inlineStr">
        <is>
          <t>FALUN</t>
        </is>
      </c>
      <c r="I1255" t="n">
        <v>12.4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2463-2024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45313</v>
      </c>
      <c r="E1256" s="1" t="n">
        <v>46273</v>
      </c>
      <c r="F1256" t="inlineStr">
        <is>
          <t>DALARNAS LÄN</t>
        </is>
      </c>
      <c r="G1256" t="inlineStr">
        <is>
          <t>FALUN</t>
        </is>
      </c>
      <c r="I1256" t="n">
        <v>4.4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35109-2026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46260</v>
      </c>
      <c r="E1257" s="1" t="n">
        <v>46273</v>
      </c>
      <c r="F1257" t="inlineStr">
        <is>
          <t>DALARNAS LÄN</t>
        </is>
      </c>
      <c r="G1257" t="inlineStr">
        <is>
          <t>FALUN</t>
        </is>
      </c>
      <c r="I1257" t="n">
        <v>6.7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14850-2026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46104</v>
      </c>
      <c r="E1258" s="1" t="n">
        <v>46273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15208-2026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46105</v>
      </c>
      <c r="E1259" s="1" t="n">
        <v>46273</v>
      </c>
      <c r="F1259" t="inlineStr">
        <is>
          <t>DALARNAS LÄN</t>
        </is>
      </c>
      <c r="G1259" t="inlineStr">
        <is>
          <t>FALUN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15086-2026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46105</v>
      </c>
      <c r="E1260" s="1" t="n">
        <v>46273</v>
      </c>
      <c r="F1260" t="inlineStr">
        <is>
          <t>DALARNAS LÄN</t>
        </is>
      </c>
      <c r="G1260" t="inlineStr">
        <is>
          <t>FALUN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14841-2026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46104</v>
      </c>
      <c r="E1261" s="1" t="n">
        <v>46273</v>
      </c>
      <c r="F1261" t="inlineStr">
        <is>
          <t>DALARNAS LÄN</t>
        </is>
      </c>
      <c r="G1261" t="inlineStr">
        <is>
          <t>FALUN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35210-2026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46260</v>
      </c>
      <c r="E1262" s="1" t="n">
        <v>46273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14932-2026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46273</v>
      </c>
      <c r="F1263" t="inlineStr">
        <is>
          <t>DALARNAS LÄN</t>
        </is>
      </c>
      <c r="G1263" t="inlineStr">
        <is>
          <t>FALUN</t>
        </is>
      </c>
      <c r="I1263" t="n">
        <v>4.5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14961-2026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46104</v>
      </c>
      <c r="E1264" s="1" t="n">
        <v>46273</v>
      </c>
      <c r="F1264" t="inlineStr">
        <is>
          <t>DALARNAS LÄN</t>
        </is>
      </c>
      <c r="G1264" t="inlineStr">
        <is>
          <t>FALUN</t>
        </is>
      </c>
      <c r="I1264" t="n">
        <v>4.2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6183-2026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46055</v>
      </c>
      <c r="E1265" s="1" t="n">
        <v>46273</v>
      </c>
      <c r="F1265" t="inlineStr">
        <is>
          <t>DALARNAS LÄN</t>
        </is>
      </c>
      <c r="G1265" t="inlineStr">
        <is>
          <t>FALUN</t>
        </is>
      </c>
      <c r="I1265" t="n">
        <v>9.6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14806-2026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46103</v>
      </c>
      <c r="E1266" s="1" t="n">
        <v>46273</v>
      </c>
      <c r="F1266" t="inlineStr">
        <is>
          <t>DALARNAS LÄN</t>
        </is>
      </c>
      <c r="G1266" t="inlineStr">
        <is>
          <t>FALUN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14847-2026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46104</v>
      </c>
      <c r="E1267" s="1" t="n">
        <v>46273</v>
      </c>
      <c r="F1267" t="inlineStr">
        <is>
          <t>DALARNAS LÄN</t>
        </is>
      </c>
      <c r="G1267" t="inlineStr">
        <is>
          <t>FALUN</t>
        </is>
      </c>
      <c r="I1267" t="n">
        <v>14.9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15169-2026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46105</v>
      </c>
      <c r="E1268" s="1" t="n">
        <v>46273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33.4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15333-2026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46105</v>
      </c>
      <c r="E1269" s="1" t="n">
        <v>46273</v>
      </c>
      <c r="F1269" t="inlineStr">
        <is>
          <t>DALARNAS LÄN</t>
        </is>
      </c>
      <c r="G1269" t="inlineStr">
        <is>
          <t>FALUN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15209-2026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46105</v>
      </c>
      <c r="E1270" s="1" t="n">
        <v>46273</v>
      </c>
      <c r="F1270" t="inlineStr">
        <is>
          <t>DALARNAS LÄN</t>
        </is>
      </c>
      <c r="G1270" t="inlineStr">
        <is>
          <t>FALUN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14907-2026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46104</v>
      </c>
      <c r="E1271" s="1" t="n">
        <v>46273</v>
      </c>
      <c r="F1271" t="inlineStr">
        <is>
          <t>DALARNAS LÄN</t>
        </is>
      </c>
      <c r="G1271" t="inlineStr">
        <is>
          <t>FALUN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15366-2026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46105</v>
      </c>
      <c r="E1272" s="1" t="n">
        <v>46273</v>
      </c>
      <c r="F1272" t="inlineStr">
        <is>
          <t>DALARNAS LÄN</t>
        </is>
      </c>
      <c r="G1272" t="inlineStr">
        <is>
          <t>FALUN</t>
        </is>
      </c>
      <c r="I1272" t="n">
        <v>5.2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14964-2026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46104</v>
      </c>
      <c r="E1273" s="1" t="n">
        <v>46273</v>
      </c>
      <c r="F1273" t="inlineStr">
        <is>
          <t>DALARNAS LÄN</t>
        </is>
      </c>
      <c r="G1273" t="inlineStr">
        <is>
          <t>FALUN</t>
        </is>
      </c>
      <c r="I1273" t="n">
        <v>3.1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15123-2026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46105</v>
      </c>
      <c r="E1274" s="1" t="n">
        <v>46273</v>
      </c>
      <c r="F1274" t="inlineStr">
        <is>
          <t>DALARNAS LÄN</t>
        </is>
      </c>
      <c r="G1274" t="inlineStr">
        <is>
          <t>FALUN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15133-2026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46105</v>
      </c>
      <c r="E1275" s="1" t="n">
        <v>46273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11.5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15670-2026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46106</v>
      </c>
      <c r="E1276" s="1" t="n">
        <v>46273</v>
      </c>
      <c r="F1276" t="inlineStr">
        <is>
          <t>DALARNAS LÄN</t>
        </is>
      </c>
      <c r="G1276" t="inlineStr">
        <is>
          <t>FALUN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15737-2026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46107</v>
      </c>
      <c r="E1277" s="1" t="n">
        <v>46273</v>
      </c>
      <c r="F1277" t="inlineStr">
        <is>
          <t>DALARNAS LÄN</t>
        </is>
      </c>
      <c r="G1277" t="inlineStr">
        <is>
          <t>FALUN</t>
        </is>
      </c>
      <c r="I1277" t="n">
        <v>2.5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29844-2022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44755</v>
      </c>
      <c r="E1278" s="1" t="n">
        <v>46273</v>
      </c>
      <c r="F1278" t="inlineStr">
        <is>
          <t>DALARNAS LÄN</t>
        </is>
      </c>
      <c r="G1278" t="inlineStr">
        <is>
          <t>FALUN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29850-2022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44755</v>
      </c>
      <c r="E1279" s="1" t="n">
        <v>46273</v>
      </c>
      <c r="F1279" t="inlineStr">
        <is>
          <t>DALARNAS LÄN</t>
        </is>
      </c>
      <c r="G1279" t="inlineStr">
        <is>
          <t>FALUN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52856-2023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45226</v>
      </c>
      <c r="E1280" s="1" t="n">
        <v>46273</v>
      </c>
      <c r="F1280" t="inlineStr">
        <is>
          <t>DALARNAS LÄN</t>
        </is>
      </c>
      <c r="G1280" t="inlineStr">
        <is>
          <t>FALUN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35426-2026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46261</v>
      </c>
      <c r="E1281" s="1" t="n">
        <v>46273</v>
      </c>
      <c r="F1281" t="inlineStr">
        <is>
          <t>DALARNAS LÄN</t>
        </is>
      </c>
      <c r="G1281" t="inlineStr">
        <is>
          <t>FALUN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15642-2026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46106</v>
      </c>
      <c r="E1282" s="1" t="n">
        <v>46273</v>
      </c>
      <c r="F1282" t="inlineStr">
        <is>
          <t>DALARNAS LÄN</t>
        </is>
      </c>
      <c r="G1282" t="inlineStr">
        <is>
          <t>FALUN</t>
        </is>
      </c>
      <c r="I1282" t="n">
        <v>15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15637-2026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46273</v>
      </c>
      <c r="F1283" t="inlineStr">
        <is>
          <t>DALARNAS LÄN</t>
        </is>
      </c>
      <c r="G1283" t="inlineStr">
        <is>
          <t>FALUN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31348-2026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46219</v>
      </c>
      <c r="E1284" s="1" t="n">
        <v>46273</v>
      </c>
      <c r="F1284" t="inlineStr">
        <is>
          <t>DALARNAS LÄN</t>
        </is>
      </c>
      <c r="G1284" t="inlineStr">
        <is>
          <t>FALUN</t>
        </is>
      </c>
      <c r="I1284" t="n">
        <v>4.7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15550-2026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46106</v>
      </c>
      <c r="E1285" s="1" t="n">
        <v>46273</v>
      </c>
      <c r="F1285" t="inlineStr">
        <is>
          <t>DALARNAS LÄN</t>
        </is>
      </c>
      <c r="G1285" t="inlineStr">
        <is>
          <t>FALUN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16303-2026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46273</v>
      </c>
      <c r="F1286" t="inlineStr">
        <is>
          <t>DALARNAS LÄN</t>
        </is>
      </c>
      <c r="G1286" t="inlineStr">
        <is>
          <t>FALUN</t>
        </is>
      </c>
      <c r="I1286" t="n">
        <v>7.5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15954-2026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46108</v>
      </c>
      <c r="E1287" s="1" t="n">
        <v>46273</v>
      </c>
      <c r="F1287" t="inlineStr">
        <is>
          <t>DALARNAS LÄN</t>
        </is>
      </c>
      <c r="G1287" t="inlineStr">
        <is>
          <t>FALUN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16165-2026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46110</v>
      </c>
      <c r="E1288" s="1" t="n">
        <v>46273</v>
      </c>
      <c r="F1288" t="inlineStr">
        <is>
          <t>DALARNAS LÄN</t>
        </is>
      </c>
      <c r="G1288" t="inlineStr">
        <is>
          <t>FALUN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16166-2026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46110</v>
      </c>
      <c r="E1289" s="1" t="n">
        <v>46273</v>
      </c>
      <c r="F1289" t="inlineStr">
        <is>
          <t>DALARNAS LÄN</t>
        </is>
      </c>
      <c r="G1289" t="inlineStr">
        <is>
          <t>FALUN</t>
        </is>
      </c>
      <c r="I1289" t="n">
        <v>3.1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16377-2026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46111</v>
      </c>
      <c r="E1290" s="1" t="n">
        <v>46273</v>
      </c>
      <c r="F1290" t="inlineStr">
        <is>
          <t>DALARNAS LÄN</t>
        </is>
      </c>
      <c r="G1290" t="inlineStr">
        <is>
          <t>FALUN</t>
        </is>
      </c>
      <c r="H1290" t="inlineStr">
        <is>
          <t>Allmännings- och besparingsskogar</t>
        </is>
      </c>
      <c r="I1290" t="n">
        <v>7.3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16415-2026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46111</v>
      </c>
      <c r="E1291" s="1" t="n">
        <v>46273</v>
      </c>
      <c r="F1291" t="inlineStr">
        <is>
          <t>DALARNAS LÄN</t>
        </is>
      </c>
      <c r="G1291" t="inlineStr">
        <is>
          <t>FALUN</t>
        </is>
      </c>
      <c r="H1291" t="inlineStr">
        <is>
          <t>Allmännings- och besparingsskogar</t>
        </is>
      </c>
      <c r="I1291" t="n">
        <v>4.8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16378-2026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46111</v>
      </c>
      <c r="E1292" s="1" t="n">
        <v>46273</v>
      </c>
      <c r="F1292" t="inlineStr">
        <is>
          <t>DALARNAS LÄN</t>
        </is>
      </c>
      <c r="G1292" t="inlineStr">
        <is>
          <t>FALUN</t>
        </is>
      </c>
      <c r="H1292" t="inlineStr">
        <is>
          <t>Allmännings- och besparingsskogar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16379-2026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46111</v>
      </c>
      <c r="E1293" s="1" t="n">
        <v>46273</v>
      </c>
      <c r="F1293" t="inlineStr">
        <is>
          <t>DALARNAS LÄN</t>
        </is>
      </c>
      <c r="G1293" t="inlineStr">
        <is>
          <t>FALUN</t>
        </is>
      </c>
      <c r="H1293" t="inlineStr">
        <is>
          <t>Allmännings- och besparingsskogar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16073-2026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46108</v>
      </c>
      <c r="E1294" s="1" t="n">
        <v>46273</v>
      </c>
      <c r="F1294" t="inlineStr">
        <is>
          <t>DALARNAS LÄN</t>
        </is>
      </c>
      <c r="G1294" t="inlineStr">
        <is>
          <t>FALUN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16327-2026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46111</v>
      </c>
      <c r="E1295" s="1" t="n">
        <v>46273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13.5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16274-2026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46111</v>
      </c>
      <c r="E1296" s="1" t="n">
        <v>46273</v>
      </c>
      <c r="F1296" t="inlineStr">
        <is>
          <t>DALARNAS LÄN</t>
        </is>
      </c>
      <c r="G1296" t="inlineStr">
        <is>
          <t>FALUN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16256-2026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46111</v>
      </c>
      <c r="E1297" s="1" t="n">
        <v>46273</v>
      </c>
      <c r="F1297" t="inlineStr">
        <is>
          <t>DALARNAS LÄN</t>
        </is>
      </c>
      <c r="G1297" t="inlineStr">
        <is>
          <t>FALUN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63383-2023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45274</v>
      </c>
      <c r="E1298" s="1" t="n">
        <v>46273</v>
      </c>
      <c r="F1298" t="inlineStr">
        <is>
          <t>DALARNAS LÄN</t>
        </is>
      </c>
      <c r="G1298" t="inlineStr">
        <is>
          <t>FALUN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31271-2026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46218</v>
      </c>
      <c r="E1299" s="1" t="n">
        <v>46273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29508-2024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45484</v>
      </c>
      <c r="E1300" s="1" t="n">
        <v>46273</v>
      </c>
      <c r="F1300" t="inlineStr">
        <is>
          <t>DALARNAS LÄN</t>
        </is>
      </c>
      <c r="G1300" t="inlineStr">
        <is>
          <t>FALUN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16846-2026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46113</v>
      </c>
      <c r="E1301" s="1" t="n">
        <v>46273</v>
      </c>
      <c r="F1301" t="inlineStr">
        <is>
          <t>DALARNAS LÄN</t>
        </is>
      </c>
      <c r="G1301" t="inlineStr">
        <is>
          <t>FALUN</t>
        </is>
      </c>
      <c r="I1301" t="n">
        <v>4.2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35559-2026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46262</v>
      </c>
      <c r="E1302" s="1" t="n">
        <v>46273</v>
      </c>
      <c r="F1302" t="inlineStr">
        <is>
          <t>DALARNAS LÄN</t>
        </is>
      </c>
      <c r="G1302" t="inlineStr">
        <is>
          <t>FALUN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31265-2026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46218</v>
      </c>
      <c r="E1303" s="1" t="n">
        <v>46273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1.8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34508-2022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44792</v>
      </c>
      <c r="E1304" s="1" t="n">
        <v>46273</v>
      </c>
      <c r="F1304" t="inlineStr">
        <is>
          <t>DALARNAS LÄN</t>
        </is>
      </c>
      <c r="G1304" t="inlineStr">
        <is>
          <t>FALUN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34509-2022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44792</v>
      </c>
      <c r="E1305" s="1" t="n">
        <v>46273</v>
      </c>
      <c r="F1305" t="inlineStr">
        <is>
          <t>DALARNAS LÄN</t>
        </is>
      </c>
      <c r="G1305" t="inlineStr">
        <is>
          <t>FALUN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16934-2026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46113</v>
      </c>
      <c r="E1306" s="1" t="n">
        <v>46273</v>
      </c>
      <c r="F1306" t="inlineStr">
        <is>
          <t>DALARNAS LÄN</t>
        </is>
      </c>
      <c r="G1306" t="inlineStr">
        <is>
          <t>FALUN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17055-2026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46114</v>
      </c>
      <c r="E1307" s="1" t="n">
        <v>46273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18.1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17134-2026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46114</v>
      </c>
      <c r="E1308" s="1" t="n">
        <v>46273</v>
      </c>
      <c r="F1308" t="inlineStr">
        <is>
          <t>DALARNAS LÄN</t>
        </is>
      </c>
      <c r="G1308" t="inlineStr">
        <is>
          <t>FALUN</t>
        </is>
      </c>
      <c r="I1308" t="n">
        <v>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17137-2026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46114</v>
      </c>
      <c r="E1309" s="1" t="n">
        <v>46273</v>
      </c>
      <c r="F1309" t="inlineStr">
        <is>
          <t>DALARNAS LÄN</t>
        </is>
      </c>
      <c r="G1309" t="inlineStr">
        <is>
          <t>FALUN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17048-2026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46114</v>
      </c>
      <c r="E1310" s="1" t="n">
        <v>46273</v>
      </c>
      <c r="F1310" t="inlineStr">
        <is>
          <t>DALARNAS LÄN</t>
        </is>
      </c>
      <c r="G1310" t="inlineStr">
        <is>
          <t>FALUN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17051-2026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46114</v>
      </c>
      <c r="E1311" s="1" t="n">
        <v>46273</v>
      </c>
      <c r="F1311" t="inlineStr">
        <is>
          <t>DALARNAS LÄN</t>
        </is>
      </c>
      <c r="G1311" t="inlineStr">
        <is>
          <t>FALUN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17067-2026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46114</v>
      </c>
      <c r="E1312" s="1" t="n">
        <v>46273</v>
      </c>
      <c r="F1312" t="inlineStr">
        <is>
          <t>DALARNAS LÄN</t>
        </is>
      </c>
      <c r="G1312" t="inlineStr">
        <is>
          <t>FALUN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17041-2026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46114</v>
      </c>
      <c r="E1313" s="1" t="n">
        <v>46273</v>
      </c>
      <c r="F1313" t="inlineStr">
        <is>
          <t>DALARNAS LÄN</t>
        </is>
      </c>
      <c r="G1313" t="inlineStr">
        <is>
          <t>FALUN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17135-2026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46114</v>
      </c>
      <c r="E1314" s="1" t="n">
        <v>46273</v>
      </c>
      <c r="F1314" t="inlineStr">
        <is>
          <t>DALARNAS LÄN</t>
        </is>
      </c>
      <c r="G1314" t="inlineStr">
        <is>
          <t>FALUN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22608-2026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46155</v>
      </c>
      <c r="E1315" s="1" t="n">
        <v>46273</v>
      </c>
      <c r="F1315" t="inlineStr">
        <is>
          <t>DALARNAS LÄN</t>
        </is>
      </c>
      <c r="G1315" t="inlineStr">
        <is>
          <t>FALUN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17310-2026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46119</v>
      </c>
      <c r="E1316" s="1" t="n">
        <v>46273</v>
      </c>
      <c r="F1316" t="inlineStr">
        <is>
          <t>DALARNAS LÄN</t>
        </is>
      </c>
      <c r="G1316" t="inlineStr">
        <is>
          <t>FALUN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13064-2026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46093</v>
      </c>
      <c r="E1317" s="1" t="n">
        <v>46273</v>
      </c>
      <c r="F1317" t="inlineStr">
        <is>
          <t>DALARNAS LÄN</t>
        </is>
      </c>
      <c r="G1317" t="inlineStr">
        <is>
          <t>FALUN</t>
        </is>
      </c>
      <c r="H1317" t="inlineStr">
        <is>
          <t>Allmännings- och besparingsskogar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17356-2026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46119</v>
      </c>
      <c r="E1318" s="1" t="n">
        <v>46273</v>
      </c>
      <c r="F1318" t="inlineStr">
        <is>
          <t>DALARNAS LÄN</t>
        </is>
      </c>
      <c r="G1318" t="inlineStr">
        <is>
          <t>FALUN</t>
        </is>
      </c>
      <c r="I1318" t="n">
        <v>4.3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17372-2026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46119</v>
      </c>
      <c r="E1319" s="1" t="n">
        <v>46273</v>
      </c>
      <c r="F1319" t="inlineStr">
        <is>
          <t>DALARNAS LÄN</t>
        </is>
      </c>
      <c r="G1319" t="inlineStr">
        <is>
          <t>FALUN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17212-2026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46119</v>
      </c>
      <c r="E1320" s="1" t="n">
        <v>46273</v>
      </c>
      <c r="F1320" t="inlineStr">
        <is>
          <t>DALARNAS LÄN</t>
        </is>
      </c>
      <c r="G1320" t="inlineStr">
        <is>
          <t>FALUN</t>
        </is>
      </c>
      <c r="I1320" t="n">
        <v>3.8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17296-2026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46119</v>
      </c>
      <c r="E1321" s="1" t="n">
        <v>46273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3.5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17284-2026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46119</v>
      </c>
      <c r="E1322" s="1" t="n">
        <v>46273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15.9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17371-2026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46119</v>
      </c>
      <c r="E1323" s="1" t="n">
        <v>46273</v>
      </c>
      <c r="F1323" t="inlineStr">
        <is>
          <t>DALARNAS LÄN</t>
        </is>
      </c>
      <c r="G1323" t="inlineStr">
        <is>
          <t>FALUN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18051-2025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45761</v>
      </c>
      <c r="E1324" s="1" t="n">
        <v>46273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5.1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17406-2026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46120</v>
      </c>
      <c r="E1325" s="1" t="n">
        <v>46273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17625-2026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46121</v>
      </c>
      <c r="E1326" s="1" t="n">
        <v>46273</v>
      </c>
      <c r="F1326" t="inlineStr">
        <is>
          <t>DALARNAS LÄN</t>
        </is>
      </c>
      <c r="G1326" t="inlineStr">
        <is>
          <t>FALUN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36212-2024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45534</v>
      </c>
      <c r="E1327" s="1" t="n">
        <v>46273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35936-2026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46266</v>
      </c>
      <c r="E1328" s="1" t="n">
        <v>46273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17630-2026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46121</v>
      </c>
      <c r="E1329" s="1" t="n">
        <v>46273</v>
      </c>
      <c r="F1329" t="inlineStr">
        <is>
          <t>DALARNAS LÄN</t>
        </is>
      </c>
      <c r="G1329" t="inlineStr">
        <is>
          <t>FALUN</t>
        </is>
      </c>
      <c r="I1329" t="n">
        <v>2.6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17629-2026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46121</v>
      </c>
      <c r="E1330" s="1" t="n">
        <v>46273</v>
      </c>
      <c r="F1330" t="inlineStr">
        <is>
          <t>DALARNAS LÄN</t>
        </is>
      </c>
      <c r="G1330" t="inlineStr">
        <is>
          <t>FALUN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17581-2026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46121</v>
      </c>
      <c r="E1331" s="1" t="n">
        <v>46273</v>
      </c>
      <c r="F1331" t="inlineStr">
        <is>
          <t>DALARNAS LÄN</t>
        </is>
      </c>
      <c r="G1331" t="inlineStr">
        <is>
          <t>FALUN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17593-2026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46121</v>
      </c>
      <c r="E1332" s="1" t="n">
        <v>46273</v>
      </c>
      <c r="F1332" t="inlineStr">
        <is>
          <t>DALARNAS LÄN</t>
        </is>
      </c>
      <c r="G1332" t="inlineStr">
        <is>
          <t>FALUN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17619-2026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46121</v>
      </c>
      <c r="E1333" s="1" t="n">
        <v>46273</v>
      </c>
      <c r="F1333" t="inlineStr">
        <is>
          <t>DALARNAS LÄN</t>
        </is>
      </c>
      <c r="G1333" t="inlineStr">
        <is>
          <t>FALUN</t>
        </is>
      </c>
      <c r="I1333" t="n">
        <v>2.7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46200-2023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45196</v>
      </c>
      <c r="E1334" s="1" t="n">
        <v>46273</v>
      </c>
      <c r="F1334" t="inlineStr">
        <is>
          <t>DALARNAS LÄN</t>
        </is>
      </c>
      <c r="G1334" t="inlineStr">
        <is>
          <t>FALUN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35836-2026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46265</v>
      </c>
      <c r="E1335" s="1" t="n">
        <v>46273</v>
      </c>
      <c r="F1335" t="inlineStr">
        <is>
          <t>DALARNAS LÄN</t>
        </is>
      </c>
      <c r="G1335" t="inlineStr">
        <is>
          <t>FALUN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17881-2026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46122</v>
      </c>
      <c r="E1336" s="1" t="n">
        <v>46273</v>
      </c>
      <c r="F1336" t="inlineStr">
        <is>
          <t>DALARNAS LÄN</t>
        </is>
      </c>
      <c r="G1336" t="inlineStr">
        <is>
          <t>FALUN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22343-2026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46154</v>
      </c>
      <c r="E1337" s="1" t="n">
        <v>46273</v>
      </c>
      <c r="F1337" t="inlineStr">
        <is>
          <t>DALARNAS LÄN</t>
        </is>
      </c>
      <c r="G1337" t="inlineStr">
        <is>
          <t>FALUN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31513-2026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46223</v>
      </c>
      <c r="E1338" s="1" t="n">
        <v>46273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17883-2026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46122</v>
      </c>
      <c r="E1339" s="1" t="n">
        <v>46273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36.7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18115-2026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46125</v>
      </c>
      <c r="E1340" s="1" t="n">
        <v>46273</v>
      </c>
      <c r="F1340" t="inlineStr">
        <is>
          <t>DALARNAS LÄN</t>
        </is>
      </c>
      <c r="G1340" t="inlineStr">
        <is>
          <t>FALUN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18012-2026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46125</v>
      </c>
      <c r="E1341" s="1" t="n">
        <v>46273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39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31496-2026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46223</v>
      </c>
      <c r="E1342" s="1" t="n">
        <v>46273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17923-2026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46122</v>
      </c>
      <c r="E1343" s="1" t="n">
        <v>46273</v>
      </c>
      <c r="F1343" t="inlineStr">
        <is>
          <t>DALARNAS LÄN</t>
        </is>
      </c>
      <c r="G1343" t="inlineStr">
        <is>
          <t>FALUN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18295-2026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46125</v>
      </c>
      <c r="E1344" s="1" t="n">
        <v>46273</v>
      </c>
      <c r="F1344" t="inlineStr">
        <is>
          <t>DALARNAS LÄN</t>
        </is>
      </c>
      <c r="G1344" t="inlineStr">
        <is>
          <t>FALUN</t>
        </is>
      </c>
      <c r="H1344" t="inlineStr">
        <is>
          <t>Allmännings- och besparingsskogar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17911-2026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46122</v>
      </c>
      <c r="E1345" s="1" t="n">
        <v>46273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57.2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5973-2024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45336</v>
      </c>
      <c r="E1346" s="1" t="n">
        <v>46273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17795-2026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46122</v>
      </c>
      <c r="E1347" s="1" t="n">
        <v>46273</v>
      </c>
      <c r="F1347" t="inlineStr">
        <is>
          <t>DALARNAS LÄN</t>
        </is>
      </c>
      <c r="G1347" t="inlineStr">
        <is>
          <t>FALUN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35721-2026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46265</v>
      </c>
      <c r="E1348" s="1" t="n">
        <v>46273</v>
      </c>
      <c r="F1348" t="inlineStr">
        <is>
          <t>DALARNAS LÄN</t>
        </is>
      </c>
      <c r="G1348" t="inlineStr">
        <is>
          <t>FALUN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17855-2026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46122</v>
      </c>
      <c r="E1349" s="1" t="n">
        <v>46273</v>
      </c>
      <c r="F1349" t="inlineStr">
        <is>
          <t>DALARNAS LÄN</t>
        </is>
      </c>
      <c r="G1349" t="inlineStr">
        <is>
          <t>FALUN</t>
        </is>
      </c>
      <c r="I1349" t="n">
        <v>8.800000000000001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18023-2026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46125</v>
      </c>
      <c r="E1350" s="1" t="n">
        <v>46273</v>
      </c>
      <c r="F1350" t="inlineStr">
        <is>
          <t>DALARNAS LÄN</t>
        </is>
      </c>
      <c r="G1350" t="inlineStr">
        <is>
          <t>FALUN</t>
        </is>
      </c>
      <c r="I1350" t="n">
        <v>7.3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31383-2026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46220</v>
      </c>
      <c r="E1351" s="1" t="n">
        <v>46273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18215-2026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46126</v>
      </c>
      <c r="E1352" s="1" t="n">
        <v>46273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18336-2026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46126</v>
      </c>
      <c r="E1353" s="1" t="n">
        <v>46273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56474-2024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45625</v>
      </c>
      <c r="E1354" s="1" t="n">
        <v>46273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4.7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18338-2026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46126</v>
      </c>
      <c r="E1355" s="1" t="n">
        <v>46273</v>
      </c>
      <c r="F1355" t="inlineStr">
        <is>
          <t>DALARNAS LÄN</t>
        </is>
      </c>
      <c r="G1355" t="inlineStr">
        <is>
          <t>FALUN</t>
        </is>
      </c>
      <c r="I1355" t="n">
        <v>16.6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18467-2026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46127</v>
      </c>
      <c r="E1356" s="1" t="n">
        <v>46273</v>
      </c>
      <c r="F1356" t="inlineStr">
        <is>
          <t>DALARNAS LÄN</t>
        </is>
      </c>
      <c r="G1356" t="inlineStr">
        <is>
          <t>FALUN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41006-2025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45898</v>
      </c>
      <c r="E1357" s="1" t="n">
        <v>46273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3.4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26770-2024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45470</v>
      </c>
      <c r="E1358" s="1" t="n">
        <v>46273</v>
      </c>
      <c r="F1358" t="inlineStr">
        <is>
          <t>DALARNAS LÄN</t>
        </is>
      </c>
      <c r="G1358" t="inlineStr">
        <is>
          <t>FALUN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18502-2026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46127</v>
      </c>
      <c r="E1359" s="1" t="n">
        <v>46273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4.6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18247-2026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46126</v>
      </c>
      <c r="E1360" s="1" t="n">
        <v>46273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24.2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18511-2026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46127</v>
      </c>
      <c r="E1361" s="1" t="n">
        <v>46273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5.6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18024-2025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45761</v>
      </c>
      <c r="E1362" s="1" t="n">
        <v>46273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5.1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18970-2026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46128</v>
      </c>
      <c r="E1363" s="1" t="n">
        <v>46273</v>
      </c>
      <c r="F1363" t="inlineStr">
        <is>
          <t>DALARNAS LÄN</t>
        </is>
      </c>
      <c r="G1363" t="inlineStr">
        <is>
          <t>FALUN</t>
        </is>
      </c>
      <c r="H1363" t="inlineStr">
        <is>
          <t>Allmännings- och besparingsskogar</t>
        </is>
      </c>
      <c r="I1363" t="n">
        <v>8.5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50266-2024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45600</v>
      </c>
      <c r="E1364" s="1" t="n">
        <v>46273</v>
      </c>
      <c r="F1364" t="inlineStr">
        <is>
          <t>DALARNAS LÄN</t>
        </is>
      </c>
      <c r="G1364" t="inlineStr">
        <is>
          <t>FALUN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18720-2026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46128</v>
      </c>
      <c r="E1365" s="1" t="n">
        <v>46273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6.1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31587-2026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46224</v>
      </c>
      <c r="E1366" s="1" t="n">
        <v>46273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11266-2026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46080</v>
      </c>
      <c r="E1367" s="1" t="n">
        <v>46273</v>
      </c>
      <c r="F1367" t="inlineStr">
        <is>
          <t>DALARNAS LÄN</t>
        </is>
      </c>
      <c r="G1367" t="inlineStr">
        <is>
          <t>FALUN</t>
        </is>
      </c>
      <c r="I1367" t="n">
        <v>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17333-2026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46119</v>
      </c>
      <c r="E1368" s="1" t="n">
        <v>46273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18716-2026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46128</v>
      </c>
      <c r="E1369" s="1" t="n">
        <v>46273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19041-2026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46132</v>
      </c>
      <c r="E1370" s="1" t="n">
        <v>46273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19073-2026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46132</v>
      </c>
      <c r="E1371" s="1" t="n">
        <v>46273</v>
      </c>
      <c r="F1371" t="inlineStr">
        <is>
          <t>DALARNAS LÄN</t>
        </is>
      </c>
      <c r="G1371" t="inlineStr">
        <is>
          <t>FALUN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11236-2026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46080</v>
      </c>
      <c r="E1372" s="1" t="n">
        <v>46273</v>
      </c>
      <c r="F1372" t="inlineStr">
        <is>
          <t>DALARNAS LÄN</t>
        </is>
      </c>
      <c r="G1372" t="inlineStr">
        <is>
          <t>FALUN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18983-2026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46128</v>
      </c>
      <c r="E1373" s="1" t="n">
        <v>46273</v>
      </c>
      <c r="F1373" t="inlineStr">
        <is>
          <t>DALARNAS LÄN</t>
        </is>
      </c>
      <c r="G1373" t="inlineStr">
        <is>
          <t>FALUN</t>
        </is>
      </c>
      <c r="H1373" t="inlineStr">
        <is>
          <t>Allmännings- och besparingsskogar</t>
        </is>
      </c>
      <c r="I1373" t="n">
        <v>8.199999999999999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18869-2026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46129</v>
      </c>
      <c r="E1374" s="1" t="n">
        <v>46273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19033-2026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46131</v>
      </c>
      <c r="E1375" s="1" t="n">
        <v>46273</v>
      </c>
      <c r="F1375" t="inlineStr">
        <is>
          <t>DALARNAS LÄN</t>
        </is>
      </c>
      <c r="G1375" t="inlineStr">
        <is>
          <t>FALUN</t>
        </is>
      </c>
      <c r="I1375" t="n">
        <v>0.2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36155-2026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46267</v>
      </c>
      <c r="E1376" s="1" t="n">
        <v>46273</v>
      </c>
      <c r="F1376" t="inlineStr">
        <is>
          <t>DALARNAS LÄN</t>
        </is>
      </c>
      <c r="G1376" t="inlineStr">
        <is>
          <t>FALUN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19176-2026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46132</v>
      </c>
      <c r="E1377" s="1" t="n">
        <v>46273</v>
      </c>
      <c r="F1377" t="inlineStr">
        <is>
          <t>DALARNAS LÄN</t>
        </is>
      </c>
      <c r="G1377" t="inlineStr">
        <is>
          <t>FALUN</t>
        </is>
      </c>
      <c r="I1377" t="n">
        <v>3.5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19032-2026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46131</v>
      </c>
      <c r="E1378" s="1" t="n">
        <v>46273</v>
      </c>
      <c r="F1378" t="inlineStr">
        <is>
          <t>DALARNAS LÄN</t>
        </is>
      </c>
      <c r="G1378" t="inlineStr">
        <is>
          <t>FALUN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19001-2026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46129</v>
      </c>
      <c r="E1379" s="1" t="n">
        <v>46273</v>
      </c>
      <c r="F1379" t="inlineStr">
        <is>
          <t>DALARNAS LÄN</t>
        </is>
      </c>
      <c r="G1379" t="inlineStr">
        <is>
          <t>FALUN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36803-2026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46272</v>
      </c>
      <c r="E1380" s="1" t="n">
        <v>46273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18765-2026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46128</v>
      </c>
      <c r="E1381" s="1" t="n">
        <v>46273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18998-2026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46129</v>
      </c>
      <c r="E1382" s="1" t="n">
        <v>46273</v>
      </c>
      <c r="F1382" t="inlineStr">
        <is>
          <t>DALARNAS LÄN</t>
        </is>
      </c>
      <c r="G1382" t="inlineStr">
        <is>
          <t>FALUN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19508-2026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46134</v>
      </c>
      <c r="E1383" s="1" t="n">
        <v>46273</v>
      </c>
      <c r="F1383" t="inlineStr">
        <is>
          <t>DALARNAS LÄN</t>
        </is>
      </c>
      <c r="G1383" t="inlineStr">
        <is>
          <t>FALUN</t>
        </is>
      </c>
      <c r="H1383" t="inlineStr">
        <is>
          <t>Kyrkan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19267-2026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46133</v>
      </c>
      <c r="E1384" s="1" t="n">
        <v>46273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3.7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19871-2026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46134</v>
      </c>
      <c r="E1385" s="1" t="n">
        <v>46273</v>
      </c>
      <c r="F1385" t="inlineStr">
        <is>
          <t>DALARNAS LÄN</t>
        </is>
      </c>
      <c r="G1385" t="inlineStr">
        <is>
          <t>FALUN</t>
        </is>
      </c>
      <c r="I1385" t="n">
        <v>5.1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19583-2026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46134</v>
      </c>
      <c r="E1386" s="1" t="n">
        <v>46273</v>
      </c>
      <c r="F1386" t="inlineStr">
        <is>
          <t>DALARNAS LÄN</t>
        </is>
      </c>
      <c r="G1386" t="inlineStr">
        <is>
          <t>FALUN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62156-2023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45267</v>
      </c>
      <c r="E1387" s="1" t="n">
        <v>46273</v>
      </c>
      <c r="F1387" t="inlineStr">
        <is>
          <t>DALARNAS LÄN</t>
        </is>
      </c>
      <c r="G1387" t="inlineStr">
        <is>
          <t>FALUN</t>
        </is>
      </c>
      <c r="I1387" t="n">
        <v>0.1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19460-2026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46133</v>
      </c>
      <c r="E1388" s="1" t="n">
        <v>46273</v>
      </c>
      <c r="F1388" t="inlineStr">
        <is>
          <t>DALARNAS LÄN</t>
        </is>
      </c>
      <c r="G1388" t="inlineStr">
        <is>
          <t>FALUN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19466-2026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46133</v>
      </c>
      <c r="E1389" s="1" t="n">
        <v>46273</v>
      </c>
      <c r="F1389" t="inlineStr">
        <is>
          <t>DALARNAS LÄN</t>
        </is>
      </c>
      <c r="G1389" t="inlineStr">
        <is>
          <t>FALUN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17011-2026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46114</v>
      </c>
      <c r="E1390" s="1" t="n">
        <v>46273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11299-2026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46080</v>
      </c>
      <c r="E1391" s="1" t="n">
        <v>46273</v>
      </c>
      <c r="F1391" t="inlineStr">
        <is>
          <t>DALARNAS LÄN</t>
        </is>
      </c>
      <c r="G1391" t="inlineStr">
        <is>
          <t>FALUN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19283-2026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46133</v>
      </c>
      <c r="E1392" s="1" t="n">
        <v>46273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4.9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19448-2026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46133</v>
      </c>
      <c r="E1393" s="1" t="n">
        <v>46273</v>
      </c>
      <c r="F1393" t="inlineStr">
        <is>
          <t>DALARNAS LÄN</t>
        </is>
      </c>
      <c r="G1393" t="inlineStr">
        <is>
          <t>FALUN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19450-2026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46133</v>
      </c>
      <c r="E1394" s="1" t="n">
        <v>46273</v>
      </c>
      <c r="F1394" t="inlineStr">
        <is>
          <t>DALARNAS LÄN</t>
        </is>
      </c>
      <c r="G1394" t="inlineStr">
        <is>
          <t>FALUN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54909-2024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45618</v>
      </c>
      <c r="E1395" s="1" t="n">
        <v>46273</v>
      </c>
      <c r="F1395" t="inlineStr">
        <is>
          <t>DALARNAS LÄN</t>
        </is>
      </c>
      <c r="G1395" t="inlineStr">
        <is>
          <t>FALUN</t>
        </is>
      </c>
      <c r="I1395" t="n">
        <v>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4294-2025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45685</v>
      </c>
      <c r="E1396" s="1" t="n">
        <v>46273</v>
      </c>
      <c r="F1396" t="inlineStr">
        <is>
          <t>DALARNAS LÄN</t>
        </is>
      </c>
      <c r="G1396" t="inlineStr">
        <is>
          <t>FALUN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39872-2022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44819</v>
      </c>
      <c r="E1397" s="1" t="n">
        <v>46273</v>
      </c>
      <c r="F1397" t="inlineStr">
        <is>
          <t>DALARNAS LÄN</t>
        </is>
      </c>
      <c r="G1397" t="inlineStr">
        <is>
          <t>FALUN</t>
        </is>
      </c>
      <c r="I1397" t="n">
        <v>3.8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16043-2026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46108</v>
      </c>
      <c r="E1398" s="1" t="n">
        <v>46273</v>
      </c>
      <c r="F1398" t="inlineStr">
        <is>
          <t>DALARNAS LÄN</t>
        </is>
      </c>
      <c r="G1398" t="inlineStr">
        <is>
          <t>FALUN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19422-2026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46133</v>
      </c>
      <c r="E1399" s="1" t="n">
        <v>46273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7.5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19266-2026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46133</v>
      </c>
      <c r="E1400" s="1" t="n">
        <v>46273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13.6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19281-2026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46133</v>
      </c>
      <c r="E1401" s="1" t="n">
        <v>46273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18.3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15293-2026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46105</v>
      </c>
      <c r="E1402" s="1" t="n">
        <v>46273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74258-2021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44558</v>
      </c>
      <c r="E1403" s="1" t="n">
        <v>46273</v>
      </c>
      <c r="F1403" t="inlineStr">
        <is>
          <t>DALARNAS LÄN</t>
        </is>
      </c>
      <c r="G1403" t="inlineStr">
        <is>
          <t>FALUN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10834-2023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44991</v>
      </c>
      <c r="E1404" s="1" t="n">
        <v>46273</v>
      </c>
      <c r="F1404" t="inlineStr">
        <is>
          <t>DALARNAS LÄN</t>
        </is>
      </c>
      <c r="G1404" t="inlineStr">
        <is>
          <t>FALUN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19451-2026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46133</v>
      </c>
      <c r="E1405" s="1" t="n">
        <v>46273</v>
      </c>
      <c r="F1405" t="inlineStr">
        <is>
          <t>DALARNAS LÄN</t>
        </is>
      </c>
      <c r="G1405" t="inlineStr">
        <is>
          <t>FALUN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19456-2026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46133</v>
      </c>
      <c r="E1406" s="1" t="n">
        <v>46273</v>
      </c>
      <c r="F1406" t="inlineStr">
        <is>
          <t>DALARNAS LÄN</t>
        </is>
      </c>
      <c r="G1406" t="inlineStr">
        <is>
          <t>FALUN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46014</v>
      </c>
      <c r="E1407" s="1" t="n">
        <v>46273</v>
      </c>
      <c r="F1407" t="inlineStr">
        <is>
          <t>DALARNAS LÄN</t>
        </is>
      </c>
      <c r="G1407" t="inlineStr">
        <is>
          <t>FALUN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2595-2026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46037</v>
      </c>
      <c r="E1408" s="1" t="n">
        <v>46273</v>
      </c>
      <c r="F1408" t="inlineStr">
        <is>
          <t>DALARNAS LÄN</t>
        </is>
      </c>
      <c r="G1408" t="inlineStr">
        <is>
          <t>FALUN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36795-2026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46272</v>
      </c>
      <c r="E1409" s="1" t="n">
        <v>46273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19917-2026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46136</v>
      </c>
      <c r="E1410" s="1" t="n">
        <v>46273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31858-2026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46230</v>
      </c>
      <c r="E1411" s="1" t="n">
        <v>46273</v>
      </c>
      <c r="F1411" t="inlineStr">
        <is>
          <t>DALARNAS LÄN</t>
        </is>
      </c>
      <c r="G1411" t="inlineStr">
        <is>
          <t>FALUN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17309-2026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46119</v>
      </c>
      <c r="E1412" s="1" t="n">
        <v>46273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17349-2026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46119</v>
      </c>
      <c r="E1413" s="1" t="n">
        <v>46273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4.9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16677-2026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46112</v>
      </c>
      <c r="E1414" s="1" t="n">
        <v>46273</v>
      </c>
      <c r="F1414" t="inlineStr">
        <is>
          <t>DALARNAS LÄN</t>
        </is>
      </c>
      <c r="G1414" t="inlineStr">
        <is>
          <t>FALUN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19723-2026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46135</v>
      </c>
      <c r="E1415" s="1" t="n">
        <v>46273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36727-2026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46272</v>
      </c>
      <c r="E1416" s="1" t="n">
        <v>46273</v>
      </c>
      <c r="F1416" t="inlineStr">
        <is>
          <t>DALARNAS LÄN</t>
        </is>
      </c>
      <c r="G1416" t="inlineStr">
        <is>
          <t>FALUN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36705-2026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46272</v>
      </c>
      <c r="E1417" s="1" t="n">
        <v>46273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4.9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16916-2025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45755</v>
      </c>
      <c r="E1418" s="1" t="n">
        <v>46273</v>
      </c>
      <c r="F1418" t="inlineStr">
        <is>
          <t>DALARNAS LÄN</t>
        </is>
      </c>
      <c r="G1418" t="inlineStr">
        <is>
          <t>FALUN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19728-2026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46135</v>
      </c>
      <c r="E1419" s="1" t="n">
        <v>46273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17905-2026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46122</v>
      </c>
      <c r="E1420" s="1" t="n">
        <v>46273</v>
      </c>
      <c r="F1420" t="inlineStr">
        <is>
          <t>DALARNAS LÄN</t>
        </is>
      </c>
      <c r="G1420" t="inlineStr">
        <is>
          <t>FALUN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33998-2024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45523</v>
      </c>
      <c r="E1421" s="1" t="n">
        <v>46273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18771-2026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46128</v>
      </c>
      <c r="E1422" s="1" t="n">
        <v>46273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31701-2026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46226</v>
      </c>
      <c r="E1423" s="1" t="n">
        <v>46273</v>
      </c>
      <c r="F1423" t="inlineStr">
        <is>
          <t>DALARNAS LÄN</t>
        </is>
      </c>
      <c r="G1423" t="inlineStr">
        <is>
          <t>FALUN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19892-2026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46135</v>
      </c>
      <c r="E1424" s="1" t="n">
        <v>46273</v>
      </c>
      <c r="F1424" t="inlineStr">
        <is>
          <t>DALARNAS LÄN</t>
        </is>
      </c>
      <c r="G1424" t="inlineStr">
        <is>
          <t>FALUN</t>
        </is>
      </c>
      <c r="I1424" t="n">
        <v>3.5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19579-2026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46134</v>
      </c>
      <c r="E1425" s="1" t="n">
        <v>46273</v>
      </c>
      <c r="F1425" t="inlineStr">
        <is>
          <t>DALARNAS LÄN</t>
        </is>
      </c>
      <c r="G1425" t="inlineStr">
        <is>
          <t>FALUN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16236-2026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46111</v>
      </c>
      <c r="E1426" s="1" t="n">
        <v>46273</v>
      </c>
      <c r="F1426" t="inlineStr">
        <is>
          <t>DALARNAS LÄN</t>
        </is>
      </c>
      <c r="G1426" t="inlineStr">
        <is>
          <t>FALUN</t>
        </is>
      </c>
      <c r="I1426" t="n">
        <v>14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36695-2026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46273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36495-2026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46269</v>
      </c>
      <c r="E1428" s="1" t="n">
        <v>46273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19897-2026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46135</v>
      </c>
      <c r="E1429" s="1" t="n">
        <v>46273</v>
      </c>
      <c r="F1429" t="inlineStr">
        <is>
          <t>DALARNAS LÄN</t>
        </is>
      </c>
      <c r="G1429" t="inlineStr">
        <is>
          <t>FALUN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36869-2026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46272</v>
      </c>
      <c r="E1430" s="1" t="n">
        <v>46273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15346-2026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46105</v>
      </c>
      <c r="E1431" s="1" t="n">
        <v>46273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19896-2026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46135</v>
      </c>
      <c r="E1432" s="1" t="n">
        <v>46273</v>
      </c>
      <c r="F1432" t="inlineStr">
        <is>
          <t>DALARNAS LÄN</t>
        </is>
      </c>
      <c r="G1432" t="inlineStr">
        <is>
          <t>FALUN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19995-2026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46136</v>
      </c>
      <c r="E1433" s="1" t="n">
        <v>46273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7.6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42327-2024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45562</v>
      </c>
      <c r="E1434" s="1" t="n">
        <v>46273</v>
      </c>
      <c r="F1434" t="inlineStr">
        <is>
          <t>DALARNAS LÄN</t>
        </is>
      </c>
      <c r="G1434" t="inlineStr">
        <is>
          <t>FALUN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52271-2025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45953</v>
      </c>
      <c r="E1435" s="1" t="n">
        <v>46273</v>
      </c>
      <c r="F1435" t="inlineStr">
        <is>
          <t>DALARNAS LÄN</t>
        </is>
      </c>
      <c r="G1435" t="inlineStr">
        <is>
          <t>FALUN</t>
        </is>
      </c>
      <c r="I1435" t="n">
        <v>7.9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44960</v>
      </c>
      <c r="E1436" s="1" t="n">
        <v>46273</v>
      </c>
      <c r="F1436" t="inlineStr">
        <is>
          <t>DALARNAS LÄN</t>
        </is>
      </c>
      <c r="G1436" t="inlineStr">
        <is>
          <t>FALUN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35807-2022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44802</v>
      </c>
      <c r="E1437" s="1" t="n">
        <v>46273</v>
      </c>
      <c r="F1437" t="inlineStr">
        <is>
          <t>DALARNAS LÄN</t>
        </is>
      </c>
      <c r="G1437" t="inlineStr">
        <is>
          <t>FALUN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17142-2026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46273</v>
      </c>
      <c r="F1438" t="inlineStr">
        <is>
          <t>DALARNAS LÄN</t>
        </is>
      </c>
      <c r="G1438" t="inlineStr">
        <is>
          <t>FALUN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19976-2026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46136</v>
      </c>
      <c r="E1439" s="1" t="n">
        <v>46273</v>
      </c>
      <c r="F1439" t="inlineStr">
        <is>
          <t>DALARNAS LÄN</t>
        </is>
      </c>
      <c r="G1439" t="inlineStr">
        <is>
          <t>FALUN</t>
        </is>
      </c>
      <c r="I1439" t="n">
        <v>40.2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43236-2024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45567</v>
      </c>
      <c r="E1440" s="1" t="n">
        <v>46273</v>
      </c>
      <c r="F1440" t="inlineStr">
        <is>
          <t>DALARNAS LÄN</t>
        </is>
      </c>
      <c r="G1440" t="inlineStr">
        <is>
          <t>FALUN</t>
        </is>
      </c>
      <c r="I1440" t="n">
        <v>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49642-2024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45596</v>
      </c>
      <c r="E1441" s="1" t="n">
        <v>46273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49663-2024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45596</v>
      </c>
      <c r="E1442" s="1" t="n">
        <v>46273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42292-2023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45180</v>
      </c>
      <c r="E1443" s="1" t="n">
        <v>46273</v>
      </c>
      <c r="F1443" t="inlineStr">
        <is>
          <t>DALARNAS LÄN</t>
        </is>
      </c>
      <c r="G1443" t="inlineStr">
        <is>
          <t>FALUN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13636-2023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45006</v>
      </c>
      <c r="E1444" s="1" t="n">
        <v>46273</v>
      </c>
      <c r="F1444" t="inlineStr">
        <is>
          <t>DALARNAS LÄN</t>
        </is>
      </c>
      <c r="G1444" t="inlineStr">
        <is>
          <t>FALUN</t>
        </is>
      </c>
      <c r="I1444" t="n">
        <v>4.2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15193-2022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44658</v>
      </c>
      <c r="E1445" s="1" t="n">
        <v>46273</v>
      </c>
      <c r="F1445" t="inlineStr">
        <is>
          <t>DALARNAS LÄN</t>
        </is>
      </c>
      <c r="G1445" t="inlineStr">
        <is>
          <t>FALUN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43377-2022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44834</v>
      </c>
      <c r="E1446" s="1" t="n">
        <v>46273</v>
      </c>
      <c r="F1446" t="inlineStr">
        <is>
          <t>DALARNAS LÄN</t>
        </is>
      </c>
      <c r="G1446" t="inlineStr">
        <is>
          <t>FALUN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10523-2023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44987</v>
      </c>
      <c r="E1447" s="1" t="n">
        <v>46273</v>
      </c>
      <c r="F1447" t="inlineStr">
        <is>
          <t>DALARNAS LÄN</t>
        </is>
      </c>
      <c r="G1447" t="inlineStr">
        <is>
          <t>FALUN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28275-2023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45099</v>
      </c>
      <c r="E1448" s="1" t="n">
        <v>46273</v>
      </c>
      <c r="F1448" t="inlineStr">
        <is>
          <t>DALARNAS LÄN</t>
        </is>
      </c>
      <c r="G1448" t="inlineStr">
        <is>
          <t>FALUN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51920-2024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45607</v>
      </c>
      <c r="E1449" s="1" t="n">
        <v>46273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49645-2024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45596</v>
      </c>
      <c r="E1450" s="1" t="n">
        <v>46273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16929-2023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45033</v>
      </c>
      <c r="E1451" s="1" t="n">
        <v>46273</v>
      </c>
      <c r="F1451" t="inlineStr">
        <is>
          <t>DALARNAS LÄN</t>
        </is>
      </c>
      <c r="G1451" t="inlineStr">
        <is>
          <t>FALUN</t>
        </is>
      </c>
      <c r="I1451" t="n">
        <v>0.3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42436-2024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45565</v>
      </c>
      <c r="E1452" s="1" t="n">
        <v>46273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52615-2021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44466</v>
      </c>
      <c r="E1453" s="1" t="n">
        <v>46273</v>
      </c>
      <c r="F1453" t="inlineStr">
        <is>
          <t>DALARNAS LÄN</t>
        </is>
      </c>
      <c r="G1453" t="inlineStr">
        <is>
          <t>FALUN</t>
        </is>
      </c>
      <c r="I1453" t="n">
        <v>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31884-2023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45118</v>
      </c>
      <c r="E1454" s="1" t="n">
        <v>46273</v>
      </c>
      <c r="F1454" t="inlineStr">
        <is>
          <t>DALARNAS LÄN</t>
        </is>
      </c>
      <c r="G1454" t="inlineStr">
        <is>
          <t>FALUN</t>
        </is>
      </c>
      <c r="I1454" t="n">
        <v>3.5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49986-2024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45597</v>
      </c>
      <c r="E1455" s="1" t="n">
        <v>46273</v>
      </c>
      <c r="F1455" t="inlineStr">
        <is>
          <t>DALARNAS LÄN</t>
        </is>
      </c>
      <c r="G1455" t="inlineStr">
        <is>
          <t>FALUN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50184-2022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44865</v>
      </c>
      <c r="E1456" s="1" t="n">
        <v>46273</v>
      </c>
      <c r="F1456" t="inlineStr">
        <is>
          <t>DALARNAS LÄN</t>
        </is>
      </c>
      <c r="G1456" t="inlineStr">
        <is>
          <t>FALUN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33534-2023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45131</v>
      </c>
      <c r="E1457" s="1" t="n">
        <v>46273</v>
      </c>
      <c r="F1457" t="inlineStr">
        <is>
          <t>DALARNAS LÄN</t>
        </is>
      </c>
      <c r="G1457" t="inlineStr">
        <is>
          <t>FALUN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33539-2023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45131</v>
      </c>
      <c r="E1458" s="1" t="n">
        <v>46273</v>
      </c>
      <c r="F1458" t="inlineStr">
        <is>
          <t>DALARNAS LÄN</t>
        </is>
      </c>
      <c r="G1458" t="inlineStr">
        <is>
          <t>FALUN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33543-2023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45131</v>
      </c>
      <c r="E1459" s="1" t="n">
        <v>46273</v>
      </c>
      <c r="F1459" t="inlineStr">
        <is>
          <t>DALARNAS LÄN</t>
        </is>
      </c>
      <c r="G1459" t="inlineStr">
        <is>
          <t>FALUN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24694-2023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45084</v>
      </c>
      <c r="E1460" s="1" t="n">
        <v>46273</v>
      </c>
      <c r="F1460" t="inlineStr">
        <is>
          <t>DALARNAS LÄN</t>
        </is>
      </c>
      <c r="G1460" t="inlineStr">
        <is>
          <t>FALUN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2380-2025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45673</v>
      </c>
      <c r="E1461" s="1" t="n">
        <v>46273</v>
      </c>
      <c r="F1461" t="inlineStr">
        <is>
          <t>DALARNAS LÄN</t>
        </is>
      </c>
      <c r="G1461" t="inlineStr">
        <is>
          <t>FALUN</t>
        </is>
      </c>
      <c r="I1461" t="n">
        <v>8.4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35917-2023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45148</v>
      </c>
      <c r="E1462" s="1" t="n">
        <v>46273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3.2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44315-2023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45188</v>
      </c>
      <c r="E1463" s="1" t="n">
        <v>46273</v>
      </c>
      <c r="F1463" t="inlineStr">
        <is>
          <t>DALARNAS LÄN</t>
        </is>
      </c>
      <c r="G1463" t="inlineStr">
        <is>
          <t>FALUN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39914-2024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45553</v>
      </c>
      <c r="E1464" s="1" t="n">
        <v>46273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15121-2025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45744</v>
      </c>
      <c r="E1465" s="1" t="n">
        <v>46273</v>
      </c>
      <c r="F1465" t="inlineStr">
        <is>
          <t>DALARNAS LÄN</t>
        </is>
      </c>
      <c r="G1465" t="inlineStr">
        <is>
          <t>FALUN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17883-2025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45758</v>
      </c>
      <c r="E1466" s="1" t="n">
        <v>46273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23642-2024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45454</v>
      </c>
      <c r="E1467" s="1" t="n">
        <v>46273</v>
      </c>
      <c r="F1467" t="inlineStr">
        <is>
          <t>DALARNAS LÄN</t>
        </is>
      </c>
      <c r="G1467" t="inlineStr">
        <is>
          <t>FALUN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2556-2023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44943</v>
      </c>
      <c r="E1468" s="1" t="n">
        <v>46273</v>
      </c>
      <c r="F1468" t="inlineStr">
        <is>
          <t>DALARNAS LÄN</t>
        </is>
      </c>
      <c r="G1468" t="inlineStr">
        <is>
          <t>FALUN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746-2025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45665</v>
      </c>
      <c r="E1469" s="1" t="n">
        <v>46273</v>
      </c>
      <c r="F1469" t="inlineStr">
        <is>
          <t>DALARNAS LÄN</t>
        </is>
      </c>
      <c r="G1469" t="inlineStr">
        <is>
          <t>FALUN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7755-2024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45349</v>
      </c>
      <c r="E1470" s="1" t="n">
        <v>46273</v>
      </c>
      <c r="F1470" t="inlineStr">
        <is>
          <t>DALARNAS LÄN</t>
        </is>
      </c>
      <c r="G1470" t="inlineStr">
        <is>
          <t>FALUN</t>
        </is>
      </c>
      <c r="I1470" t="n">
        <v>0.3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44593-2023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45189</v>
      </c>
      <c r="E1471" s="1" t="n">
        <v>46273</v>
      </c>
      <c r="F1471" t="inlineStr">
        <is>
          <t>DALARNAS LÄN</t>
        </is>
      </c>
      <c r="G1471" t="inlineStr">
        <is>
          <t>FALUN</t>
        </is>
      </c>
      <c r="I1471" t="n">
        <v>0.2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46871-2023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45200</v>
      </c>
      <c r="E1472" s="1" t="n">
        <v>46273</v>
      </c>
      <c r="F1472" t="inlineStr">
        <is>
          <t>DALARNAS LÄN</t>
        </is>
      </c>
      <c r="G1472" t="inlineStr">
        <is>
          <t>FALUN</t>
        </is>
      </c>
      <c r="I1472" t="n">
        <v>2.8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63842-2023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46273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35941-2023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45148</v>
      </c>
      <c r="E1474" s="1" t="n">
        <v>46273</v>
      </c>
      <c r="F1474" t="inlineStr">
        <is>
          <t>DALARNAS LÄN</t>
        </is>
      </c>
      <c r="G1474" t="inlineStr">
        <is>
          <t>FALUN</t>
        </is>
      </c>
      <c r="I1474" t="n">
        <v>0.2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14688-2023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45014</v>
      </c>
      <c r="E1475" s="1" t="n">
        <v>46273</v>
      </c>
      <c r="F1475" t="inlineStr">
        <is>
          <t>DALARNAS LÄN</t>
        </is>
      </c>
      <c r="G1475" t="inlineStr">
        <is>
          <t>FALUN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26615-2022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44739</v>
      </c>
      <c r="E1476" s="1" t="n">
        <v>46273</v>
      </c>
      <c r="F1476" t="inlineStr">
        <is>
          <t>DALARNAS LÄN</t>
        </is>
      </c>
      <c r="G1476" t="inlineStr">
        <is>
          <t>FALUN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13565-2024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45389</v>
      </c>
      <c r="E1477" s="1" t="n">
        <v>46273</v>
      </c>
      <c r="F1477" t="inlineStr">
        <is>
          <t>DALARNAS LÄN</t>
        </is>
      </c>
      <c r="G1477" t="inlineStr">
        <is>
          <t>FALUN</t>
        </is>
      </c>
      <c r="I1477" t="n">
        <v>0.4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58713-2024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45635</v>
      </c>
      <c r="E1478" s="1" t="n">
        <v>46273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58819-2023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45252</v>
      </c>
      <c r="E1479" s="1" t="n">
        <v>46273</v>
      </c>
      <c r="F1479" t="inlineStr">
        <is>
          <t>DALARNAS LÄN</t>
        </is>
      </c>
      <c r="G1479" t="inlineStr">
        <is>
          <t>FALUN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40426-2022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44823</v>
      </c>
      <c r="E1480" s="1" t="n">
        <v>46273</v>
      </c>
      <c r="F1480" t="inlineStr">
        <is>
          <t>DALARNAS LÄN</t>
        </is>
      </c>
      <c r="G1480" t="inlineStr">
        <is>
          <t>FALUN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43222-2023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45183</v>
      </c>
      <c r="E1481" s="1" t="n">
        <v>46273</v>
      </c>
      <c r="F1481" t="inlineStr">
        <is>
          <t>DALARNAS LÄN</t>
        </is>
      </c>
      <c r="G1481" t="inlineStr">
        <is>
          <t>FALUN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47767-2024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45588</v>
      </c>
      <c r="E1482" s="1" t="n">
        <v>46273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50757-2024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45602</v>
      </c>
      <c r="E1483" s="1" t="n">
        <v>46273</v>
      </c>
      <c r="F1483" t="inlineStr">
        <is>
          <t>DALARNAS LÄN</t>
        </is>
      </c>
      <c r="G1483" t="inlineStr">
        <is>
          <t>FALUN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5397-2024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45331</v>
      </c>
      <c r="E1484" s="1" t="n">
        <v>46273</v>
      </c>
      <c r="F1484" t="inlineStr">
        <is>
          <t>DALARNAS LÄN</t>
        </is>
      </c>
      <c r="G1484" t="inlineStr">
        <is>
          <t>FALUN</t>
        </is>
      </c>
      <c r="I1484" t="n">
        <v>7.8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25722-2023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45090</v>
      </c>
      <c r="E1485" s="1" t="n">
        <v>46273</v>
      </c>
      <c r="F1485" t="inlineStr">
        <is>
          <t>DALARNAS LÄN</t>
        </is>
      </c>
      <c r="G1485" t="inlineStr">
        <is>
          <t>FALUN</t>
        </is>
      </c>
      <c r="I1485" t="n">
        <v>11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40635-2022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44824</v>
      </c>
      <c r="E1486" s="1" t="n">
        <v>46273</v>
      </c>
      <c r="F1486" t="inlineStr">
        <is>
          <t>DALARNAS LÄN</t>
        </is>
      </c>
      <c r="G1486" t="inlineStr">
        <is>
          <t>FALUN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19194-2023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45048</v>
      </c>
      <c r="E1487" s="1" t="n">
        <v>46273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50772-2024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45602</v>
      </c>
      <c r="E1488" s="1" t="n">
        <v>46273</v>
      </c>
      <c r="F1488" t="inlineStr">
        <is>
          <t>DALARNAS LÄN</t>
        </is>
      </c>
      <c r="G1488" t="inlineStr">
        <is>
          <t>FALUN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22646-2024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45447</v>
      </c>
      <c r="E1489" s="1" t="n">
        <v>46273</v>
      </c>
      <c r="F1489" t="inlineStr">
        <is>
          <t>DALARNAS LÄN</t>
        </is>
      </c>
      <c r="G1489" t="inlineStr">
        <is>
          <t>FALUN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45665-2024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45579</v>
      </c>
      <c r="E1490" s="1" t="n">
        <v>46273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8823-2023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44978</v>
      </c>
      <c r="E1491" s="1" t="n">
        <v>46273</v>
      </c>
      <c r="F1491" t="inlineStr">
        <is>
          <t>DALARNAS LÄN</t>
        </is>
      </c>
      <c r="G1491" t="inlineStr">
        <is>
          <t>FALUN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47631-2023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45203</v>
      </c>
      <c r="E1492" s="1" t="n">
        <v>46273</v>
      </c>
      <c r="F1492" t="inlineStr">
        <is>
          <t>DALARNAS LÄN</t>
        </is>
      </c>
      <c r="G1492" t="inlineStr">
        <is>
          <t>FALUN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49683-2024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45596</v>
      </c>
      <c r="E1493" s="1" t="n">
        <v>46273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4.4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3278-2024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45317</v>
      </c>
      <c r="E1494" s="1" t="n">
        <v>46273</v>
      </c>
      <c r="F1494" t="inlineStr">
        <is>
          <t>DALARNAS LÄN</t>
        </is>
      </c>
      <c r="G1494" t="inlineStr">
        <is>
          <t>FALUN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33931-2024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45523</v>
      </c>
      <c r="E1495" s="1" t="n">
        <v>46273</v>
      </c>
      <c r="F1495" t="inlineStr">
        <is>
          <t>DALARNAS LÄN</t>
        </is>
      </c>
      <c r="G1495" t="inlineStr">
        <is>
          <t>FALUN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58322-2023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45250</v>
      </c>
      <c r="E1496" s="1" t="n">
        <v>46273</v>
      </c>
      <c r="F1496" t="inlineStr">
        <is>
          <t>DALARNAS LÄN</t>
        </is>
      </c>
      <c r="G1496" t="inlineStr">
        <is>
          <t>FALUN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30537-2024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45492</v>
      </c>
      <c r="E1497" s="1" t="n">
        <v>46273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45694</v>
      </c>
      <c r="E1498" s="1" t="n">
        <v>46273</v>
      </c>
      <c r="F1498" t="inlineStr">
        <is>
          <t>DALARNAS LÄN</t>
        </is>
      </c>
      <c r="G1498" t="inlineStr">
        <is>
          <t>FALUN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4834-2024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45329</v>
      </c>
      <c r="E1499" s="1" t="n">
        <v>46273</v>
      </c>
      <c r="F1499" t="inlineStr">
        <is>
          <t>DALARNAS LÄN</t>
        </is>
      </c>
      <c r="G1499" t="inlineStr">
        <is>
          <t>FALUN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22941-2023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45072</v>
      </c>
      <c r="E1500" s="1" t="n">
        <v>46273</v>
      </c>
      <c r="F1500" t="inlineStr">
        <is>
          <t>DALARNAS LÄN</t>
        </is>
      </c>
      <c r="G1500" t="inlineStr">
        <is>
          <t>FALUN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32571-2024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45513</v>
      </c>
      <c r="E1501" s="1" t="n">
        <v>46273</v>
      </c>
      <c r="F1501" t="inlineStr">
        <is>
          <t>DALARNAS LÄN</t>
        </is>
      </c>
      <c r="G1501" t="inlineStr">
        <is>
          <t>FALUN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13237-2024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45386</v>
      </c>
      <c r="E1502" s="1" t="n">
        <v>46273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20684-2025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45776</v>
      </c>
      <c r="E1503" s="1" t="n">
        <v>46273</v>
      </c>
      <c r="F1503" t="inlineStr">
        <is>
          <t>DALARNAS LÄN</t>
        </is>
      </c>
      <c r="G1503" t="inlineStr">
        <is>
          <t>FALUN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20680-2025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45776</v>
      </c>
      <c r="E1504" s="1" t="n">
        <v>46273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20954-2025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45777</v>
      </c>
      <c r="E1505" s="1" t="n">
        <v>46273</v>
      </c>
      <c r="F1505" t="inlineStr">
        <is>
          <t>DALARNAS LÄN</t>
        </is>
      </c>
      <c r="G1505" t="inlineStr">
        <is>
          <t>FALUN</t>
        </is>
      </c>
      <c r="I1505" t="n">
        <v>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29880-2024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45486</v>
      </c>
      <c r="E1506" s="1" t="n">
        <v>46273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44183-2024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45572</v>
      </c>
      <c r="E1507" s="1" t="n">
        <v>46273</v>
      </c>
      <c r="F1507" t="inlineStr">
        <is>
          <t>DALARNAS LÄN</t>
        </is>
      </c>
      <c r="G1507" t="inlineStr">
        <is>
          <t>FALUN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15790-2024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45404</v>
      </c>
      <c r="E1508" s="1" t="n">
        <v>46273</v>
      </c>
      <c r="F1508" t="inlineStr">
        <is>
          <t>DALARNAS LÄN</t>
        </is>
      </c>
      <c r="G1508" t="inlineStr">
        <is>
          <t>FALUN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46273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26773-2024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45470</v>
      </c>
      <c r="E1510" s="1" t="n">
        <v>46273</v>
      </c>
      <c r="F1510" t="inlineStr">
        <is>
          <t>DALARNAS LÄN</t>
        </is>
      </c>
      <c r="G1510" t="inlineStr">
        <is>
          <t>FALUN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35890-2024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45533</v>
      </c>
      <c r="E1511" s="1" t="n">
        <v>46273</v>
      </c>
      <c r="F1511" t="inlineStr">
        <is>
          <t>DALARNAS LÄN</t>
        </is>
      </c>
      <c r="G1511" t="inlineStr">
        <is>
          <t>FALUN</t>
        </is>
      </c>
      <c r="I1511" t="n">
        <v>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28724-2024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45478</v>
      </c>
      <c r="E1512" s="1" t="n">
        <v>46273</v>
      </c>
      <c r="F1512" t="inlineStr">
        <is>
          <t>DALARNAS LÄN</t>
        </is>
      </c>
      <c r="G1512" t="inlineStr">
        <is>
          <t>FALUN</t>
        </is>
      </c>
      <c r="I1512" t="n">
        <v>5.1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35894-2024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45533</v>
      </c>
      <c r="E1513" s="1" t="n">
        <v>46273</v>
      </c>
      <c r="F1513" t="inlineStr">
        <is>
          <t>DALARNAS LÄN</t>
        </is>
      </c>
      <c r="G1513" t="inlineStr">
        <is>
          <t>FALUN</t>
        </is>
      </c>
      <c r="I1513" t="n">
        <v>8.800000000000001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28123-2024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45476</v>
      </c>
      <c r="E1514" s="1" t="n">
        <v>46273</v>
      </c>
      <c r="F1514" t="inlineStr">
        <is>
          <t>DALARNAS LÄN</t>
        </is>
      </c>
      <c r="G1514" t="inlineStr">
        <is>
          <t>FALUN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24625-2024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45460</v>
      </c>
      <c r="E1515" s="1" t="n">
        <v>46273</v>
      </c>
      <c r="F1515" t="inlineStr">
        <is>
          <t>DALARNAS LÄN</t>
        </is>
      </c>
      <c r="G1515" t="inlineStr">
        <is>
          <t>FALUN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11109-2024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45371</v>
      </c>
      <c r="E1516" s="1" t="n">
        <v>46273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35530-2024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45531</v>
      </c>
      <c r="E1517" s="1" t="n">
        <v>46273</v>
      </c>
      <c r="F1517" t="inlineStr">
        <is>
          <t>DALARNAS LÄN</t>
        </is>
      </c>
      <c r="G1517" t="inlineStr">
        <is>
          <t>FALUN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7902-2024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45350</v>
      </c>
      <c r="E1518" s="1" t="n">
        <v>46273</v>
      </c>
      <c r="F1518" t="inlineStr">
        <is>
          <t>DALARNAS LÄN</t>
        </is>
      </c>
      <c r="G1518" t="inlineStr">
        <is>
          <t>FALUN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5169-2024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45330</v>
      </c>
      <c r="E1519" s="1" t="n">
        <v>46273</v>
      </c>
      <c r="F1519" t="inlineStr">
        <is>
          <t>DALARNAS LÄN</t>
        </is>
      </c>
      <c r="G1519" t="inlineStr">
        <is>
          <t>FALUN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50512-2024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45601</v>
      </c>
      <c r="E1520" s="1" t="n">
        <v>46273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5818-2024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45335</v>
      </c>
      <c r="E1521" s="1" t="n">
        <v>46273</v>
      </c>
      <c r="F1521" t="inlineStr">
        <is>
          <t>DALARNAS LÄN</t>
        </is>
      </c>
      <c r="G1521" t="inlineStr">
        <is>
          <t>FALUN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22782-2024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45448</v>
      </c>
      <c r="E1522" s="1" t="n">
        <v>46273</v>
      </c>
      <c r="F1522" t="inlineStr">
        <is>
          <t>DALARNAS LÄN</t>
        </is>
      </c>
      <c r="G1522" t="inlineStr">
        <is>
          <t>FALUN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38216-2024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45545</v>
      </c>
      <c r="E1523" s="1" t="n">
        <v>46273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9.699999999999999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36397-2024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45535</v>
      </c>
      <c r="E1524" s="1" t="n">
        <v>46273</v>
      </c>
      <c r="F1524" t="inlineStr">
        <is>
          <t>DALARNAS LÄN</t>
        </is>
      </c>
      <c r="G1524" t="inlineStr">
        <is>
          <t>FALUN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23711-2025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45793</v>
      </c>
      <c r="E1525" s="1" t="n">
        <v>46273</v>
      </c>
      <c r="F1525" t="inlineStr">
        <is>
          <t>DALARNAS LÄN</t>
        </is>
      </c>
      <c r="G1525" t="inlineStr">
        <is>
          <t>FALUN</t>
        </is>
      </c>
      <c r="I1525" t="n">
        <v>5.3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35070-2024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45527</v>
      </c>
      <c r="E1526" s="1" t="n">
        <v>46273</v>
      </c>
      <c r="F1526" t="inlineStr">
        <is>
          <t>DALARNAS LÄN</t>
        </is>
      </c>
      <c r="G1526" t="inlineStr">
        <is>
          <t>FALUN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26883-2022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44740</v>
      </c>
      <c r="E1527" s="1" t="n">
        <v>46273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51130-2024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45603</v>
      </c>
      <c r="E1528" s="1" t="n">
        <v>46273</v>
      </c>
      <c r="F1528" t="inlineStr">
        <is>
          <t>DALARNAS LÄN</t>
        </is>
      </c>
      <c r="G1528" t="inlineStr">
        <is>
          <t>FALUN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35437-2024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45531</v>
      </c>
      <c r="E1529" s="1" t="n">
        <v>46273</v>
      </c>
      <c r="F1529" t="inlineStr">
        <is>
          <t>DALARNAS LÄN</t>
        </is>
      </c>
      <c r="G1529" t="inlineStr">
        <is>
          <t>FALUN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20437-2024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45435</v>
      </c>
      <c r="E1530" s="1" t="n">
        <v>46273</v>
      </c>
      <c r="F1530" t="inlineStr">
        <is>
          <t>DALARNAS LÄN</t>
        </is>
      </c>
      <c r="G1530" t="inlineStr">
        <is>
          <t>FALUN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61877-2024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45652</v>
      </c>
      <c r="E1531" s="1" t="n">
        <v>46273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42060-2024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45561</v>
      </c>
      <c r="E1532" s="1" t="n">
        <v>46273</v>
      </c>
      <c r="F1532" t="inlineStr">
        <is>
          <t>DALARNAS LÄN</t>
        </is>
      </c>
      <c r="G1532" t="inlineStr">
        <is>
          <t>FALUN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58623-2024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45635</v>
      </c>
      <c r="E1533" s="1" t="n">
        <v>46273</v>
      </c>
      <c r="F1533" t="inlineStr">
        <is>
          <t>DALARNAS LÄN</t>
        </is>
      </c>
      <c r="G1533" t="inlineStr">
        <is>
          <t>FALUN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24443-2025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45798</v>
      </c>
      <c r="E1534" s="1" t="n">
        <v>46273</v>
      </c>
      <c r="F1534" t="inlineStr">
        <is>
          <t>DALARNAS LÄN</t>
        </is>
      </c>
      <c r="G1534" t="inlineStr">
        <is>
          <t>FALUN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36308-2024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46273</v>
      </c>
      <c r="F1535" t="inlineStr">
        <is>
          <t>DALARNAS LÄN</t>
        </is>
      </c>
      <c r="G1535" t="inlineStr">
        <is>
          <t>FALUN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2767-2024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45314</v>
      </c>
      <c r="E1536" s="1" t="n">
        <v>46273</v>
      </c>
      <c r="F1536" t="inlineStr">
        <is>
          <t>DALARNAS LÄN</t>
        </is>
      </c>
      <c r="G1536" t="inlineStr">
        <is>
          <t>FALUN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10940-2025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45723</v>
      </c>
      <c r="E1537" s="1" t="n">
        <v>46273</v>
      </c>
      <c r="F1537" t="inlineStr">
        <is>
          <t>DALARNAS LÄN</t>
        </is>
      </c>
      <c r="G1537" t="inlineStr">
        <is>
          <t>FALUN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15207-2025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45744</v>
      </c>
      <c r="E1538" s="1" t="n">
        <v>46273</v>
      </c>
      <c r="F1538" t="inlineStr">
        <is>
          <t>DALARNAS LÄN</t>
        </is>
      </c>
      <c r="G1538" t="inlineStr">
        <is>
          <t>FALUN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26771-2025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45810</v>
      </c>
      <c r="E1539" s="1" t="n">
        <v>46273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18463-2022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44686</v>
      </c>
      <c r="E1540" s="1" t="n">
        <v>46273</v>
      </c>
      <c r="F1540" t="inlineStr">
        <is>
          <t>DALARNAS LÄN</t>
        </is>
      </c>
      <c r="G1540" t="inlineStr">
        <is>
          <t>FALUN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26800-2025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45810</v>
      </c>
      <c r="E1541" s="1" t="n">
        <v>46273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27158-2025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45812</v>
      </c>
      <c r="E1542" s="1" t="n">
        <v>46273</v>
      </c>
      <c r="F1542" t="inlineStr">
        <is>
          <t>DALARNAS LÄN</t>
        </is>
      </c>
      <c r="G1542" t="inlineStr">
        <is>
          <t>FALUN</t>
        </is>
      </c>
      <c r="I1542" t="n">
        <v>13.4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26927-2025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45811</v>
      </c>
      <c r="E1543" s="1" t="n">
        <v>46273</v>
      </c>
      <c r="F1543" t="inlineStr">
        <is>
          <t>DALARNAS LÄN</t>
        </is>
      </c>
      <c r="G1543" t="inlineStr">
        <is>
          <t>FALUN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27469-2025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45813</v>
      </c>
      <c r="E1544" s="1" t="n">
        <v>46273</v>
      </c>
      <c r="F1544" t="inlineStr">
        <is>
          <t>DALARNAS LÄN</t>
        </is>
      </c>
      <c r="G1544" t="inlineStr">
        <is>
          <t>FALUN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28828-2025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45820</v>
      </c>
      <c r="E1545" s="1" t="n">
        <v>46273</v>
      </c>
      <c r="F1545" t="inlineStr">
        <is>
          <t>DALARNAS LÄN</t>
        </is>
      </c>
      <c r="G1545" t="inlineStr">
        <is>
          <t>FALUN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28730-2025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45820</v>
      </c>
      <c r="E1546" s="1" t="n">
        <v>46273</v>
      </c>
      <c r="F1546" t="inlineStr">
        <is>
          <t>DALARNAS LÄN</t>
        </is>
      </c>
      <c r="G1546" t="inlineStr">
        <is>
          <t>FALUN</t>
        </is>
      </c>
      <c r="I1546" t="n">
        <v>1.4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28721-2025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45820</v>
      </c>
      <c r="E1547" s="1" t="n">
        <v>46273</v>
      </c>
      <c r="F1547" t="inlineStr">
        <is>
          <t>DALARNAS LÄN</t>
        </is>
      </c>
      <c r="G1547" t="inlineStr">
        <is>
          <t>FALUN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29294-2025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45824</v>
      </c>
      <c r="E1548" s="1" t="n">
        <v>46273</v>
      </c>
      <c r="F1548" t="inlineStr">
        <is>
          <t>DALARNAS LÄN</t>
        </is>
      </c>
      <c r="G1548" t="inlineStr">
        <is>
          <t>FALUN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29355-2025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45824</v>
      </c>
      <c r="E1549" s="1" t="n">
        <v>46273</v>
      </c>
      <c r="F1549" t="inlineStr">
        <is>
          <t>DALARNAS LÄN</t>
        </is>
      </c>
      <c r="G1549" t="inlineStr">
        <is>
          <t>FALUN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30927-2025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45832</v>
      </c>
      <c r="E1550" s="1" t="n">
        <v>46273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30869-2025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45832</v>
      </c>
      <c r="E1551" s="1" t="n">
        <v>46273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33542-2025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45841</v>
      </c>
      <c r="E1552" s="1" t="n">
        <v>46273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24782-2025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45799</v>
      </c>
      <c r="E1553" s="1" t="n">
        <v>46273</v>
      </c>
      <c r="F1553" t="inlineStr">
        <is>
          <t>DALARNAS LÄN</t>
        </is>
      </c>
      <c r="G1553" t="inlineStr">
        <is>
          <t>FALUN</t>
        </is>
      </c>
      <c r="I1553" t="n">
        <v>2.8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34443-2025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45845</v>
      </c>
      <c r="E1554" s="1" t="n">
        <v>46273</v>
      </c>
      <c r="F1554" t="inlineStr">
        <is>
          <t>DALARNAS LÄN</t>
        </is>
      </c>
      <c r="G1554" t="inlineStr">
        <is>
          <t>FALUN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34941-2025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45849</v>
      </c>
      <c r="E1555" s="1" t="n">
        <v>46273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18.1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35323-2025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45854</v>
      </c>
      <c r="E1556" s="1" t="n">
        <v>46273</v>
      </c>
      <c r="F1556" t="inlineStr">
        <is>
          <t>DALARNAS LÄN</t>
        </is>
      </c>
      <c r="G1556" t="inlineStr">
        <is>
          <t>FALUN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36271-2025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45867</v>
      </c>
      <c r="E1557" s="1" t="n">
        <v>46273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37456-2025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45877</v>
      </c>
      <c r="E1558" s="1" t="n">
        <v>46273</v>
      </c>
      <c r="F1558" t="inlineStr">
        <is>
          <t>DALARNAS LÄN</t>
        </is>
      </c>
      <c r="G1558" t="inlineStr">
        <is>
          <t>FALUN</t>
        </is>
      </c>
      <c r="I1558" t="n">
        <v>4.8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21747-2024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45442</v>
      </c>
      <c r="E1559" s="1" t="n">
        <v>46273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37998-2025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45881</v>
      </c>
      <c r="E1560" s="1" t="n">
        <v>46273</v>
      </c>
      <c r="F1560" t="inlineStr">
        <is>
          <t>DALARNAS LÄN</t>
        </is>
      </c>
      <c r="G1560" t="inlineStr">
        <is>
          <t>FALUN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37999-2025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45881</v>
      </c>
      <c r="E1561" s="1" t="n">
        <v>46273</v>
      </c>
      <c r="F1561" t="inlineStr">
        <is>
          <t>DALARNAS LÄN</t>
        </is>
      </c>
      <c r="G1561" t="inlineStr">
        <is>
          <t>FALUN</t>
        </is>
      </c>
      <c r="I1561" t="n">
        <v>1.2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2065-2022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46273</v>
      </c>
      <c r="F1562" t="inlineStr">
        <is>
          <t>DALARNAS LÄN</t>
        </is>
      </c>
      <c r="G1562" t="inlineStr">
        <is>
          <t>FALUN</t>
        </is>
      </c>
      <c r="I1562" t="n">
        <v>84.09999999999999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889-2021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44301</v>
      </c>
      <c r="E1563" s="1" t="n">
        <v>46273</v>
      </c>
      <c r="F1563" t="inlineStr">
        <is>
          <t>DALARNAS LÄN</t>
        </is>
      </c>
      <c r="G1563" t="inlineStr">
        <is>
          <t>FALUN</t>
        </is>
      </c>
      <c r="I1563" t="n">
        <v>84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2070-2022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46273</v>
      </c>
      <c r="F1564" t="inlineStr">
        <is>
          <t>DALARNAS LÄN</t>
        </is>
      </c>
      <c r="G1564" t="inlineStr">
        <is>
          <t>FALUN</t>
        </is>
      </c>
      <c r="I1564" t="n">
        <v>18.4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2990-2022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44713</v>
      </c>
      <c r="E1565" s="1" t="n">
        <v>46273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317.3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2066-2022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46273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2524-2024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45474</v>
      </c>
      <c r="E1567" s="1" t="n">
        <v>46273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4.4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2621-2023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45147</v>
      </c>
      <c r="E1568" s="1" t="n">
        <v>46273</v>
      </c>
      <c r="F1568" t="inlineStr">
        <is>
          <t>DALARNAS LÄN</t>
        </is>
      </c>
      <c r="G1568" t="inlineStr">
        <is>
          <t>FALUN</t>
        </is>
      </c>
      <c r="I1568" t="n">
        <v>84.3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2711-2023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46273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6520-2021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44452</v>
      </c>
      <c r="E1570" s="1" t="n">
        <v>46273</v>
      </c>
      <c r="F1570" t="inlineStr">
        <is>
          <t>DALARNAS LÄN</t>
        </is>
      </c>
      <c r="G1570" t="inlineStr">
        <is>
          <t>FALUN</t>
        </is>
      </c>
      <c r="I1570" t="n">
        <v>31.7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1536-2023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45054</v>
      </c>
      <c r="E1571" s="1" t="n">
        <v>46273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179.7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2864-2023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45168</v>
      </c>
      <c r="E1572" s="1" t="n">
        <v>46273</v>
      </c>
      <c r="F1572" t="inlineStr">
        <is>
          <t>DALARNAS LÄN</t>
        </is>
      </c>
      <c r="G1572" t="inlineStr">
        <is>
          <t>FALUN</t>
        </is>
      </c>
      <c r="H1572" t="inlineStr">
        <is>
          <t>Övriga statliga verk och myndigheter</t>
        </is>
      </c>
      <c r="I1572" t="n">
        <v>15.7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2917-2023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45169</v>
      </c>
      <c r="E1573" s="1" t="n">
        <v>46273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5.5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2714-2023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46273</v>
      </c>
      <c r="F1574" t="inlineStr">
        <is>
          <t>DALARNAS LÄN</t>
        </is>
      </c>
      <c r="G1574" t="inlineStr">
        <is>
          <t>FALUN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2916-2023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45169</v>
      </c>
      <c r="E1575" s="1" t="n">
        <v>46273</v>
      </c>
      <c r="F1575" t="inlineStr">
        <is>
          <t>DALARNAS LÄN</t>
        </is>
      </c>
      <c r="G1575" t="inlineStr">
        <is>
          <t>FALUN</t>
        </is>
      </c>
      <c r="H1575" t="inlineStr">
        <is>
          <t>Övriga statliga verk och myndigheter</t>
        </is>
      </c>
      <c r="I1575" t="n">
        <v>10.4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240-2024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45319</v>
      </c>
      <c r="E1576" s="1" t="n">
        <v>46273</v>
      </c>
      <c r="F1576" t="inlineStr">
        <is>
          <t>DALARNAS LÄN</t>
        </is>
      </c>
      <c r="G1576" t="inlineStr">
        <is>
          <t>FALUN</t>
        </is>
      </c>
      <c r="H1576" t="inlineStr">
        <is>
          <t>Sveaskog</t>
        </is>
      </c>
      <c r="I1576" t="n">
        <v>56.9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3359-2024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45532</v>
      </c>
      <c r="E1577" s="1" t="n">
        <v>46273</v>
      </c>
      <c r="F1577" t="inlineStr">
        <is>
          <t>DALARNAS LÄN</t>
        </is>
      </c>
      <c r="G1577" t="inlineStr">
        <is>
          <t>FALUN</t>
        </is>
      </c>
      <c r="I1577" t="n">
        <v>70.90000000000001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2712-2023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45155</v>
      </c>
      <c r="E1578" s="1" t="n">
        <v>46273</v>
      </c>
      <c r="F1578" t="inlineStr">
        <is>
          <t>DALARNAS LÄN</t>
        </is>
      </c>
      <c r="G1578" t="inlineStr">
        <is>
          <t>FALUN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4545-2024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45597</v>
      </c>
      <c r="E1579" s="1" t="n">
        <v>46273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1184-2024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45396</v>
      </c>
      <c r="E1580" s="1" t="n">
        <v>46273</v>
      </c>
      <c r="F1580" t="inlineStr">
        <is>
          <t>DALARNAS LÄN</t>
        </is>
      </c>
      <c r="G1580" t="inlineStr">
        <is>
          <t>FALUN</t>
        </is>
      </c>
      <c r="I1580" t="n">
        <v>15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1347-2025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45772</v>
      </c>
      <c r="E1581" s="1" t="n">
        <v>46273</v>
      </c>
      <c r="F1581" t="inlineStr">
        <is>
          <t>DALARNAS LÄN</t>
        </is>
      </c>
      <c r="G1581" t="inlineStr">
        <is>
          <t>FALUN</t>
        </is>
      </c>
      <c r="I1581" t="n">
        <v>24.4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1581-2025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45796</v>
      </c>
      <c r="E1582" s="1" t="n">
        <v>46273</v>
      </c>
      <c r="F1582" t="inlineStr">
        <is>
          <t>DALARNAS LÄN</t>
        </is>
      </c>
      <c r="G1582" t="inlineStr">
        <is>
          <t>FALUN</t>
        </is>
      </c>
      <c r="I1582" t="n">
        <v>15.7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2125-2025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45846</v>
      </c>
      <c r="E1583" s="1" t="n">
        <v>46273</v>
      </c>
      <c r="F1583" t="inlineStr">
        <is>
          <t>DALARNAS LÄN</t>
        </is>
      </c>
      <c r="G1583" t="inlineStr">
        <is>
          <t>FALUN</t>
        </is>
      </c>
      <c r="I1583" t="n">
        <v>4.2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2126-2025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46273</v>
      </c>
      <c r="F1584" t="inlineStr">
        <is>
          <t>DALARNAS LÄN</t>
        </is>
      </c>
      <c r="G1584" t="inlineStr">
        <is>
          <t>FALUN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2124-2025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46273</v>
      </c>
      <c r="F1585" t="inlineStr">
        <is>
          <t>DALARNAS LÄN</t>
        </is>
      </c>
      <c r="G1585" t="inlineStr">
        <is>
          <t>FALUN</t>
        </is>
      </c>
      <c r="I1585" t="n">
        <v>10.8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2573-2025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45912</v>
      </c>
      <c r="E1586" s="1" t="n">
        <v>46273</v>
      </c>
      <c r="F1586" t="inlineStr">
        <is>
          <t>DALARNAS LÄN</t>
        </is>
      </c>
      <c r="G1586" t="inlineStr">
        <is>
          <t>FALUN</t>
        </is>
      </c>
      <c r="I1586" t="n">
        <v>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111-2026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46038</v>
      </c>
      <c r="E1587" s="1" t="n">
        <v>46273</v>
      </c>
      <c r="F1587" t="inlineStr">
        <is>
          <t>DALARNAS LÄN</t>
        </is>
      </c>
      <c r="G1587" t="inlineStr">
        <is>
          <t>FALUN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409-2026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46070</v>
      </c>
      <c r="E1588" s="1" t="n">
        <v>46273</v>
      </c>
      <c r="F1588" t="inlineStr">
        <is>
          <t>DALARNAS LÄN</t>
        </is>
      </c>
      <c r="G1588" t="inlineStr">
        <is>
          <t>FALUN</t>
        </is>
      </c>
      <c r="H1588" t="inlineStr">
        <is>
          <t>Sveaskog</t>
        </is>
      </c>
      <c r="I1588" t="n">
        <v>17.1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1869-2026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46199</v>
      </c>
      <c r="E1589" s="1" t="n">
        <v>46273</v>
      </c>
      <c r="F1589" t="inlineStr">
        <is>
          <t>DALARNAS LÄN</t>
        </is>
      </c>
      <c r="G1589" t="inlineStr">
        <is>
          <t>FALUN</t>
        </is>
      </c>
      <c r="I1589" t="n">
        <v>9.1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>
      <c r="A1590" t="inlineStr">
        <is>
          <t>S 2175-2026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46251</v>
      </c>
      <c r="E1590" s="1" t="n">
        <v>46273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74.7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2026-09-08T02:11:39Z</dcterms:created>
  <dcterms:modified xmlns:dcterms="http://purl.org/dc/terms/" xmlns:xsi="http://www.w3.org/2001/XMLSchema-instance" xsi:type="dcterms:W3CDTF">2026-09-08T02:11:40Z</dcterms:modified>
</cp:coreProperties>
</file>