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45833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45833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45833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45833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45833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45833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45833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45833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45833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45833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45833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45833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45833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45833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45833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45833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45833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45833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45833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45833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45833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45833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45833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45833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45833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45833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45833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45833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45833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45833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45833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45833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45833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45833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45833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45833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45833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45833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45833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45833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45833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45833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45833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45833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45833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45833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45833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45833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45833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45833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45833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45833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45833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45833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45833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45833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45833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45833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45833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45833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45833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45833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45833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45833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45833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45833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45833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45833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45833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45833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45833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45833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45833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45833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45833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45833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45833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45833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45833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45833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45833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45833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45833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45833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45833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45833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45833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45833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45833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45833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45833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45833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45833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45833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45833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45833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45833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45833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45833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45833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45833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45833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45833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45833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45833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45833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45833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45833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45833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45833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45833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45833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45833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45833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45833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45833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45833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45833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45833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45833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45833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45833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45833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45833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45833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45833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45833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45833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45833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45833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45833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45833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45833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45833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45833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45833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45833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45833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45833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45833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45833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45833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45833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45833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45833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45833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45833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45833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45833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45833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45833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45833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45833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45833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45833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45833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45833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45833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45833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45833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45833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45833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45833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45833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45833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45833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45833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45833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45833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45833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45833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45833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45833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45833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45833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45833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45833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45833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45833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45833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45833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45833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45833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45833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45833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45833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45833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45833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45833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45833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45833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45833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45833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45833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45833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45833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45833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45833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45833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45833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45833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45833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45833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45833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45833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45833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45833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45833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45833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45833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45833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45833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45833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45833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45833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45833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45833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45833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45833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45833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45833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45833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45833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45833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45833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45833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45833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45833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45833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45833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45833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45833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45833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45833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45833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45833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45833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45833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45833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45833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45833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45833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45833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45833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45833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45833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45833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45833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45833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45833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45833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45833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45833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45833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45833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45833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45833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45833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45833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45833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45833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45833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45833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45833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45833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45833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45833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45833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45833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45833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45833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45833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45833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45833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45833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45833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45833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45833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45833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45833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45833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45833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45833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45833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45833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45833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45833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45833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45833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45833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45833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45833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45833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45833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45833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45833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45833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45833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45833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45833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45833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45833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45833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45833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45833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45833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45833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45833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45833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45833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45833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45833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45833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45833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45833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45833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45833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45833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45833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45833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45833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45833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45833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45833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45833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45833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45833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45833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45833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45833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45833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45833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45833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45833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45833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45833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45833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45833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45833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45833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45833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45833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45833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45833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45833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45833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45833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45833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45833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45833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45833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45833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45833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45833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45833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45833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45833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45833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45833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45833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45833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45833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45833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45833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45833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45833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45833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45833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45833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45833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45833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45833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45833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45833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45833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45833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45833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45833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45833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45833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45833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45833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45833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45833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45833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45833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45833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45833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45833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45833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45833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45833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45833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45833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45833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45833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45833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45833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45833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45833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45833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45833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45833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45833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45833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45833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45833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45833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45833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45833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45833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45833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45833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45833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45833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45833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45833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45833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45833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45833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45833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45833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45833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45833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45833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45833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45833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45833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45833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45833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45833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45833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45833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45833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45833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45833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45833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45833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45833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45833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45833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45833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45833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45833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45833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45833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45833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45833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45833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45833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45833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45833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45833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45833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45833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45833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45833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45833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45833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45833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45833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45833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45833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45833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45833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45833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45833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45833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45833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45833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45833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45833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45833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45833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45833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45833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45833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45833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45833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45833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45833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45833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45833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45833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45833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45833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45833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45833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45833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45833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45833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45833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45833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45833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45833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45833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45833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45833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45833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45833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45833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45833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45833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45833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45833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45833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45833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45833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45833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45833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45833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45833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45833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45833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45833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45833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45833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45833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45833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45833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45833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45833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45833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45833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45833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45833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45833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45833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45833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45833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45833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45833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45833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45833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45833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45833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45833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45833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45833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45833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45833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45833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45833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45833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45833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45833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45833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45833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45833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45833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45833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45833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45833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45833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45833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45833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45833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45833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45833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45833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45833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45833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45833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45833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45833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45833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45833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45833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45833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45833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45833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45833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45833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45833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45833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45833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45833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45833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45833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45833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45833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45833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45833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45833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45833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45833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45833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45833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45833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45833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45833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45833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45833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45833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45833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45833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45833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45833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45833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45833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45833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45833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45833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45833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45833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45833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45833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45833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45833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45833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45833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45833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45833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45833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45833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45833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45833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45833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45833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45833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45833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45833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45833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45833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45833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45833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45833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45833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45833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45833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45833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45833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45833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45833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45833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45833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45833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45833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45833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45833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45833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45833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45833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45833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45833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45833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45833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45833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45833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45833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45833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45833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45833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45833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45833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45833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45833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45833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45833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45833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45833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45833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45833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45833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45833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45833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45833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45833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45833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45833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45833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45833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45833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45833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45833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45833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45833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45833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45833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45833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45833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45833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45833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45833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45833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45833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45833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45833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45833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45833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45833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45833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45833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45833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45833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45833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45833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45833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45833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45833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45833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45833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45833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45833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45833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45833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45833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45833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45833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45833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45833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45833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45833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45833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45833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45833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45833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45833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45833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45833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45833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45833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45833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45833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45833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45833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45833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45833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45833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45833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45833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45833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45833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45833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45833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45833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45833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45833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45833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45833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45833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45833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45833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45833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45833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45833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45833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45833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45833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45833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45833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45833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45833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45833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45833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45833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45833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45833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45833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45833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45833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45833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45833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45833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45833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45833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45833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45833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45833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45833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45833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45833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45833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45833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45833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45833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45833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45833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45833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45833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45833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45833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45833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45833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45833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45833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45833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45833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45833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45833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45833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45833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45833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45833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45833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45833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45833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45833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45833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45833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45833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45833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45833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45833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45833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45833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45833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45833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45833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45833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45833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45833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45833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45833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45833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45833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45833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45833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45833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45833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45833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45833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45833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45833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45833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45833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45833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45833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45833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45833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45833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45833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45833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45833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45833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45833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45833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45833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45833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45833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45833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45833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45833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45833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45833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45833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45833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45833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45833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45833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45833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45833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45833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45833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45833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45833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45833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45833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45833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45833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45833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45833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45833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45833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45833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45833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45833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45833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45833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45833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45833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45833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45833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45833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45833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45833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45833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45833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45833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45833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45833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45833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45833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45833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45833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45833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45833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45833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45833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45833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45833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45833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45833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45833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45833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45833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45833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45833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45833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45833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45833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45833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45833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45833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45833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45833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45833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45833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45833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45833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45833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45833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45833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45833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45833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45833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45833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45833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45833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45833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45833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45833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45833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45833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45833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45833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45833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45833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45833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45833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45833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45833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45833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45833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45833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45833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45833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45833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45833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45833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45833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45833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45833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45833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45833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45833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45833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45833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45833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45833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45833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45833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45833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45833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45833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45833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45833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45833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45833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45833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45833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45833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45833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45833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45833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45833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45833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45833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45833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45833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45833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45833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45833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45833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45833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45833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45833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45833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45833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45833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45833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45833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45833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45833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45833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45833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45833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45833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45833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45833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45833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45833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45833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45833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45833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45833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45833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45833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45833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45833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45833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45833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45833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45833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45833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45833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45833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45833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45833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45833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45833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45833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45833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45833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45833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45833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45833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45833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45833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45833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45833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45833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45833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45833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45833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45833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45833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45833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45833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45833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45833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45833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45833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45833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45833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45833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45833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45833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45833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45833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45833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45833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45833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45833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45833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45833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45833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45833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45833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45833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45833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45833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45833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45833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45833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45833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45833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45833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45833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45833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45833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45833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45833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45833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45833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45833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45833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45833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45833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45833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45833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45833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45833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45833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45833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45833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45833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45833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45833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45833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45833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45833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45833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45833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45833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45833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45833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45833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45833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45833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45833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45833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45833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45833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45833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45833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45833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45833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45833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45833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45833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45833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45833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45833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45833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45833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45833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45833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45833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45833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45833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45833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45833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45833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45833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45833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45833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45833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45833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45833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45833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45833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45833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45833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45833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45833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45833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45833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45833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45833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45833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45833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45833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45833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45833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45833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45833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45833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45833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45833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45833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45833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45833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45833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45833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45833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45833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45833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45833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45833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45833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45833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45833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45833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45833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45833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45833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45833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45833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45833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45833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45833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45833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45833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45833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45833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45833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45833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45833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45833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45833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45833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45833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45833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45833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45833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45833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45833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45833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45833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45833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45833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45833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45833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45833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45833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45833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45833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45833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45833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45833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45833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45833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45833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45833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45833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45833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45833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45833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45833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45833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45833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45833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45833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45833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45833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45833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45833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45833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45833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45833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45833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45833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45833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45833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45833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45833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45833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45833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45833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45833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45833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45833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45833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45833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45833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45833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45833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45833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45833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45833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45833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45833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45833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45833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45833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45833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45833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45833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45833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45833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45833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45833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45833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45833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45833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45833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45833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45833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45833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45833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45833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45833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45833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45833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45833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45833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45833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45833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45833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45833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45833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45833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45833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45833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45833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45833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45833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45833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45833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45833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45833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45833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45833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45833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45833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45833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45833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45833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45833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45833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45833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45833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45833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45833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45833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45833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45833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45833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45833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45833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45833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45833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45833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45833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45833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45833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45833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45833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45833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45833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45833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45833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45833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45833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45833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45833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45833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45833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45833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45833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45833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45833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45833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45833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45833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45833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45833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45833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45833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45833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45833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45833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45833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45833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45833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45833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45833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45833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45833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45833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45833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45833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45833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45833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45833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45833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45833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45833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45833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45833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45833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45833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45833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45833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45833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45833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45833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45833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45833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45833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45833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45833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45833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45833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45833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45833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45833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45833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45833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45833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45833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45833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45833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45833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45833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45833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45833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45833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45833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45833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45833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45833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45833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45833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45833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45833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45833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45833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28735-2025</t>
        </is>
      </c>
      <c r="B1664" s="1" t="n">
        <v>45820</v>
      </c>
      <c r="C1664" s="1" t="n">
        <v>45833</v>
      </c>
      <c r="D1664" t="inlineStr">
        <is>
          <t>DALARNAS LÄN</t>
        </is>
      </c>
      <c r="E1664" t="inlineStr">
        <is>
          <t>FALUN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45833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28828-2025</t>
        </is>
      </c>
      <c r="B1666" s="1" t="n">
        <v>45820</v>
      </c>
      <c r="C1666" s="1" t="n">
        <v>45833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28930-2025</t>
        </is>
      </c>
      <c r="B1667" s="1" t="n">
        <v>45820</v>
      </c>
      <c r="C1667" s="1" t="n">
        <v>45833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HYPERLINK("https://klasma.github.io/Logging_202080/knärot/A 28930-2025 karta knärot.png", "A 28930-2025")</f>
        <v/>
      </c>
      <c r="V1667">
        <f>HYPERLINK("https://klasma.github.io/Logging_202080/klagomål/A 28930-2025 FSC-klagomål.docx", "A 28930-2025")</f>
        <v/>
      </c>
      <c r="W1667">
        <f>HYPERLINK("https://klasma.github.io/Logging_202080/klagomålsmail/A 28930-2025 FSC-klagomål mail.docx", "A 28930-2025")</f>
        <v/>
      </c>
      <c r="X1667">
        <f>HYPERLINK("https://klasma.github.io/Logging_202080/tillsyn/A 28930-2025 tillsynsbegäran.docx", "A 28930-2025")</f>
        <v/>
      </c>
      <c r="Y1667">
        <f>HYPERLINK("https://klasma.github.io/Logging_202080/tillsynsmail/A 28930-2025 tillsynsbegäran mail.docx", "A 28930-2025")</f>
        <v/>
      </c>
    </row>
    <row r="1668" ht="15" customHeight="1">
      <c r="A1668" t="inlineStr">
        <is>
          <t>A 29427-2025</t>
        </is>
      </c>
      <c r="B1668" s="1" t="n">
        <v>45824</v>
      </c>
      <c r="C1668" s="1" t="n">
        <v>45833</v>
      </c>
      <c r="D1668" t="inlineStr">
        <is>
          <t>DALARNAS LÄN</t>
        </is>
      </c>
      <c r="E1668" t="inlineStr">
        <is>
          <t>FALUN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29294-2025</t>
        </is>
      </c>
      <c r="B1669" s="1" t="n">
        <v>45824</v>
      </c>
      <c r="C1669" s="1" t="n">
        <v>45833</v>
      </c>
      <c r="D1669" t="inlineStr">
        <is>
          <t>DALARNAS LÄN</t>
        </is>
      </c>
      <c r="E1669" t="inlineStr">
        <is>
          <t>FALUN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29355-2025</t>
        </is>
      </c>
      <c r="B1670" s="1" t="n">
        <v>45824</v>
      </c>
      <c r="C1670" s="1" t="n">
        <v>45833</v>
      </c>
      <c r="D1670" t="inlineStr">
        <is>
          <t>DALARNAS LÄN</t>
        </is>
      </c>
      <c r="E1670" t="inlineStr">
        <is>
          <t>FALUN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29527-2025</t>
        </is>
      </c>
      <c r="B1671" s="1" t="n">
        <v>45825</v>
      </c>
      <c r="C1671" s="1" t="n">
        <v>45833</v>
      </c>
      <c r="D1671" t="inlineStr">
        <is>
          <t>DALARNAS LÄN</t>
        </is>
      </c>
      <c r="E1671" t="inlineStr">
        <is>
          <t>FALUN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29791-2025</t>
        </is>
      </c>
      <c r="B1672" s="1" t="n">
        <v>45825</v>
      </c>
      <c r="C1672" s="1" t="n">
        <v>45833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HYPERLINK("https://klasma.github.io/Logging_202080/knärot/A 29791-2025 karta knärot.png", "A 29791-2025")</f>
        <v/>
      </c>
      <c r="V1672">
        <f>HYPERLINK("https://klasma.github.io/Logging_202080/klagomål/A 29791-2025 FSC-klagomål.docx", "A 29791-2025")</f>
        <v/>
      </c>
      <c r="W1672">
        <f>HYPERLINK("https://klasma.github.io/Logging_202080/klagomålsmail/A 29791-2025 FSC-klagomål mail.docx", "A 29791-2025")</f>
        <v/>
      </c>
      <c r="X1672">
        <f>HYPERLINK("https://klasma.github.io/Logging_202080/tillsyn/A 29791-2025 tillsynsbegäran.docx", "A 29791-2025")</f>
        <v/>
      </c>
      <c r="Y1672">
        <f>HYPERLINK("https://klasma.github.io/Logging_202080/tillsynsmail/A 29791-2025 tillsynsbegäran mail.docx", "A 29791-2025")</f>
        <v/>
      </c>
    </row>
    <row r="1673" ht="15" customHeight="1">
      <c r="A1673" t="inlineStr">
        <is>
          <t>A 29703-2025</t>
        </is>
      </c>
      <c r="B1673" s="1" t="n">
        <v>45825</v>
      </c>
      <c r="C1673" s="1" t="n">
        <v>45833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29740-2025</t>
        </is>
      </c>
      <c r="B1674" s="1" t="n">
        <v>45825</v>
      </c>
      <c r="C1674" s="1" t="n">
        <v>45833</v>
      </c>
      <c r="D1674" t="inlineStr">
        <is>
          <t>DALARNAS LÄN</t>
        </is>
      </c>
      <c r="E1674" t="inlineStr">
        <is>
          <t>FALUN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30146-2025</t>
        </is>
      </c>
      <c r="B1675" s="1" t="n">
        <v>45827</v>
      </c>
      <c r="C1675" s="1" t="n">
        <v>45833</v>
      </c>
      <c r="D1675" t="inlineStr">
        <is>
          <t>DALARNAS LÄN</t>
        </is>
      </c>
      <c r="E1675" t="inlineStr">
        <is>
          <t>FALUN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30378-2025</t>
        </is>
      </c>
      <c r="B1676" s="1" t="n">
        <v>45827</v>
      </c>
      <c r="C1676" s="1" t="n">
        <v>45833</v>
      </c>
      <c r="D1676" t="inlineStr">
        <is>
          <t>DALARNAS LÄN</t>
        </is>
      </c>
      <c r="E1676" t="inlineStr">
        <is>
          <t>FALUN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30405-2025</t>
        </is>
      </c>
      <c r="B1677" s="1" t="n">
        <v>45827</v>
      </c>
      <c r="C1677" s="1" t="n">
        <v>45833</v>
      </c>
      <c r="D1677" t="inlineStr">
        <is>
          <t>DALARNAS LÄN</t>
        </is>
      </c>
      <c r="E1677" t="inlineStr">
        <is>
          <t>FALUN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30593-2025</t>
        </is>
      </c>
      <c r="B1678" s="1" t="n">
        <v>45831</v>
      </c>
      <c r="C1678" s="1" t="n">
        <v>45833</v>
      </c>
      <c r="D1678" t="inlineStr">
        <is>
          <t>DALARNAS LÄN</t>
        </is>
      </c>
      <c r="E1678" t="inlineStr">
        <is>
          <t>FALUN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30819-2025</t>
        </is>
      </c>
      <c r="B1679" s="1" t="n">
        <v>45831</v>
      </c>
      <c r="C1679" s="1" t="n">
        <v>45833</v>
      </c>
      <c r="D1679" t="inlineStr">
        <is>
          <t>DALARNAS LÄN</t>
        </is>
      </c>
      <c r="E1679" t="inlineStr">
        <is>
          <t>FALUN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30814-2025</t>
        </is>
      </c>
      <c r="B1680" s="1" t="n">
        <v>45831</v>
      </c>
      <c r="C1680" s="1" t="n">
        <v>45833</v>
      </c>
      <c r="D1680" t="inlineStr">
        <is>
          <t>DALARNAS LÄN</t>
        </is>
      </c>
      <c r="E1680" t="inlineStr">
        <is>
          <t>FALUN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30804-2025</t>
        </is>
      </c>
      <c r="B1681" s="1" t="n">
        <v>45831</v>
      </c>
      <c r="C1681" s="1" t="n">
        <v>45833</v>
      </c>
      <c r="D1681" t="inlineStr">
        <is>
          <t>DALARNAS LÄN</t>
        </is>
      </c>
      <c r="E1681" t="inlineStr">
        <is>
          <t>FALUN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30817-2025</t>
        </is>
      </c>
      <c r="B1682" s="1" t="n">
        <v>45831</v>
      </c>
      <c r="C1682" s="1" t="n">
        <v>45833</v>
      </c>
      <c r="D1682" t="inlineStr">
        <is>
          <t>DALARNAS LÄN</t>
        </is>
      </c>
      <c r="E1682" t="inlineStr">
        <is>
          <t>FALUN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45833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31230-2025</t>
        </is>
      </c>
      <c r="B1684" s="1" t="n">
        <v>45832</v>
      </c>
      <c r="C1684" s="1" t="n">
        <v>45833</v>
      </c>
      <c r="D1684" t="inlineStr">
        <is>
          <t>DALARNAS LÄN</t>
        </is>
      </c>
      <c r="E1684" t="inlineStr">
        <is>
          <t>FALUN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30869-2025</t>
        </is>
      </c>
      <c r="B1685" s="1" t="n">
        <v>45832</v>
      </c>
      <c r="C1685" s="1" t="n">
        <v>45833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30927-2025</t>
        </is>
      </c>
      <c r="B1686" s="1" t="n">
        <v>45832</v>
      </c>
      <c r="C1686" s="1" t="n">
        <v>45833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2025-06-25T19:49:13Z</dcterms:created>
  <dcterms:modified xmlns:dcterms="http://purl.org/dc/terms/" xmlns:xsi="http://www.w3.org/2001/XMLSchema-instance" xsi:type="dcterms:W3CDTF">2025-06-25T19:49:14Z</dcterms:modified>
</cp:coreProperties>
</file>